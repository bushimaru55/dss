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6666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List" displayName="SalesList" ref="A4:L2404" headerRowCount="1">
  <autoFilter ref="A4:L2404"/>
  <tableColumns count="12">
    <tableColumn id="1" name="担当者ID"/>
    <tableColumn id="2" name="営業担当者名"/>
    <tableColumn id="3" name="所属部門"/>
    <tableColumn id="4" name="販売日"/>
    <tableColumn id="5" name="顧客名"/>
    <tableColumn id="6" name="都道府県"/>
    <tableColumn id="7" name="商品カテゴリ"/>
    <tableColumn id="8" name="商品名"/>
    <tableColumn id="9" name="販売数量"/>
    <tableColumn id="10" name="単価(円)"/>
    <tableColumn id="11" name="売上金額(円)"/>
    <tableColumn id="12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24" customWidth="1" min="5" max="5"/>
    <col width="10" customWidth="1" min="6" max="6"/>
    <col width="14" customWidth="1" min="7" max="7"/>
    <col width="20" customWidth="1" min="8" max="8"/>
    <col width="10" customWidth="1" min="9" max="9"/>
    <col width="12" customWidth="1" min="10" max="10"/>
    <col width="14" customWidth="1" min="11" max="11"/>
    <col width="18" customWidth="1" min="12" max="12"/>
  </cols>
  <sheetData>
    <row r="1" ht="24" customHeight="1">
      <c r="A1" s="1" t="inlineStr">
        <is>
          <t>営業担当者100名分 販売実績一覧（仮想データ）</t>
        </is>
      </c>
    </row>
    <row r="2">
      <c r="A2" s="2" t="inlineStr">
        <is>
          <t>作成日</t>
        </is>
      </c>
      <c r="B2" s="3" t="n">
        <v>46108</v>
      </c>
      <c r="D2" s="2" t="inlineStr">
        <is>
          <t>対象期間</t>
        </is>
      </c>
      <c r="E2" t="inlineStr">
        <is>
          <t>2025-04-01 ～ 2026-03-31</t>
        </is>
      </c>
      <c r="H2" s="2" t="inlineStr">
        <is>
          <t>明細件数</t>
        </is>
      </c>
      <c r="I2" s="4">
        <f>ROWS(A5:A2404)</f>
        <v/>
      </c>
    </row>
    <row r="4">
      <c r="A4" s="5" t="inlineStr">
        <is>
          <t>担当者ID</t>
        </is>
      </c>
      <c r="B4" s="5" t="inlineStr">
        <is>
          <t>営業担当者名</t>
        </is>
      </c>
      <c r="C4" s="5" t="inlineStr">
        <is>
          <t>所属部門</t>
        </is>
      </c>
      <c r="D4" s="5" t="inlineStr">
        <is>
          <t>販売日</t>
        </is>
      </c>
      <c r="E4" s="5" t="inlineStr">
        <is>
          <t>顧客名</t>
        </is>
      </c>
      <c r="F4" s="5" t="inlineStr">
        <is>
          <t>都道府県</t>
        </is>
      </c>
      <c r="G4" s="5" t="inlineStr">
        <is>
          <t>商品カテゴリ</t>
        </is>
      </c>
      <c r="H4" s="5" t="inlineStr">
        <is>
          <t>商品名</t>
        </is>
      </c>
      <c r="I4" s="5" t="inlineStr">
        <is>
          <t>販売数量</t>
        </is>
      </c>
      <c r="J4" s="5" t="inlineStr">
        <is>
          <t>単価(円)</t>
        </is>
      </c>
      <c r="K4" s="5" t="inlineStr">
        <is>
          <t>売上金額(円)</t>
        </is>
      </c>
      <c r="L4" s="5" t="inlineStr">
        <is>
          <t>備考</t>
        </is>
      </c>
    </row>
    <row r="5">
      <c r="A5" t="inlineStr">
        <is>
          <t>SR001</t>
        </is>
      </c>
      <c r="B5" t="inlineStr">
        <is>
          <t>営業担当001</t>
        </is>
      </c>
      <c r="C5" t="inlineStr">
        <is>
          <t>第1営業部</t>
        </is>
      </c>
      <c r="D5" s="3" t="n">
        <v>45765</v>
      </c>
      <c r="E5" t="inlineStr">
        <is>
          <t>未来通信有限会社</t>
        </is>
      </c>
      <c r="F5" t="inlineStr">
        <is>
          <t>兵庫県</t>
        </is>
      </c>
      <c r="G5" t="inlineStr">
        <is>
          <t>導入支援</t>
        </is>
      </c>
      <c r="H5" t="inlineStr">
        <is>
          <t>操作研修パック</t>
        </is>
      </c>
      <c r="I5" s="4" t="n">
        <v>4</v>
      </c>
      <c r="J5" s="4" t="n">
        <v>104100</v>
      </c>
      <c r="K5" s="4">
        <f>I5*J5</f>
        <v/>
      </c>
      <c r="L5" t="inlineStr">
        <is>
          <t>大型案件</t>
        </is>
      </c>
    </row>
    <row r="6">
      <c r="A6" t="inlineStr">
        <is>
          <t>SR001</t>
        </is>
      </c>
      <c r="B6" t="inlineStr">
        <is>
          <t>営業担当001</t>
        </is>
      </c>
      <c r="C6" t="inlineStr">
        <is>
          <t>第1営業部</t>
        </is>
      </c>
      <c r="D6" s="3" t="n">
        <v>45768</v>
      </c>
      <c r="E6" t="inlineStr">
        <is>
          <t>中央設備株式会社</t>
        </is>
      </c>
      <c r="F6" t="inlineStr">
        <is>
          <t>神奈川県</t>
        </is>
      </c>
      <c r="G6" t="inlineStr">
        <is>
          <t>ハードウェア</t>
        </is>
      </c>
      <c r="H6" t="inlineStr">
        <is>
          <t>小型ハンディ端末</t>
        </is>
      </c>
      <c r="I6" s="4" t="n">
        <v>2</v>
      </c>
      <c r="J6" s="4" t="n">
        <v>55400</v>
      </c>
      <c r="K6" s="4">
        <f>I6*J6</f>
        <v/>
      </c>
      <c r="L6" t="inlineStr">
        <is>
          <t>値引き調整あり</t>
        </is>
      </c>
    </row>
    <row r="7">
      <c r="A7" t="inlineStr">
        <is>
          <t>SR001</t>
        </is>
      </c>
      <c r="B7" t="inlineStr">
        <is>
          <t>営業担当001</t>
        </is>
      </c>
      <c r="C7" t="inlineStr">
        <is>
          <t>第1営業部</t>
        </is>
      </c>
      <c r="D7" s="3" t="n">
        <v>45780</v>
      </c>
      <c r="E7" t="inlineStr">
        <is>
          <t>星和商会(株)</t>
        </is>
      </c>
      <c r="F7" t="inlineStr">
        <is>
          <t>東京都</t>
        </is>
      </c>
      <c r="G7" t="inlineStr">
        <is>
          <t>ソフトウェア</t>
        </is>
      </c>
      <c r="H7" t="inlineStr">
        <is>
          <t>在庫管理クラウド</t>
        </is>
      </c>
      <c r="I7" s="4" t="n">
        <v>2</v>
      </c>
      <c r="J7" s="4" t="n">
        <v>275200</v>
      </c>
      <c r="K7" s="4">
        <f>I7*J7</f>
        <v/>
      </c>
      <c r="L7" t="inlineStr">
        <is>
          <t>値引き調整あり</t>
        </is>
      </c>
    </row>
    <row r="8">
      <c r="A8" t="inlineStr">
        <is>
          <t>SR001</t>
        </is>
      </c>
      <c r="B8" t="inlineStr">
        <is>
          <t>営業担当001</t>
        </is>
      </c>
      <c r="C8" t="inlineStr">
        <is>
          <t>第1営業部</t>
        </is>
      </c>
      <c r="D8" s="3" t="n">
        <v>45782</v>
      </c>
      <c r="E8" t="inlineStr">
        <is>
          <t>大和精機(株)</t>
        </is>
      </c>
      <c r="F8" t="inlineStr">
        <is>
          <t>大阪府</t>
        </is>
      </c>
      <c r="G8" t="inlineStr">
        <is>
          <t>ソフトウェア</t>
        </is>
      </c>
      <c r="H8" t="inlineStr">
        <is>
          <t>在庫管理クラウド</t>
        </is>
      </c>
      <c r="I8" s="4" t="n">
        <v>2</v>
      </c>
      <c r="J8" s="4" t="n">
        <v>437000</v>
      </c>
      <c r="K8" s="4">
        <f>I8*J8</f>
        <v/>
      </c>
      <c r="L8" t="inlineStr"/>
    </row>
    <row r="9">
      <c r="A9" t="inlineStr">
        <is>
          <t>SR001</t>
        </is>
      </c>
      <c r="B9" t="inlineStr">
        <is>
          <t>営業担当001</t>
        </is>
      </c>
      <c r="C9" t="inlineStr">
        <is>
          <t>第1営業部</t>
        </is>
      </c>
      <c r="D9" s="3" t="n">
        <v>45828</v>
      </c>
      <c r="E9" t="inlineStr">
        <is>
          <t>青葉商事有限会社</t>
        </is>
      </c>
      <c r="F9" t="inlineStr">
        <is>
          <t>愛知県</t>
        </is>
      </c>
      <c r="G9" t="inlineStr">
        <is>
          <t>消耗品</t>
        </is>
      </c>
      <c r="H9" t="inlineStr">
        <is>
          <t>保守用バッテリー</t>
        </is>
      </c>
      <c r="I9" s="4" t="n">
        <v>4</v>
      </c>
      <c r="J9" s="4" t="n">
        <v>14990</v>
      </c>
      <c r="K9" s="4">
        <f>I9*J9</f>
        <v/>
      </c>
      <c r="L9" t="inlineStr">
        <is>
          <t>リピート受注</t>
        </is>
      </c>
    </row>
    <row r="10">
      <c r="A10" t="inlineStr">
        <is>
          <t>SR001</t>
        </is>
      </c>
      <c r="B10" t="inlineStr">
        <is>
          <t>営業担当001</t>
        </is>
      </c>
      <c r="C10" t="inlineStr">
        <is>
          <t>第1営業部</t>
        </is>
      </c>
      <c r="D10" s="3" t="n">
        <v>45834</v>
      </c>
      <c r="E10" t="inlineStr">
        <is>
          <t>アーク電機有限会社</t>
        </is>
      </c>
      <c r="F10" t="inlineStr">
        <is>
          <t>大阪府</t>
        </is>
      </c>
      <c r="G10" t="inlineStr">
        <is>
          <t>導入支援</t>
        </is>
      </c>
      <c r="H10" t="inlineStr">
        <is>
          <t>データ移行支援</t>
        </is>
      </c>
      <c r="I10" s="4" t="n">
        <v>5</v>
      </c>
      <c r="J10" s="4" t="n">
        <v>271700</v>
      </c>
      <c r="K10" s="4">
        <f>I10*J10</f>
        <v/>
      </c>
      <c r="L10" t="inlineStr">
        <is>
          <t>値引き調整あり</t>
        </is>
      </c>
    </row>
    <row r="11">
      <c r="A11" t="inlineStr">
        <is>
          <t>SR001</t>
        </is>
      </c>
      <c r="B11" t="inlineStr">
        <is>
          <t>営業担当001</t>
        </is>
      </c>
      <c r="C11" t="inlineStr">
        <is>
          <t>第1営業部</t>
        </is>
      </c>
      <c r="D11" s="3" t="n">
        <v>45847</v>
      </c>
      <c r="E11" t="inlineStr">
        <is>
          <t>九州エナジー株式会社</t>
        </is>
      </c>
      <c r="F11" t="inlineStr">
        <is>
          <t>大阪府</t>
        </is>
      </c>
      <c r="G11" t="inlineStr">
        <is>
          <t>消耗品</t>
        </is>
      </c>
      <c r="H11" t="inlineStr">
        <is>
          <t>保守用バッテリー</t>
        </is>
      </c>
      <c r="I11" s="4" t="n">
        <v>13</v>
      </c>
      <c r="J11" s="4" t="n">
        <v>12760</v>
      </c>
      <c r="K11" s="4">
        <f>I11*J11</f>
        <v/>
      </c>
      <c r="L11" t="inlineStr"/>
    </row>
    <row r="12">
      <c r="A12" t="inlineStr">
        <is>
          <t>SR001</t>
        </is>
      </c>
      <c r="B12" t="inlineStr">
        <is>
          <t>営業担当001</t>
        </is>
      </c>
      <c r="C12" t="inlineStr">
        <is>
          <t>第1営業部</t>
        </is>
      </c>
      <c r="D12" s="3" t="n">
        <v>45864</v>
      </c>
      <c r="E12" t="inlineStr">
        <is>
          <t>青葉商事株式会社</t>
        </is>
      </c>
      <c r="F12" t="inlineStr">
        <is>
          <t>宮城県</t>
        </is>
      </c>
      <c r="G12" t="inlineStr">
        <is>
          <t>保守サービス</t>
        </is>
      </c>
      <c r="H12" t="inlineStr">
        <is>
          <t>オンサイト保守</t>
        </is>
      </c>
      <c r="I12" s="4" t="n">
        <v>2</v>
      </c>
      <c r="J12" s="4" t="n">
        <v>84000</v>
      </c>
      <c r="K12" s="4">
        <f>I12*J12</f>
        <v/>
      </c>
      <c r="L12" t="inlineStr">
        <is>
          <t>新規開拓</t>
        </is>
      </c>
    </row>
    <row r="13">
      <c r="A13" t="inlineStr">
        <is>
          <t>SR001</t>
        </is>
      </c>
      <c r="B13" t="inlineStr">
        <is>
          <t>営業担当001</t>
        </is>
      </c>
      <c r="C13" t="inlineStr">
        <is>
          <t>第1営業部</t>
        </is>
      </c>
      <c r="D13" s="3" t="n">
        <v>45873</v>
      </c>
      <c r="E13" t="inlineStr">
        <is>
          <t>みらい物流(株)</t>
        </is>
      </c>
      <c r="F13" t="inlineStr">
        <is>
          <t>大阪府</t>
        </is>
      </c>
      <c r="G13" t="inlineStr">
        <is>
          <t>保守サービス</t>
        </is>
      </c>
      <c r="H13" t="inlineStr">
        <is>
          <t>オンサイト保守</t>
        </is>
      </c>
      <c r="I13" s="4" t="n">
        <v>5</v>
      </c>
      <c r="J13" s="4" t="n">
        <v>94100</v>
      </c>
      <c r="K13" s="4">
        <f>I13*J13</f>
        <v/>
      </c>
      <c r="L13" t="inlineStr"/>
    </row>
    <row r="14">
      <c r="A14" t="inlineStr">
        <is>
          <t>SR001</t>
        </is>
      </c>
      <c r="B14" t="inlineStr">
        <is>
          <t>営業担当001</t>
        </is>
      </c>
      <c r="C14" t="inlineStr">
        <is>
          <t>第1営業部</t>
        </is>
      </c>
      <c r="D14" s="3" t="n">
        <v>45879</v>
      </c>
      <c r="E14" t="inlineStr">
        <is>
          <t>アーク電機株式会社</t>
        </is>
      </c>
      <c r="F14" t="inlineStr">
        <is>
          <t>広島県</t>
        </is>
      </c>
      <c r="G14" t="inlineStr">
        <is>
          <t>ソフトウェア</t>
        </is>
      </c>
      <c r="H14" t="inlineStr">
        <is>
          <t>帳票自動化ツール</t>
        </is>
      </c>
      <c r="I14" s="4" t="n">
        <v>5</v>
      </c>
      <c r="J14" s="4" t="n">
        <v>223100</v>
      </c>
      <c r="K14" s="4">
        <f>I14*J14</f>
        <v/>
      </c>
      <c r="L14" t="inlineStr">
        <is>
          <t>値引き調整あり</t>
        </is>
      </c>
    </row>
    <row r="15">
      <c r="A15" t="inlineStr">
        <is>
          <t>SR001</t>
        </is>
      </c>
      <c r="B15" t="inlineStr">
        <is>
          <t>営業担当001</t>
        </is>
      </c>
      <c r="C15" t="inlineStr">
        <is>
          <t>第1営業部</t>
        </is>
      </c>
      <c r="D15" s="3" t="n">
        <v>45904</v>
      </c>
      <c r="E15" t="inlineStr">
        <is>
          <t>サンライズ建設有限会社</t>
        </is>
      </c>
      <c r="F15" t="inlineStr">
        <is>
          <t>京都府</t>
        </is>
      </c>
      <c r="G15" t="inlineStr">
        <is>
          <t>消耗品</t>
        </is>
      </c>
      <c r="H15" t="inlineStr">
        <is>
          <t>ラベルロール</t>
        </is>
      </c>
      <c r="I15" s="4" t="n">
        <v>3</v>
      </c>
      <c r="J15" s="4" t="n">
        <v>9850</v>
      </c>
      <c r="K15" s="4">
        <f>I15*J15</f>
        <v/>
      </c>
      <c r="L15" t="inlineStr"/>
    </row>
    <row r="16">
      <c r="A16" t="inlineStr">
        <is>
          <t>SR001</t>
        </is>
      </c>
      <c r="B16" t="inlineStr">
        <is>
          <t>営業担当001</t>
        </is>
      </c>
      <c r="C16" t="inlineStr">
        <is>
          <t>第1営業部</t>
        </is>
      </c>
      <c r="D16" s="3" t="n">
        <v>45924</v>
      </c>
      <c r="E16" t="inlineStr">
        <is>
          <t>白峰化学有限会社</t>
        </is>
      </c>
      <c r="F16" t="inlineStr">
        <is>
          <t>大阪府</t>
        </is>
      </c>
      <c r="G16" t="inlineStr">
        <is>
          <t>導入支援</t>
        </is>
      </c>
      <c r="H16" t="inlineStr">
        <is>
          <t>初期設定支援</t>
        </is>
      </c>
      <c r="I16" s="4" t="n">
        <v>5</v>
      </c>
      <c r="J16" s="4" t="n">
        <v>110000</v>
      </c>
      <c r="K16" s="4">
        <f>I16*J16</f>
        <v/>
      </c>
      <c r="L16" t="inlineStr">
        <is>
          <t>新規開拓</t>
        </is>
      </c>
    </row>
    <row r="17">
      <c r="A17" t="inlineStr">
        <is>
          <t>SR001</t>
        </is>
      </c>
      <c r="B17" t="inlineStr">
        <is>
          <t>営業担当001</t>
        </is>
      </c>
      <c r="C17" t="inlineStr">
        <is>
          <t>第1営業部</t>
        </is>
      </c>
      <c r="D17" s="3" t="n">
        <v>45948</v>
      </c>
      <c r="E17" t="inlineStr">
        <is>
          <t>大和精機株式会社</t>
        </is>
      </c>
      <c r="F17" t="inlineStr">
        <is>
          <t>兵庫県</t>
        </is>
      </c>
      <c r="G17" t="inlineStr">
        <is>
          <t>保守サービス</t>
        </is>
      </c>
      <c r="H17" t="inlineStr">
        <is>
          <t>オンサイト保守</t>
        </is>
      </c>
      <c r="I17" s="4" t="n">
        <v>1</v>
      </c>
      <c r="J17" s="4" t="n">
        <v>62900</v>
      </c>
      <c r="K17" s="4">
        <f>I17*J17</f>
        <v/>
      </c>
      <c r="L17" t="inlineStr">
        <is>
          <t>新規開拓</t>
        </is>
      </c>
    </row>
    <row r="18">
      <c r="A18" t="inlineStr">
        <is>
          <t>SR001</t>
        </is>
      </c>
      <c r="B18" t="inlineStr">
        <is>
          <t>営業担当001</t>
        </is>
      </c>
      <c r="C18" t="inlineStr">
        <is>
          <t>第1営業部</t>
        </is>
      </c>
      <c r="D18" s="3" t="n">
        <v>45949</v>
      </c>
      <c r="E18" t="inlineStr">
        <is>
          <t>東洋フーズ有限会社</t>
        </is>
      </c>
      <c r="F18" t="inlineStr">
        <is>
          <t>大阪府</t>
        </is>
      </c>
      <c r="G18" t="inlineStr">
        <is>
          <t>ソフトウェア</t>
        </is>
      </c>
      <c r="H18" t="inlineStr">
        <is>
          <t>営業支援SaaS</t>
        </is>
      </c>
      <c r="I18" s="4" t="n">
        <v>3</v>
      </c>
      <c r="J18" s="4" t="n">
        <v>152600</v>
      </c>
      <c r="K18" s="4">
        <f>I18*J18</f>
        <v/>
      </c>
      <c r="L18" t="inlineStr">
        <is>
          <t>大型案件</t>
        </is>
      </c>
    </row>
    <row r="19">
      <c r="A19" t="inlineStr">
        <is>
          <t>SR001</t>
        </is>
      </c>
      <c r="B19" t="inlineStr">
        <is>
          <t>営業担当001</t>
        </is>
      </c>
      <c r="C19" t="inlineStr">
        <is>
          <t>第1営業部</t>
        </is>
      </c>
      <c r="D19" s="3" t="n">
        <v>45988</v>
      </c>
      <c r="E19" t="inlineStr">
        <is>
          <t>サンライズ建設株式会社</t>
        </is>
      </c>
      <c r="F19" t="inlineStr">
        <is>
          <t>東京都</t>
        </is>
      </c>
      <c r="G19" t="inlineStr">
        <is>
          <t>ハードウェア</t>
        </is>
      </c>
      <c r="H19" t="inlineStr">
        <is>
          <t>産業用タブレット</t>
        </is>
      </c>
      <c r="I19" s="4" t="n">
        <v>1</v>
      </c>
      <c r="J19" s="4" t="n">
        <v>117700</v>
      </c>
      <c r="K19" s="4">
        <f>I19*J19</f>
        <v/>
      </c>
      <c r="L19" t="inlineStr"/>
    </row>
    <row r="20">
      <c r="A20" t="inlineStr">
        <is>
          <t>SR001</t>
        </is>
      </c>
      <c r="B20" t="inlineStr">
        <is>
          <t>営業担当001</t>
        </is>
      </c>
      <c r="C20" t="inlineStr">
        <is>
          <t>第1営業部</t>
        </is>
      </c>
      <c r="D20" s="3" t="n">
        <v>45989</v>
      </c>
      <c r="E20" t="inlineStr">
        <is>
          <t>中央設備(株)</t>
        </is>
      </c>
      <c r="F20" t="inlineStr">
        <is>
          <t>神奈川県</t>
        </is>
      </c>
      <c r="G20" t="inlineStr">
        <is>
          <t>導入支援</t>
        </is>
      </c>
      <c r="H20" t="inlineStr">
        <is>
          <t>操作研修パック</t>
        </is>
      </c>
      <c r="I20" s="4" t="n">
        <v>3</v>
      </c>
      <c r="J20" s="4" t="n">
        <v>63300</v>
      </c>
      <c r="K20" s="4">
        <f>I20*J20</f>
        <v/>
      </c>
      <c r="L20" t="inlineStr">
        <is>
          <t>新規開拓</t>
        </is>
      </c>
    </row>
    <row r="21">
      <c r="A21" t="inlineStr">
        <is>
          <t>SR001</t>
        </is>
      </c>
      <c r="B21" t="inlineStr">
        <is>
          <t>営業担当001</t>
        </is>
      </c>
      <c r="C21" t="inlineStr">
        <is>
          <t>第1営業部</t>
        </is>
      </c>
      <c r="D21" s="3" t="n">
        <v>46003</v>
      </c>
      <c r="E21" t="inlineStr">
        <is>
          <t>東洋フーズ有限会社</t>
        </is>
      </c>
      <c r="F21" t="inlineStr">
        <is>
          <t>神奈川県</t>
        </is>
      </c>
      <c r="G21" t="inlineStr">
        <is>
          <t>ソフトウェア</t>
        </is>
      </c>
      <c r="H21" t="inlineStr">
        <is>
          <t>営業支援SaaS</t>
        </is>
      </c>
      <c r="I21" s="4" t="n">
        <v>5</v>
      </c>
      <c r="J21" s="4" t="n">
        <v>220200</v>
      </c>
      <c r="K21" s="4">
        <f>I21*J21</f>
        <v/>
      </c>
      <c r="L21" t="inlineStr"/>
    </row>
    <row r="22">
      <c r="A22" t="inlineStr">
        <is>
          <t>SR001</t>
        </is>
      </c>
      <c r="B22" t="inlineStr">
        <is>
          <t>営業担当001</t>
        </is>
      </c>
      <c r="C22" t="inlineStr">
        <is>
          <t>第1営業部</t>
        </is>
      </c>
      <c r="D22" s="3" t="n">
        <v>46016</v>
      </c>
      <c r="E22" t="inlineStr">
        <is>
          <t>九州エナジー株式会社</t>
        </is>
      </c>
      <c r="F22" t="inlineStr">
        <is>
          <t>福岡県</t>
        </is>
      </c>
      <c r="G22" t="inlineStr">
        <is>
          <t>導入支援</t>
        </is>
      </c>
      <c r="H22" t="inlineStr">
        <is>
          <t>操作研修パック</t>
        </is>
      </c>
      <c r="I22" s="4" t="n">
        <v>2</v>
      </c>
      <c r="J22" s="4" t="n">
        <v>84200</v>
      </c>
      <c r="K22" s="4">
        <f>I22*J22</f>
        <v/>
      </c>
      <c r="L22" t="inlineStr">
        <is>
          <t>値引き調整あり</t>
        </is>
      </c>
    </row>
    <row r="23">
      <c r="A23" t="inlineStr">
        <is>
          <t>SR001</t>
        </is>
      </c>
      <c r="B23" t="inlineStr">
        <is>
          <t>営業担当001</t>
        </is>
      </c>
      <c r="C23" t="inlineStr">
        <is>
          <t>第1営業部</t>
        </is>
      </c>
      <c r="D23" s="3" t="n">
        <v>46037</v>
      </c>
      <c r="E23" t="inlineStr">
        <is>
          <t>日新サービス(株)</t>
        </is>
      </c>
      <c r="F23" t="inlineStr">
        <is>
          <t>京都府</t>
        </is>
      </c>
      <c r="G23" t="inlineStr">
        <is>
          <t>ハードウェア</t>
        </is>
      </c>
      <c r="H23" t="inlineStr">
        <is>
          <t>ラベルプリンター</t>
        </is>
      </c>
      <c r="I23" s="4" t="n">
        <v>1</v>
      </c>
      <c r="J23" s="4" t="n">
        <v>49700</v>
      </c>
      <c r="K23" s="4">
        <f>I23*J23</f>
        <v/>
      </c>
      <c r="L23" t="inlineStr"/>
    </row>
    <row r="24">
      <c r="A24" t="inlineStr">
        <is>
          <t>SR001</t>
        </is>
      </c>
      <c r="B24" t="inlineStr">
        <is>
          <t>営業担当001</t>
        </is>
      </c>
      <c r="C24" t="inlineStr">
        <is>
          <t>第1営業部</t>
        </is>
      </c>
      <c r="D24" s="3" t="n">
        <v>46050</v>
      </c>
      <c r="E24" t="inlineStr">
        <is>
          <t>ライトホーム(株)</t>
        </is>
      </c>
      <c r="F24" t="inlineStr">
        <is>
          <t>愛知県</t>
        </is>
      </c>
      <c r="G24" t="inlineStr">
        <is>
          <t>消耗品</t>
        </is>
      </c>
      <c r="H24" t="inlineStr">
        <is>
          <t>交換用ヘッド</t>
        </is>
      </c>
      <c r="I24" s="4" t="n">
        <v>12</v>
      </c>
      <c r="J24" s="4" t="n">
        <v>20230</v>
      </c>
      <c r="K24" s="4">
        <f>I24*J24</f>
        <v/>
      </c>
      <c r="L24" t="inlineStr">
        <is>
          <t>リピート受注</t>
        </is>
      </c>
    </row>
    <row r="25">
      <c r="A25" t="inlineStr">
        <is>
          <t>SR001</t>
        </is>
      </c>
      <c r="B25" t="inlineStr">
        <is>
          <t>営業担当001</t>
        </is>
      </c>
      <c r="C25" t="inlineStr">
        <is>
          <t>第1営業部</t>
        </is>
      </c>
      <c r="D25" s="3" t="n">
        <v>46066</v>
      </c>
      <c r="E25" t="inlineStr">
        <is>
          <t>福岡流通(株)</t>
        </is>
      </c>
      <c r="F25" t="inlineStr">
        <is>
          <t>京都府</t>
        </is>
      </c>
      <c r="G25" t="inlineStr">
        <is>
          <t>導入支援</t>
        </is>
      </c>
      <c r="H25" t="inlineStr">
        <is>
          <t>初期設定支援</t>
        </is>
      </c>
      <c r="I25" s="4" t="n">
        <v>2</v>
      </c>
      <c r="J25" s="4" t="n">
        <v>96000</v>
      </c>
      <c r="K25" s="4">
        <f>I25*J25</f>
        <v/>
      </c>
      <c r="L25" t="inlineStr"/>
    </row>
    <row r="26">
      <c r="A26" t="inlineStr">
        <is>
          <t>SR001</t>
        </is>
      </c>
      <c r="B26" t="inlineStr">
        <is>
          <t>営業担当001</t>
        </is>
      </c>
      <c r="C26" t="inlineStr">
        <is>
          <t>第1営業部</t>
        </is>
      </c>
      <c r="D26" s="3" t="n">
        <v>46079</v>
      </c>
      <c r="E26" t="inlineStr">
        <is>
          <t>オーシャン製作所(株)</t>
        </is>
      </c>
      <c r="F26" t="inlineStr">
        <is>
          <t>神奈川県</t>
        </is>
      </c>
      <c r="G26" t="inlineStr">
        <is>
          <t>ソフトウェア</t>
        </is>
      </c>
      <c r="H26" t="inlineStr">
        <is>
          <t>営業支援SaaS</t>
        </is>
      </c>
      <c r="I26" s="4" t="n">
        <v>5</v>
      </c>
      <c r="J26" s="4" t="n">
        <v>248800</v>
      </c>
      <c r="K26" s="4">
        <f>I26*J26</f>
        <v/>
      </c>
      <c r="L26" t="inlineStr">
        <is>
          <t>大型案件</t>
        </is>
      </c>
    </row>
    <row r="27">
      <c r="A27" t="inlineStr">
        <is>
          <t>SR001</t>
        </is>
      </c>
      <c r="B27" t="inlineStr">
        <is>
          <t>営業担当001</t>
        </is>
      </c>
      <c r="C27" t="inlineStr">
        <is>
          <t>第1営業部</t>
        </is>
      </c>
      <c r="D27" s="3" t="n">
        <v>46092</v>
      </c>
      <c r="E27" t="inlineStr">
        <is>
          <t>青葉商事有限会社</t>
        </is>
      </c>
      <c r="F27" t="inlineStr">
        <is>
          <t>京都府</t>
        </is>
      </c>
      <c r="G27" t="inlineStr">
        <is>
          <t>ハードウェア</t>
        </is>
      </c>
      <c r="H27" t="inlineStr">
        <is>
          <t>小型ハンディ端末</t>
        </is>
      </c>
      <c r="I27" s="4" t="n">
        <v>1</v>
      </c>
      <c r="J27" s="4" t="n">
        <v>52200</v>
      </c>
      <c r="K27" s="4">
        <f>I27*J27</f>
        <v/>
      </c>
      <c r="L27" t="inlineStr"/>
    </row>
    <row r="28">
      <c r="A28" t="inlineStr">
        <is>
          <t>SR001</t>
        </is>
      </c>
      <c r="B28" t="inlineStr">
        <is>
          <t>営業担当001</t>
        </is>
      </c>
      <c r="C28" t="inlineStr">
        <is>
          <t>第1営業部</t>
        </is>
      </c>
      <c r="D28" s="3" t="n">
        <v>46102</v>
      </c>
      <c r="E28" t="inlineStr">
        <is>
          <t>ネクストソリューション(株)</t>
        </is>
      </c>
      <c r="F28" t="inlineStr">
        <is>
          <t>広島県</t>
        </is>
      </c>
      <c r="G28" t="inlineStr">
        <is>
          <t>ハードウェア</t>
        </is>
      </c>
      <c r="H28" t="inlineStr">
        <is>
          <t>ラベルプリンター</t>
        </is>
      </c>
      <c r="I28" s="4" t="n">
        <v>2</v>
      </c>
      <c r="J28" s="4" t="n">
        <v>50600</v>
      </c>
      <c r="K28" s="4">
        <f>I28*J28</f>
        <v/>
      </c>
      <c r="L28" t="inlineStr">
        <is>
          <t>値引き調整あり</t>
        </is>
      </c>
    </row>
    <row r="29">
      <c r="A29" t="inlineStr">
        <is>
          <t>SR002</t>
        </is>
      </c>
      <c r="B29" t="inlineStr">
        <is>
          <t>営業担当002</t>
        </is>
      </c>
      <c r="C29" t="inlineStr">
        <is>
          <t>第2営業部</t>
        </is>
      </c>
      <c r="D29" s="3" t="n">
        <v>45755</v>
      </c>
      <c r="E29" t="inlineStr">
        <is>
          <t>みらい物流株式会社</t>
        </is>
      </c>
      <c r="F29" t="inlineStr">
        <is>
          <t>北海道</t>
        </is>
      </c>
      <c r="G29" t="inlineStr">
        <is>
          <t>ソフトウェア</t>
        </is>
      </c>
      <c r="H29" t="inlineStr">
        <is>
          <t>営業支援SaaS</t>
        </is>
      </c>
      <c r="I29" s="4" t="n">
        <v>3</v>
      </c>
      <c r="J29" s="4" t="n">
        <v>318800</v>
      </c>
      <c r="K29" s="4">
        <f>I29*J29</f>
        <v/>
      </c>
      <c r="L29" t="inlineStr">
        <is>
          <t>大型案件</t>
        </is>
      </c>
    </row>
    <row r="30">
      <c r="A30" t="inlineStr">
        <is>
          <t>SR002</t>
        </is>
      </c>
      <c r="B30" t="inlineStr">
        <is>
          <t>営業担当002</t>
        </is>
      </c>
      <c r="C30" t="inlineStr">
        <is>
          <t>第2営業部</t>
        </is>
      </c>
      <c r="D30" s="3" t="n">
        <v>45758</v>
      </c>
      <c r="E30" t="inlineStr">
        <is>
          <t>未来通信株式会社</t>
        </is>
      </c>
      <c r="F30" t="inlineStr">
        <is>
          <t>北海道</t>
        </is>
      </c>
      <c r="G30" t="inlineStr">
        <is>
          <t>ハードウェア</t>
        </is>
      </c>
      <c r="H30" t="inlineStr">
        <is>
          <t>ラベルプリンター</t>
        </is>
      </c>
      <c r="I30" s="4" t="n">
        <v>4</v>
      </c>
      <c r="J30" s="4" t="n">
        <v>44700</v>
      </c>
      <c r="K30" s="4">
        <f>I30*J30</f>
        <v/>
      </c>
      <c r="L30" t="inlineStr">
        <is>
          <t>リピート受注</t>
        </is>
      </c>
    </row>
    <row r="31">
      <c r="A31" t="inlineStr">
        <is>
          <t>SR002</t>
        </is>
      </c>
      <c r="B31" t="inlineStr">
        <is>
          <t>営業担当002</t>
        </is>
      </c>
      <c r="C31" t="inlineStr">
        <is>
          <t>第2営業部</t>
        </is>
      </c>
      <c r="D31" s="3" t="n">
        <v>45792</v>
      </c>
      <c r="E31" t="inlineStr">
        <is>
          <t>オーシャン製作所株式会社</t>
        </is>
      </c>
      <c r="F31" t="inlineStr">
        <is>
          <t>東京都</t>
        </is>
      </c>
      <c r="G31" t="inlineStr">
        <is>
          <t>導入支援</t>
        </is>
      </c>
      <c r="H31" t="inlineStr">
        <is>
          <t>操作研修パック</t>
        </is>
      </c>
      <c r="I31" s="4" t="n">
        <v>5</v>
      </c>
      <c r="J31" s="4" t="n">
        <v>50400</v>
      </c>
      <c r="K31" s="4">
        <f>I31*J31</f>
        <v/>
      </c>
      <c r="L31" t="inlineStr"/>
    </row>
    <row r="32">
      <c r="A32" t="inlineStr">
        <is>
          <t>SR002</t>
        </is>
      </c>
      <c r="B32" t="inlineStr">
        <is>
          <t>営業担当002</t>
        </is>
      </c>
      <c r="C32" t="inlineStr">
        <is>
          <t>第2営業部</t>
        </is>
      </c>
      <c r="D32" s="3" t="n">
        <v>45795</v>
      </c>
      <c r="E32" t="inlineStr">
        <is>
          <t>グリーンテック有限会社</t>
        </is>
      </c>
      <c r="F32" t="inlineStr">
        <is>
          <t>兵庫県</t>
        </is>
      </c>
      <c r="G32" t="inlineStr">
        <is>
          <t>消耗品</t>
        </is>
      </c>
      <c r="H32" t="inlineStr">
        <is>
          <t>保守用バッテリー</t>
        </is>
      </c>
      <c r="I32" s="4" t="n">
        <v>4</v>
      </c>
      <c r="J32" s="4" t="n">
        <v>15480</v>
      </c>
      <c r="K32" s="4">
        <f>I32*J32</f>
        <v/>
      </c>
      <c r="L32" t="inlineStr">
        <is>
          <t>キャンペーン適用</t>
        </is>
      </c>
    </row>
    <row r="33">
      <c r="A33" t="inlineStr">
        <is>
          <t>SR002</t>
        </is>
      </c>
      <c r="B33" t="inlineStr">
        <is>
          <t>営業担当002</t>
        </is>
      </c>
      <c r="C33" t="inlineStr">
        <is>
          <t>第2営業部</t>
        </is>
      </c>
      <c r="D33" s="3" t="n">
        <v>45815</v>
      </c>
      <c r="E33" t="inlineStr">
        <is>
          <t>中央設備株式会社</t>
        </is>
      </c>
      <c r="F33" t="inlineStr">
        <is>
          <t>宮城県</t>
        </is>
      </c>
      <c r="G33" t="inlineStr">
        <is>
          <t>保守サービス</t>
        </is>
      </c>
      <c r="H33" t="inlineStr">
        <is>
          <t>オンサイト保守</t>
        </is>
      </c>
      <c r="I33" s="4" t="n">
        <v>4</v>
      </c>
      <c r="J33" s="4" t="n">
        <v>135600</v>
      </c>
      <c r="K33" s="4">
        <f>I33*J33</f>
        <v/>
      </c>
      <c r="L33" t="inlineStr"/>
    </row>
    <row r="34">
      <c r="A34" t="inlineStr">
        <is>
          <t>SR002</t>
        </is>
      </c>
      <c r="B34" t="inlineStr">
        <is>
          <t>営業担当002</t>
        </is>
      </c>
      <c r="C34" t="inlineStr">
        <is>
          <t>第2営業部</t>
        </is>
      </c>
      <c r="D34" s="3" t="n">
        <v>45826</v>
      </c>
      <c r="E34" t="inlineStr">
        <is>
          <t>東洋フーズ有限会社</t>
        </is>
      </c>
      <c r="F34" t="inlineStr">
        <is>
          <t>神奈川県</t>
        </is>
      </c>
      <c r="G34" t="inlineStr">
        <is>
          <t>ハードウェア</t>
        </is>
      </c>
      <c r="H34" t="inlineStr">
        <is>
          <t>ラベルプリンター</t>
        </is>
      </c>
      <c r="I34" s="4" t="n">
        <v>1</v>
      </c>
      <c r="J34" s="4" t="n">
        <v>83000</v>
      </c>
      <c r="K34" s="4">
        <f>I34*J34</f>
        <v/>
      </c>
      <c r="L34" t="inlineStr">
        <is>
          <t>大型案件</t>
        </is>
      </c>
    </row>
    <row r="35">
      <c r="A35" t="inlineStr">
        <is>
          <t>SR002</t>
        </is>
      </c>
      <c r="B35" t="inlineStr">
        <is>
          <t>営業担当002</t>
        </is>
      </c>
      <c r="C35" t="inlineStr">
        <is>
          <t>第2営業部</t>
        </is>
      </c>
      <c r="D35" s="3" t="n">
        <v>45850</v>
      </c>
      <c r="E35" t="inlineStr">
        <is>
          <t>サンライズ建設株式会社</t>
        </is>
      </c>
      <c r="F35" t="inlineStr">
        <is>
          <t>広島県</t>
        </is>
      </c>
      <c r="G35" t="inlineStr">
        <is>
          <t>消耗品</t>
        </is>
      </c>
      <c r="H35" t="inlineStr">
        <is>
          <t>交換用ヘッド</t>
        </is>
      </c>
      <c r="I35" s="4" t="n">
        <v>5</v>
      </c>
      <c r="J35" s="4" t="n">
        <v>37050</v>
      </c>
      <c r="K35" s="4">
        <f>I35*J35</f>
        <v/>
      </c>
      <c r="L35" t="inlineStr">
        <is>
          <t>値引き調整あり</t>
        </is>
      </c>
    </row>
    <row r="36">
      <c r="A36" t="inlineStr">
        <is>
          <t>SR002</t>
        </is>
      </c>
      <c r="B36" t="inlineStr">
        <is>
          <t>営業担当002</t>
        </is>
      </c>
      <c r="C36" t="inlineStr">
        <is>
          <t>第2営業部</t>
        </is>
      </c>
      <c r="D36" s="3" t="n">
        <v>45860</v>
      </c>
      <c r="E36" t="inlineStr">
        <is>
          <t>中央設備株式会社</t>
        </is>
      </c>
      <c r="F36" t="inlineStr">
        <is>
          <t>宮城県</t>
        </is>
      </c>
      <c r="G36" t="inlineStr">
        <is>
          <t>保守サービス</t>
        </is>
      </c>
      <c r="H36" t="inlineStr">
        <is>
          <t>年間保守契約</t>
        </is>
      </c>
      <c r="I36" s="4" t="n">
        <v>2</v>
      </c>
      <c r="J36" s="4" t="n">
        <v>138400</v>
      </c>
      <c r="K36" s="4">
        <f>I36*J36</f>
        <v/>
      </c>
      <c r="L36" t="inlineStr">
        <is>
          <t>大型案件</t>
        </is>
      </c>
    </row>
    <row r="37">
      <c r="A37" t="inlineStr">
        <is>
          <t>SR002</t>
        </is>
      </c>
      <c r="B37" t="inlineStr">
        <is>
          <t>営業担当002</t>
        </is>
      </c>
      <c r="C37" t="inlineStr">
        <is>
          <t>第2営業部</t>
        </is>
      </c>
      <c r="D37" s="3" t="n">
        <v>45870</v>
      </c>
      <c r="E37" t="inlineStr">
        <is>
          <t>九州エナジー(株)</t>
        </is>
      </c>
      <c r="F37" t="inlineStr">
        <is>
          <t>大阪府</t>
        </is>
      </c>
      <c r="G37" t="inlineStr">
        <is>
          <t>ハードウェア</t>
        </is>
      </c>
      <c r="H37" t="inlineStr">
        <is>
          <t>ラベルプリンター</t>
        </is>
      </c>
      <c r="I37" s="4" t="n">
        <v>1</v>
      </c>
      <c r="J37" s="4" t="n">
        <v>83500</v>
      </c>
      <c r="K37" s="4">
        <f>I37*J37</f>
        <v/>
      </c>
      <c r="L37" t="inlineStr"/>
    </row>
    <row r="38">
      <c r="A38" t="inlineStr">
        <is>
          <t>SR002</t>
        </is>
      </c>
      <c r="B38" t="inlineStr">
        <is>
          <t>営業担当002</t>
        </is>
      </c>
      <c r="C38" t="inlineStr">
        <is>
          <t>第2営業部</t>
        </is>
      </c>
      <c r="D38" s="3" t="n">
        <v>45887</v>
      </c>
      <c r="E38" t="inlineStr">
        <is>
          <t>白峰化学株式会社</t>
        </is>
      </c>
      <c r="F38" t="inlineStr">
        <is>
          <t>宮城県</t>
        </is>
      </c>
      <c r="G38" t="inlineStr">
        <is>
          <t>ハードウェア</t>
        </is>
      </c>
      <c r="H38" t="inlineStr">
        <is>
          <t>ラベルプリンター</t>
        </is>
      </c>
      <c r="I38" s="4" t="n">
        <v>4</v>
      </c>
      <c r="J38" s="4" t="n">
        <v>50700</v>
      </c>
      <c r="K38" s="4">
        <f>I38*J38</f>
        <v/>
      </c>
      <c r="L38" t="inlineStr"/>
    </row>
    <row r="39">
      <c r="A39" t="inlineStr">
        <is>
          <t>SR002</t>
        </is>
      </c>
      <c r="B39" t="inlineStr">
        <is>
          <t>営業担当002</t>
        </is>
      </c>
      <c r="C39" t="inlineStr">
        <is>
          <t>第2営業部</t>
        </is>
      </c>
      <c r="D39" s="3" t="n">
        <v>45915</v>
      </c>
      <c r="E39" t="inlineStr">
        <is>
          <t>九州エナジー株式会社</t>
        </is>
      </c>
      <c r="F39" t="inlineStr">
        <is>
          <t>東京都</t>
        </is>
      </c>
      <c r="G39" t="inlineStr">
        <is>
          <t>消耗品</t>
        </is>
      </c>
      <c r="H39" t="inlineStr">
        <is>
          <t>ラベルロール</t>
        </is>
      </c>
      <c r="I39" s="4" t="n">
        <v>2</v>
      </c>
      <c r="J39" s="4" t="n">
        <v>7040</v>
      </c>
      <c r="K39" s="4">
        <f>I39*J39</f>
        <v/>
      </c>
      <c r="L39" t="inlineStr"/>
    </row>
    <row r="40">
      <c r="A40" t="inlineStr">
        <is>
          <t>SR002</t>
        </is>
      </c>
      <c r="B40" t="inlineStr">
        <is>
          <t>営業担当002</t>
        </is>
      </c>
      <c r="C40" t="inlineStr">
        <is>
          <t>第2営業部</t>
        </is>
      </c>
      <c r="D40" s="3" t="n">
        <v>45924</v>
      </c>
      <c r="E40" t="inlineStr">
        <is>
          <t>九州エナジー株式会社</t>
        </is>
      </c>
      <c r="F40" t="inlineStr">
        <is>
          <t>神奈川県</t>
        </is>
      </c>
      <c r="G40" t="inlineStr">
        <is>
          <t>保守サービス</t>
        </is>
      </c>
      <c r="H40" t="inlineStr">
        <is>
          <t>ヘルプデスク契約</t>
        </is>
      </c>
      <c r="I40" s="4" t="n">
        <v>2</v>
      </c>
      <c r="J40" s="4" t="n">
        <v>109400</v>
      </c>
      <c r="K40" s="4">
        <f>I40*J40</f>
        <v/>
      </c>
      <c r="L40" t="inlineStr">
        <is>
          <t>新規開拓</t>
        </is>
      </c>
    </row>
    <row r="41">
      <c r="A41" t="inlineStr">
        <is>
          <t>SR002</t>
        </is>
      </c>
      <c r="B41" t="inlineStr">
        <is>
          <t>営業担当002</t>
        </is>
      </c>
      <c r="C41" t="inlineStr">
        <is>
          <t>第2営業部</t>
        </is>
      </c>
      <c r="D41" s="3" t="n">
        <v>45937</v>
      </c>
      <c r="E41" t="inlineStr">
        <is>
          <t>未来通信有限会社</t>
        </is>
      </c>
      <c r="F41" t="inlineStr">
        <is>
          <t>広島県</t>
        </is>
      </c>
      <c r="G41" t="inlineStr">
        <is>
          <t>保守サービス</t>
        </is>
      </c>
      <c r="H41" t="inlineStr">
        <is>
          <t>年間保守契約</t>
        </is>
      </c>
      <c r="I41" s="4" t="n">
        <v>1</v>
      </c>
      <c r="J41" s="4" t="n">
        <v>233400</v>
      </c>
      <c r="K41" s="4">
        <f>I41*J41</f>
        <v/>
      </c>
      <c r="L41" t="inlineStr">
        <is>
          <t>リピート受注</t>
        </is>
      </c>
    </row>
    <row r="42">
      <c r="A42" t="inlineStr">
        <is>
          <t>SR002</t>
        </is>
      </c>
      <c r="B42" t="inlineStr">
        <is>
          <t>営業担当002</t>
        </is>
      </c>
      <c r="C42" t="inlineStr">
        <is>
          <t>第2営業部</t>
        </is>
      </c>
      <c r="D42" s="3" t="n">
        <v>45944</v>
      </c>
      <c r="E42" t="inlineStr">
        <is>
          <t>ネクストソリューション(株)</t>
        </is>
      </c>
      <c r="F42" t="inlineStr">
        <is>
          <t>愛知県</t>
        </is>
      </c>
      <c r="G42" t="inlineStr">
        <is>
          <t>導入支援</t>
        </is>
      </c>
      <c r="H42" t="inlineStr">
        <is>
          <t>初期設定支援</t>
        </is>
      </c>
      <c r="I42" s="4" t="n">
        <v>2</v>
      </c>
      <c r="J42" s="4" t="n">
        <v>127600</v>
      </c>
      <c r="K42" s="4">
        <f>I42*J42</f>
        <v/>
      </c>
      <c r="L42" t="inlineStr"/>
    </row>
    <row r="43">
      <c r="A43" t="inlineStr">
        <is>
          <t>SR002</t>
        </is>
      </c>
      <c r="B43" t="inlineStr">
        <is>
          <t>営業担当002</t>
        </is>
      </c>
      <c r="C43" t="inlineStr">
        <is>
          <t>第2営業部</t>
        </is>
      </c>
      <c r="D43" s="3" t="n">
        <v>45963</v>
      </c>
      <c r="E43" t="inlineStr">
        <is>
          <t>青葉商事(株)</t>
        </is>
      </c>
      <c r="F43" t="inlineStr">
        <is>
          <t>福岡県</t>
        </is>
      </c>
      <c r="G43" t="inlineStr">
        <is>
          <t>保守サービス</t>
        </is>
      </c>
      <c r="H43" t="inlineStr">
        <is>
          <t>年間保守契約</t>
        </is>
      </c>
      <c r="I43" s="4" t="n">
        <v>4</v>
      </c>
      <c r="J43" s="4" t="n">
        <v>285900</v>
      </c>
      <c r="K43" s="4">
        <f>I43*J43</f>
        <v/>
      </c>
      <c r="L43" t="inlineStr">
        <is>
          <t>キャンペーン適用</t>
        </is>
      </c>
    </row>
    <row r="44">
      <c r="A44" t="inlineStr">
        <is>
          <t>SR002</t>
        </is>
      </c>
      <c r="B44" t="inlineStr">
        <is>
          <t>営業担当002</t>
        </is>
      </c>
      <c r="C44" t="inlineStr">
        <is>
          <t>第2営業部</t>
        </is>
      </c>
      <c r="D44" s="3" t="n">
        <v>45974</v>
      </c>
      <c r="E44" t="inlineStr">
        <is>
          <t>未来通信(株)</t>
        </is>
      </c>
      <c r="F44" t="inlineStr">
        <is>
          <t>神奈川県</t>
        </is>
      </c>
      <c r="G44" t="inlineStr">
        <is>
          <t>導入支援</t>
        </is>
      </c>
      <c r="H44" t="inlineStr">
        <is>
          <t>操作研修パック</t>
        </is>
      </c>
      <c r="I44" s="4" t="n">
        <v>5</v>
      </c>
      <c r="J44" s="4" t="n">
        <v>129600</v>
      </c>
      <c r="K44" s="4">
        <f>I44*J44</f>
        <v/>
      </c>
      <c r="L44" t="inlineStr"/>
    </row>
    <row r="45">
      <c r="A45" t="inlineStr">
        <is>
          <t>SR002</t>
        </is>
      </c>
      <c r="B45" t="inlineStr">
        <is>
          <t>営業担当002</t>
        </is>
      </c>
      <c r="C45" t="inlineStr">
        <is>
          <t>第2営業部</t>
        </is>
      </c>
      <c r="D45" s="3" t="n">
        <v>45998</v>
      </c>
      <c r="E45" t="inlineStr">
        <is>
          <t>サンライズ建設株式会社</t>
        </is>
      </c>
      <c r="F45" t="inlineStr">
        <is>
          <t>東京都</t>
        </is>
      </c>
      <c r="G45" t="inlineStr">
        <is>
          <t>消耗品</t>
        </is>
      </c>
      <c r="H45" t="inlineStr">
        <is>
          <t>交換用ヘッド</t>
        </is>
      </c>
      <c r="I45" s="4" t="n">
        <v>9</v>
      </c>
      <c r="J45" s="4" t="n">
        <v>14490</v>
      </c>
      <c r="K45" s="4">
        <f>I45*J45</f>
        <v/>
      </c>
      <c r="L45" t="inlineStr">
        <is>
          <t>新規開拓</t>
        </is>
      </c>
    </row>
    <row r="46">
      <c r="A46" t="inlineStr">
        <is>
          <t>SR002</t>
        </is>
      </c>
      <c r="B46" t="inlineStr">
        <is>
          <t>営業担当002</t>
        </is>
      </c>
      <c r="C46" t="inlineStr">
        <is>
          <t>第2営業部</t>
        </is>
      </c>
      <c r="D46" s="3" t="n">
        <v>46009</v>
      </c>
      <c r="E46" t="inlineStr">
        <is>
          <t>青葉商事株式会社</t>
        </is>
      </c>
      <c r="F46" t="inlineStr">
        <is>
          <t>大阪府</t>
        </is>
      </c>
      <c r="G46" t="inlineStr">
        <is>
          <t>ハードウェア</t>
        </is>
      </c>
      <c r="H46" t="inlineStr">
        <is>
          <t>産業用タブレット</t>
        </is>
      </c>
      <c r="I46" s="4" t="n">
        <v>3</v>
      </c>
      <c r="J46" s="4" t="n">
        <v>127600</v>
      </c>
      <c r="K46" s="4">
        <f>I46*J46</f>
        <v/>
      </c>
      <c r="L46" t="inlineStr">
        <is>
          <t>値引き調整あり</t>
        </is>
      </c>
    </row>
    <row r="47">
      <c r="A47" t="inlineStr">
        <is>
          <t>SR002</t>
        </is>
      </c>
      <c r="B47" t="inlineStr">
        <is>
          <t>営業担当002</t>
        </is>
      </c>
      <c r="C47" t="inlineStr">
        <is>
          <t>第2営業部</t>
        </is>
      </c>
      <c r="D47" s="3" t="n">
        <v>46024</v>
      </c>
      <c r="E47" t="inlineStr">
        <is>
          <t>北斗産業有限会社</t>
        </is>
      </c>
      <c r="F47" t="inlineStr">
        <is>
          <t>広島県</t>
        </is>
      </c>
      <c r="G47" t="inlineStr">
        <is>
          <t>消耗品</t>
        </is>
      </c>
      <c r="H47" t="inlineStr">
        <is>
          <t>交換用ヘッド</t>
        </is>
      </c>
      <c r="I47" s="4" t="n">
        <v>3</v>
      </c>
      <c r="J47" s="4" t="n">
        <v>14320</v>
      </c>
      <c r="K47" s="4">
        <f>I47*J47</f>
        <v/>
      </c>
      <c r="L47" t="inlineStr">
        <is>
          <t>値引き調整あり</t>
        </is>
      </c>
    </row>
    <row r="48">
      <c r="A48" t="inlineStr">
        <is>
          <t>SR002</t>
        </is>
      </c>
      <c r="B48" t="inlineStr">
        <is>
          <t>営業担当002</t>
        </is>
      </c>
      <c r="C48" t="inlineStr">
        <is>
          <t>第2営業部</t>
        </is>
      </c>
      <c r="D48" s="3" t="n">
        <v>46027</v>
      </c>
      <c r="E48" t="inlineStr">
        <is>
          <t>アーク電機株式会社</t>
        </is>
      </c>
      <c r="F48" t="inlineStr">
        <is>
          <t>東京都</t>
        </is>
      </c>
      <c r="G48" t="inlineStr">
        <is>
          <t>保守サービス</t>
        </is>
      </c>
      <c r="H48" t="inlineStr">
        <is>
          <t>オンサイト保守</t>
        </is>
      </c>
      <c r="I48" s="4" t="n">
        <v>1</v>
      </c>
      <c r="J48" s="4" t="n">
        <v>113200</v>
      </c>
      <c r="K48" s="4">
        <f>I48*J48</f>
        <v/>
      </c>
      <c r="L48" t="inlineStr">
        <is>
          <t>大型案件</t>
        </is>
      </c>
    </row>
    <row r="49">
      <c r="A49" t="inlineStr">
        <is>
          <t>SR002</t>
        </is>
      </c>
      <c r="B49" t="inlineStr">
        <is>
          <t>営業担当002</t>
        </is>
      </c>
      <c r="C49" t="inlineStr">
        <is>
          <t>第2営業部</t>
        </is>
      </c>
      <c r="D49" s="3" t="n">
        <v>46056</v>
      </c>
      <c r="E49" t="inlineStr">
        <is>
          <t>西日本機工株式会社</t>
        </is>
      </c>
      <c r="F49" t="inlineStr">
        <is>
          <t>兵庫県</t>
        </is>
      </c>
      <c r="G49" t="inlineStr">
        <is>
          <t>ソフトウェア</t>
        </is>
      </c>
      <c r="H49" t="inlineStr">
        <is>
          <t>営業支援SaaS</t>
        </is>
      </c>
      <c r="I49" s="4" t="n">
        <v>4</v>
      </c>
      <c r="J49" s="4" t="n">
        <v>169100</v>
      </c>
      <c r="K49" s="4">
        <f>I49*J49</f>
        <v/>
      </c>
      <c r="L49" t="inlineStr">
        <is>
          <t>大型案件</t>
        </is>
      </c>
    </row>
    <row r="50">
      <c r="A50" t="inlineStr">
        <is>
          <t>SR002</t>
        </is>
      </c>
      <c r="B50" t="inlineStr">
        <is>
          <t>営業担当002</t>
        </is>
      </c>
      <c r="C50" t="inlineStr">
        <is>
          <t>第2営業部</t>
        </is>
      </c>
      <c r="D50" s="3" t="n">
        <v>46075</v>
      </c>
      <c r="E50" t="inlineStr">
        <is>
          <t>桜井メディカル有限会社</t>
        </is>
      </c>
      <c r="F50" t="inlineStr">
        <is>
          <t>大阪府</t>
        </is>
      </c>
      <c r="G50" t="inlineStr">
        <is>
          <t>保守サービス</t>
        </is>
      </c>
      <c r="H50" t="inlineStr">
        <is>
          <t>ヘルプデスク契約</t>
        </is>
      </c>
      <c r="I50" s="4" t="n">
        <v>4</v>
      </c>
      <c r="J50" s="4" t="n">
        <v>99500</v>
      </c>
      <c r="K50" s="4">
        <f>I50*J50</f>
        <v/>
      </c>
      <c r="L50" t="inlineStr"/>
    </row>
    <row r="51">
      <c r="A51" t="inlineStr">
        <is>
          <t>SR002</t>
        </is>
      </c>
      <c r="B51" t="inlineStr">
        <is>
          <t>営業担当002</t>
        </is>
      </c>
      <c r="C51" t="inlineStr">
        <is>
          <t>第2営業部</t>
        </is>
      </c>
      <c r="D51" s="3" t="n">
        <v>46089</v>
      </c>
      <c r="E51" t="inlineStr">
        <is>
          <t>西日本機工株式会社</t>
        </is>
      </c>
      <c r="F51" t="inlineStr">
        <is>
          <t>宮城県</t>
        </is>
      </c>
      <c r="G51" t="inlineStr">
        <is>
          <t>ソフトウェア</t>
        </is>
      </c>
      <c r="H51" t="inlineStr">
        <is>
          <t>営業支援SaaS</t>
        </is>
      </c>
      <c r="I51" s="4" t="n">
        <v>3</v>
      </c>
      <c r="J51" s="4" t="n">
        <v>288600</v>
      </c>
      <c r="K51" s="4">
        <f>I51*J51</f>
        <v/>
      </c>
      <c r="L51" t="inlineStr">
        <is>
          <t>大型案件</t>
        </is>
      </c>
    </row>
    <row r="52">
      <c r="A52" t="inlineStr">
        <is>
          <t>SR002</t>
        </is>
      </c>
      <c r="B52" t="inlineStr">
        <is>
          <t>営業担当002</t>
        </is>
      </c>
      <c r="C52" t="inlineStr">
        <is>
          <t>第2営業部</t>
        </is>
      </c>
      <c r="D52" s="3" t="n">
        <v>46100</v>
      </c>
      <c r="E52" t="inlineStr">
        <is>
          <t>ライトホーム株式会社</t>
        </is>
      </c>
      <c r="F52" t="inlineStr">
        <is>
          <t>兵庫県</t>
        </is>
      </c>
      <c r="G52" t="inlineStr">
        <is>
          <t>ソフトウェア</t>
        </is>
      </c>
      <c r="H52" t="inlineStr">
        <is>
          <t>AIチャットボット</t>
        </is>
      </c>
      <c r="I52" s="4" t="n">
        <v>5</v>
      </c>
      <c r="J52" s="4" t="n">
        <v>713000</v>
      </c>
      <c r="K52" s="4">
        <f>I52*J52</f>
        <v/>
      </c>
      <c r="L52" t="inlineStr">
        <is>
          <t>値引き調整あり</t>
        </is>
      </c>
    </row>
    <row r="53">
      <c r="A53" t="inlineStr">
        <is>
          <t>SR003</t>
        </is>
      </c>
      <c r="B53" t="inlineStr">
        <is>
          <t>営業担当003</t>
        </is>
      </c>
      <c r="C53" t="inlineStr">
        <is>
          <t>第3営業部</t>
        </is>
      </c>
      <c r="D53" s="3" t="n">
        <v>45756</v>
      </c>
      <c r="E53" t="inlineStr">
        <is>
          <t>西日本機工有限会社</t>
        </is>
      </c>
      <c r="F53" t="inlineStr">
        <is>
          <t>大阪府</t>
        </is>
      </c>
      <c r="G53" t="inlineStr">
        <is>
          <t>導入支援</t>
        </is>
      </c>
      <c r="H53" t="inlineStr">
        <is>
          <t>初期設定支援</t>
        </is>
      </c>
      <c r="I53" s="4" t="n">
        <v>4</v>
      </c>
      <c r="J53" s="4" t="n">
        <v>95500</v>
      </c>
      <c r="K53" s="4">
        <f>I53*J53</f>
        <v/>
      </c>
      <c r="L53" t="inlineStr">
        <is>
          <t>大型案件</t>
        </is>
      </c>
    </row>
    <row r="54">
      <c r="A54" t="inlineStr">
        <is>
          <t>SR003</t>
        </is>
      </c>
      <c r="B54" t="inlineStr">
        <is>
          <t>営業担当003</t>
        </is>
      </c>
      <c r="C54" t="inlineStr">
        <is>
          <t>第3営業部</t>
        </is>
      </c>
      <c r="D54" s="3" t="n">
        <v>45773</v>
      </c>
      <c r="E54" t="inlineStr">
        <is>
          <t>東洋フーズ株式会社</t>
        </is>
      </c>
      <c r="F54" t="inlineStr">
        <is>
          <t>東京都</t>
        </is>
      </c>
      <c r="G54" t="inlineStr">
        <is>
          <t>ソフトウェア</t>
        </is>
      </c>
      <c r="H54" t="inlineStr">
        <is>
          <t>営業支援SaaS</t>
        </is>
      </c>
      <c r="I54" s="4" t="n">
        <v>4</v>
      </c>
      <c r="J54" s="4" t="n">
        <v>149800</v>
      </c>
      <c r="K54" s="4">
        <f>I54*J54</f>
        <v/>
      </c>
      <c r="L54" t="inlineStr">
        <is>
          <t>分納</t>
        </is>
      </c>
    </row>
    <row r="55">
      <c r="A55" t="inlineStr">
        <is>
          <t>SR003</t>
        </is>
      </c>
      <c r="B55" t="inlineStr">
        <is>
          <t>営業担当003</t>
        </is>
      </c>
      <c r="C55" t="inlineStr">
        <is>
          <t>第3営業部</t>
        </is>
      </c>
      <c r="D55" s="3" t="n">
        <v>45791</v>
      </c>
      <c r="E55" t="inlineStr">
        <is>
          <t>星和商会株式会社</t>
        </is>
      </c>
      <c r="F55" t="inlineStr">
        <is>
          <t>宮城県</t>
        </is>
      </c>
      <c r="G55" t="inlineStr">
        <is>
          <t>導入支援</t>
        </is>
      </c>
      <c r="H55" t="inlineStr">
        <is>
          <t>データ移行支援</t>
        </is>
      </c>
      <c r="I55" s="4" t="n">
        <v>2</v>
      </c>
      <c r="J55" s="4" t="n">
        <v>140400</v>
      </c>
      <c r="K55" s="4">
        <f>I55*J55</f>
        <v/>
      </c>
      <c r="L55" t="inlineStr"/>
    </row>
    <row r="56">
      <c r="A56" t="inlineStr">
        <is>
          <t>SR003</t>
        </is>
      </c>
      <c r="B56" t="inlineStr">
        <is>
          <t>営業担当003</t>
        </is>
      </c>
      <c r="C56" t="inlineStr">
        <is>
          <t>第3営業部</t>
        </is>
      </c>
      <c r="D56" s="3" t="n">
        <v>45804</v>
      </c>
      <c r="E56" t="inlineStr">
        <is>
          <t>白峰化学(株)</t>
        </is>
      </c>
      <c r="F56" t="inlineStr">
        <is>
          <t>神奈川県</t>
        </is>
      </c>
      <c r="G56" t="inlineStr">
        <is>
          <t>ハードウェア</t>
        </is>
      </c>
      <c r="H56" t="inlineStr">
        <is>
          <t>小型ハンディ端末</t>
        </is>
      </c>
      <c r="I56" s="4" t="n">
        <v>1</v>
      </c>
      <c r="J56" s="4" t="n">
        <v>64700</v>
      </c>
      <c r="K56" s="4">
        <f>I56*J56</f>
        <v/>
      </c>
      <c r="L56" t="inlineStr">
        <is>
          <t>キャンペーン適用</t>
        </is>
      </c>
    </row>
    <row r="57">
      <c r="A57" t="inlineStr">
        <is>
          <t>SR003</t>
        </is>
      </c>
      <c r="B57" t="inlineStr">
        <is>
          <t>営業担当003</t>
        </is>
      </c>
      <c r="C57" t="inlineStr">
        <is>
          <t>第3営業部</t>
        </is>
      </c>
      <c r="D57" s="3" t="n">
        <v>45819</v>
      </c>
      <c r="E57" t="inlineStr">
        <is>
          <t>未来通信株式会社</t>
        </is>
      </c>
      <c r="F57" t="inlineStr">
        <is>
          <t>神奈川県</t>
        </is>
      </c>
      <c r="G57" t="inlineStr">
        <is>
          <t>保守サービス</t>
        </is>
      </c>
      <c r="H57" t="inlineStr">
        <is>
          <t>ヘルプデスク契約</t>
        </is>
      </c>
      <c r="I57" s="4" t="n">
        <v>5</v>
      </c>
      <c r="J57" s="4" t="n">
        <v>76900</v>
      </c>
      <c r="K57" s="4">
        <f>I57*J57</f>
        <v/>
      </c>
      <c r="L57" t="inlineStr">
        <is>
          <t>値引き調整あり</t>
        </is>
      </c>
    </row>
    <row r="58">
      <c r="A58" t="inlineStr">
        <is>
          <t>SR003</t>
        </is>
      </c>
      <c r="B58" t="inlineStr">
        <is>
          <t>営業担当003</t>
        </is>
      </c>
      <c r="C58" t="inlineStr">
        <is>
          <t>第3営業部</t>
        </is>
      </c>
      <c r="D58" s="3" t="n">
        <v>45833</v>
      </c>
      <c r="E58" t="inlineStr">
        <is>
          <t>中央設備(株)</t>
        </is>
      </c>
      <c r="F58" t="inlineStr">
        <is>
          <t>愛知県</t>
        </is>
      </c>
      <c r="G58" t="inlineStr">
        <is>
          <t>ハードウェア</t>
        </is>
      </c>
      <c r="H58" t="inlineStr">
        <is>
          <t>ネットワークカメラ</t>
        </is>
      </c>
      <c r="I58" s="4" t="n">
        <v>1</v>
      </c>
      <c r="J58" s="4" t="n">
        <v>49500</v>
      </c>
      <c r="K58" s="4">
        <f>I58*J58</f>
        <v/>
      </c>
      <c r="L58" t="inlineStr"/>
    </row>
    <row r="59">
      <c r="A59" t="inlineStr">
        <is>
          <t>SR003</t>
        </is>
      </c>
      <c r="B59" t="inlineStr">
        <is>
          <t>営業担当003</t>
        </is>
      </c>
      <c r="C59" t="inlineStr">
        <is>
          <t>第3営業部</t>
        </is>
      </c>
      <c r="D59" s="3" t="n">
        <v>45849</v>
      </c>
      <c r="E59" t="inlineStr">
        <is>
          <t>青葉商事株式会社</t>
        </is>
      </c>
      <c r="F59" t="inlineStr">
        <is>
          <t>神奈川県</t>
        </is>
      </c>
      <c r="G59" t="inlineStr">
        <is>
          <t>ハードウェア</t>
        </is>
      </c>
      <c r="H59" t="inlineStr">
        <is>
          <t>ラベルプリンター</t>
        </is>
      </c>
      <c r="I59" s="4" t="n">
        <v>1</v>
      </c>
      <c r="J59" s="4" t="n">
        <v>43500</v>
      </c>
      <c r="K59" s="4">
        <f>I59*J59</f>
        <v/>
      </c>
      <c r="L59" t="inlineStr">
        <is>
          <t>キャンペーン適用</t>
        </is>
      </c>
    </row>
    <row r="60">
      <c r="A60" t="inlineStr">
        <is>
          <t>SR003</t>
        </is>
      </c>
      <c r="B60" t="inlineStr">
        <is>
          <t>営業担当003</t>
        </is>
      </c>
      <c r="C60" t="inlineStr">
        <is>
          <t>第3営業部</t>
        </is>
      </c>
      <c r="D60" s="3" t="n">
        <v>45853</v>
      </c>
      <c r="E60" t="inlineStr">
        <is>
          <t>グリーンテック(株)</t>
        </is>
      </c>
      <c r="F60" t="inlineStr">
        <is>
          <t>京都府</t>
        </is>
      </c>
      <c r="G60" t="inlineStr">
        <is>
          <t>消耗品</t>
        </is>
      </c>
      <c r="H60" t="inlineStr">
        <is>
          <t>交換用ヘッド</t>
        </is>
      </c>
      <c r="I60" s="4" t="n">
        <v>6</v>
      </c>
      <c r="J60" s="4" t="n">
        <v>30120</v>
      </c>
      <c r="K60" s="4">
        <f>I60*J60</f>
        <v/>
      </c>
      <c r="L60" t="inlineStr">
        <is>
          <t>値引き調整あり</t>
        </is>
      </c>
    </row>
    <row r="61">
      <c r="A61" t="inlineStr">
        <is>
          <t>SR003</t>
        </is>
      </c>
      <c r="B61" t="inlineStr">
        <is>
          <t>営業担当003</t>
        </is>
      </c>
      <c r="C61" t="inlineStr">
        <is>
          <t>第3営業部</t>
        </is>
      </c>
      <c r="D61" s="3" t="n">
        <v>45881</v>
      </c>
      <c r="E61" t="inlineStr">
        <is>
          <t>オーシャン製作所(株)</t>
        </is>
      </c>
      <c r="F61" t="inlineStr">
        <is>
          <t>兵庫県</t>
        </is>
      </c>
      <c r="G61" t="inlineStr">
        <is>
          <t>消耗品</t>
        </is>
      </c>
      <c r="H61" t="inlineStr">
        <is>
          <t>ラベルロール</t>
        </is>
      </c>
      <c r="I61" s="4" t="n">
        <v>7</v>
      </c>
      <c r="J61" s="4" t="n">
        <v>6090</v>
      </c>
      <c r="K61" s="4">
        <f>I61*J61</f>
        <v/>
      </c>
      <c r="L61" t="inlineStr">
        <is>
          <t>リピート受注</t>
        </is>
      </c>
    </row>
    <row r="62">
      <c r="A62" t="inlineStr">
        <is>
          <t>SR003</t>
        </is>
      </c>
      <c r="B62" t="inlineStr">
        <is>
          <t>営業担当003</t>
        </is>
      </c>
      <c r="C62" t="inlineStr">
        <is>
          <t>第3営業部</t>
        </is>
      </c>
      <c r="D62" s="3" t="n">
        <v>45883</v>
      </c>
      <c r="E62" t="inlineStr">
        <is>
          <t>九州エナジー(株)</t>
        </is>
      </c>
      <c r="F62" t="inlineStr">
        <is>
          <t>福岡県</t>
        </is>
      </c>
      <c r="G62" t="inlineStr">
        <is>
          <t>導入支援</t>
        </is>
      </c>
      <c r="H62" t="inlineStr">
        <is>
          <t>データ移行支援</t>
        </is>
      </c>
      <c r="I62" s="4" t="n">
        <v>3</v>
      </c>
      <c r="J62" s="4" t="n">
        <v>181200</v>
      </c>
      <c r="K62" s="4">
        <f>I62*J62</f>
        <v/>
      </c>
      <c r="L62" t="inlineStr">
        <is>
          <t>リピート受注</t>
        </is>
      </c>
    </row>
    <row r="63">
      <c r="A63" t="inlineStr">
        <is>
          <t>SR003</t>
        </is>
      </c>
      <c r="B63" t="inlineStr">
        <is>
          <t>営業担当003</t>
        </is>
      </c>
      <c r="C63" t="inlineStr">
        <is>
          <t>第3営業部</t>
        </is>
      </c>
      <c r="D63" s="3" t="n">
        <v>45902</v>
      </c>
      <c r="E63" t="inlineStr">
        <is>
          <t>アーク電機株式会社</t>
        </is>
      </c>
      <c r="F63" t="inlineStr">
        <is>
          <t>京都府</t>
        </is>
      </c>
      <c r="G63" t="inlineStr">
        <is>
          <t>消耗品</t>
        </is>
      </c>
      <c r="H63" t="inlineStr">
        <is>
          <t>交換用ヘッド</t>
        </is>
      </c>
      <c r="I63" s="4" t="n">
        <v>12</v>
      </c>
      <c r="J63" s="4" t="n">
        <v>39460</v>
      </c>
      <c r="K63" s="4">
        <f>I63*J63</f>
        <v/>
      </c>
      <c r="L63" t="inlineStr">
        <is>
          <t>大型案件</t>
        </is>
      </c>
    </row>
    <row r="64">
      <c r="A64" t="inlineStr">
        <is>
          <t>SR003</t>
        </is>
      </c>
      <c r="B64" t="inlineStr">
        <is>
          <t>営業担当003</t>
        </is>
      </c>
      <c r="C64" t="inlineStr">
        <is>
          <t>第3営業部</t>
        </is>
      </c>
      <c r="D64" s="3" t="n">
        <v>45925</v>
      </c>
      <c r="E64" t="inlineStr">
        <is>
          <t>大和精機(株)</t>
        </is>
      </c>
      <c r="F64" t="inlineStr">
        <is>
          <t>愛知県</t>
        </is>
      </c>
      <c r="G64" t="inlineStr">
        <is>
          <t>保守サービス</t>
        </is>
      </c>
      <c r="H64" t="inlineStr">
        <is>
          <t>オンサイト保守</t>
        </is>
      </c>
      <c r="I64" s="4" t="n">
        <v>1</v>
      </c>
      <c r="J64" s="4" t="n">
        <v>98500</v>
      </c>
      <c r="K64" s="4">
        <f>I64*J64</f>
        <v/>
      </c>
      <c r="L64" t="inlineStr">
        <is>
          <t>大型案件</t>
        </is>
      </c>
    </row>
    <row r="65">
      <c r="A65" t="inlineStr">
        <is>
          <t>SR003</t>
        </is>
      </c>
      <c r="B65" t="inlineStr">
        <is>
          <t>営業担当003</t>
        </is>
      </c>
      <c r="C65" t="inlineStr">
        <is>
          <t>第3営業部</t>
        </is>
      </c>
      <c r="D65" s="3" t="n">
        <v>45939</v>
      </c>
      <c r="E65" t="inlineStr">
        <is>
          <t>オーシャン製作所(株)</t>
        </is>
      </c>
      <c r="F65" t="inlineStr">
        <is>
          <t>京都府</t>
        </is>
      </c>
      <c r="G65" t="inlineStr">
        <is>
          <t>ソフトウェア</t>
        </is>
      </c>
      <c r="H65" t="inlineStr">
        <is>
          <t>営業支援SaaS</t>
        </is>
      </c>
      <c r="I65" s="4" t="n">
        <v>2</v>
      </c>
      <c r="J65" s="4" t="n">
        <v>214700</v>
      </c>
      <c r="K65" s="4">
        <f>I65*J65</f>
        <v/>
      </c>
      <c r="L65" t="inlineStr">
        <is>
          <t>キャンペーン適用</t>
        </is>
      </c>
    </row>
    <row r="66">
      <c r="A66" t="inlineStr">
        <is>
          <t>SR003</t>
        </is>
      </c>
      <c r="B66" t="inlineStr">
        <is>
          <t>営業担当003</t>
        </is>
      </c>
      <c r="C66" t="inlineStr">
        <is>
          <t>第3営業部</t>
        </is>
      </c>
      <c r="D66" s="3" t="n">
        <v>45942</v>
      </c>
      <c r="E66" t="inlineStr">
        <is>
          <t>アーク電機株式会社</t>
        </is>
      </c>
      <c r="F66" t="inlineStr">
        <is>
          <t>北海道</t>
        </is>
      </c>
      <c r="G66" t="inlineStr">
        <is>
          <t>消耗品</t>
        </is>
      </c>
      <c r="H66" t="inlineStr">
        <is>
          <t>保守用バッテリー</t>
        </is>
      </c>
      <c r="I66" s="4" t="n">
        <v>11</v>
      </c>
      <c r="J66" s="4" t="n">
        <v>8350</v>
      </c>
      <c r="K66" s="4">
        <f>I66*J66</f>
        <v/>
      </c>
      <c r="L66" t="inlineStr">
        <is>
          <t>リピート受注</t>
        </is>
      </c>
    </row>
    <row r="67">
      <c r="A67" t="inlineStr">
        <is>
          <t>SR003</t>
        </is>
      </c>
      <c r="B67" t="inlineStr">
        <is>
          <t>営業担当003</t>
        </is>
      </c>
      <c r="C67" t="inlineStr">
        <is>
          <t>第3営業部</t>
        </is>
      </c>
      <c r="D67" s="3" t="n">
        <v>45978</v>
      </c>
      <c r="E67" t="inlineStr">
        <is>
          <t>サンライズ建設有限会社</t>
        </is>
      </c>
      <c r="F67" t="inlineStr">
        <is>
          <t>宮城県</t>
        </is>
      </c>
      <c r="G67" t="inlineStr">
        <is>
          <t>保守サービス</t>
        </is>
      </c>
      <c r="H67" t="inlineStr">
        <is>
          <t>オンサイト保守</t>
        </is>
      </c>
      <c r="I67" s="4" t="n">
        <v>3</v>
      </c>
      <c r="J67" s="4" t="n">
        <v>153500</v>
      </c>
      <c r="K67" s="4">
        <f>I67*J67</f>
        <v/>
      </c>
      <c r="L67" t="inlineStr"/>
    </row>
    <row r="68">
      <c r="A68" t="inlineStr">
        <is>
          <t>SR003</t>
        </is>
      </c>
      <c r="B68" t="inlineStr">
        <is>
          <t>営業担当003</t>
        </is>
      </c>
      <c r="C68" t="inlineStr">
        <is>
          <t>第3営業部</t>
        </is>
      </c>
      <c r="D68" s="3" t="n">
        <v>45984</v>
      </c>
      <c r="E68" t="inlineStr">
        <is>
          <t>グリーンテック有限会社</t>
        </is>
      </c>
      <c r="F68" t="inlineStr">
        <is>
          <t>愛知県</t>
        </is>
      </c>
      <c r="G68" t="inlineStr">
        <is>
          <t>ソフトウェア</t>
        </is>
      </c>
      <c r="H68" t="inlineStr">
        <is>
          <t>AIチャットボット</t>
        </is>
      </c>
      <c r="I68" s="4" t="n">
        <v>4</v>
      </c>
      <c r="J68" s="4" t="n">
        <v>521000</v>
      </c>
      <c r="K68" s="4">
        <f>I68*J68</f>
        <v/>
      </c>
      <c r="L68" t="inlineStr">
        <is>
          <t>値引き調整あり</t>
        </is>
      </c>
    </row>
    <row r="69">
      <c r="A69" t="inlineStr">
        <is>
          <t>SR003</t>
        </is>
      </c>
      <c r="B69" t="inlineStr">
        <is>
          <t>営業担当003</t>
        </is>
      </c>
      <c r="C69" t="inlineStr">
        <is>
          <t>第3営業部</t>
        </is>
      </c>
      <c r="D69" s="3" t="n">
        <v>45998</v>
      </c>
      <c r="E69" t="inlineStr">
        <is>
          <t>アーク電機有限会社</t>
        </is>
      </c>
      <c r="F69" t="inlineStr">
        <is>
          <t>宮城県</t>
        </is>
      </c>
      <c r="G69" t="inlineStr">
        <is>
          <t>ハードウェア</t>
        </is>
      </c>
      <c r="H69" t="inlineStr">
        <is>
          <t>ラベルプリンター</t>
        </is>
      </c>
      <c r="I69" s="4" t="n">
        <v>4</v>
      </c>
      <c r="J69" s="4" t="n">
        <v>66000</v>
      </c>
      <c r="K69" s="4">
        <f>I69*J69</f>
        <v/>
      </c>
      <c r="L69" t="inlineStr"/>
    </row>
    <row r="70">
      <c r="A70" t="inlineStr">
        <is>
          <t>SR003</t>
        </is>
      </c>
      <c r="B70" t="inlineStr">
        <is>
          <t>営業担当003</t>
        </is>
      </c>
      <c r="C70" t="inlineStr">
        <is>
          <t>第3営業部</t>
        </is>
      </c>
      <c r="D70" s="3" t="n">
        <v>46006</v>
      </c>
      <c r="E70" t="inlineStr">
        <is>
          <t>アーク電機株式会社</t>
        </is>
      </c>
      <c r="F70" t="inlineStr">
        <is>
          <t>愛知県</t>
        </is>
      </c>
      <c r="G70" t="inlineStr">
        <is>
          <t>導入支援</t>
        </is>
      </c>
      <c r="H70" t="inlineStr">
        <is>
          <t>データ移行支援</t>
        </is>
      </c>
      <c r="I70" s="4" t="n">
        <v>5</v>
      </c>
      <c r="J70" s="4" t="n">
        <v>88000</v>
      </c>
      <c r="K70" s="4">
        <f>I70*J70</f>
        <v/>
      </c>
      <c r="L70" t="inlineStr">
        <is>
          <t>キャンペーン適用</t>
        </is>
      </c>
    </row>
    <row r="71">
      <c r="A71" t="inlineStr">
        <is>
          <t>SR003</t>
        </is>
      </c>
      <c r="B71" t="inlineStr">
        <is>
          <t>営業担当003</t>
        </is>
      </c>
      <c r="C71" t="inlineStr">
        <is>
          <t>第3営業部</t>
        </is>
      </c>
      <c r="D71" s="3" t="n">
        <v>46032</v>
      </c>
      <c r="E71" t="inlineStr">
        <is>
          <t>サンライズ建設株式会社</t>
        </is>
      </c>
      <c r="F71" t="inlineStr">
        <is>
          <t>宮城県</t>
        </is>
      </c>
      <c r="G71" t="inlineStr">
        <is>
          <t>消耗品</t>
        </is>
      </c>
      <c r="H71" t="inlineStr">
        <is>
          <t>交換用ヘッド</t>
        </is>
      </c>
      <c r="I71" s="4" t="n">
        <v>11</v>
      </c>
      <c r="J71" s="4" t="n">
        <v>25190</v>
      </c>
      <c r="K71" s="4">
        <f>I71*J71</f>
        <v/>
      </c>
      <c r="L71" t="inlineStr">
        <is>
          <t>分納</t>
        </is>
      </c>
    </row>
    <row r="72">
      <c r="A72" t="inlineStr">
        <is>
          <t>SR003</t>
        </is>
      </c>
      <c r="B72" t="inlineStr">
        <is>
          <t>営業担当003</t>
        </is>
      </c>
      <c r="C72" t="inlineStr">
        <is>
          <t>第3営業部</t>
        </is>
      </c>
      <c r="D72" s="3" t="n">
        <v>46038</v>
      </c>
      <c r="E72" t="inlineStr">
        <is>
          <t>青葉商事(株)</t>
        </is>
      </c>
      <c r="F72" t="inlineStr">
        <is>
          <t>神奈川県</t>
        </is>
      </c>
      <c r="G72" t="inlineStr">
        <is>
          <t>導入支援</t>
        </is>
      </c>
      <c r="H72" t="inlineStr">
        <is>
          <t>データ移行支援</t>
        </is>
      </c>
      <c r="I72" s="4" t="n">
        <v>5</v>
      </c>
      <c r="J72" s="4" t="n">
        <v>303600</v>
      </c>
      <c r="K72" s="4">
        <f>I72*J72</f>
        <v/>
      </c>
      <c r="L72" t="inlineStr">
        <is>
          <t>大型案件</t>
        </is>
      </c>
    </row>
    <row r="73">
      <c r="A73" t="inlineStr">
        <is>
          <t>SR003</t>
        </is>
      </c>
      <c r="B73" t="inlineStr">
        <is>
          <t>営業担当003</t>
        </is>
      </c>
      <c r="C73" t="inlineStr">
        <is>
          <t>第3営業部</t>
        </is>
      </c>
      <c r="D73" s="3" t="n">
        <v>46068</v>
      </c>
      <c r="E73" t="inlineStr">
        <is>
          <t>白峰化学有限会社</t>
        </is>
      </c>
      <c r="F73" t="inlineStr">
        <is>
          <t>愛知県</t>
        </is>
      </c>
      <c r="G73" t="inlineStr">
        <is>
          <t>消耗品</t>
        </is>
      </c>
      <c r="H73" t="inlineStr">
        <is>
          <t>保守用バッテリー</t>
        </is>
      </c>
      <c r="I73" s="4" t="n">
        <v>13</v>
      </c>
      <c r="J73" s="4" t="n">
        <v>9270</v>
      </c>
      <c r="K73" s="4">
        <f>I73*J73</f>
        <v/>
      </c>
      <c r="L73" t="inlineStr"/>
    </row>
    <row r="74">
      <c r="A74" t="inlineStr">
        <is>
          <t>SR003</t>
        </is>
      </c>
      <c r="B74" t="inlineStr">
        <is>
          <t>営業担当003</t>
        </is>
      </c>
      <c r="C74" t="inlineStr">
        <is>
          <t>第3営業部</t>
        </is>
      </c>
      <c r="D74" s="3" t="n">
        <v>46069</v>
      </c>
      <c r="E74" t="inlineStr">
        <is>
          <t>桜井メディカル(株)</t>
        </is>
      </c>
      <c r="F74" t="inlineStr">
        <is>
          <t>宮城県</t>
        </is>
      </c>
      <c r="G74" t="inlineStr">
        <is>
          <t>導入支援</t>
        </is>
      </c>
      <c r="H74" t="inlineStr">
        <is>
          <t>初期設定支援</t>
        </is>
      </c>
      <c r="I74" s="4" t="n">
        <v>4</v>
      </c>
      <c r="J74" s="4" t="n">
        <v>118800</v>
      </c>
      <c r="K74" s="4">
        <f>I74*J74</f>
        <v/>
      </c>
      <c r="L74" t="inlineStr">
        <is>
          <t>キャンペーン適用</t>
        </is>
      </c>
    </row>
    <row r="75">
      <c r="A75" t="inlineStr">
        <is>
          <t>SR003</t>
        </is>
      </c>
      <c r="B75" t="inlineStr">
        <is>
          <t>営業担当003</t>
        </is>
      </c>
      <c r="C75" t="inlineStr">
        <is>
          <t>第3営業部</t>
        </is>
      </c>
      <c r="D75" s="3" t="n">
        <v>46091</v>
      </c>
      <c r="E75" t="inlineStr">
        <is>
          <t>大和精機有限会社</t>
        </is>
      </c>
      <c r="F75" t="inlineStr">
        <is>
          <t>兵庫県</t>
        </is>
      </c>
      <c r="G75" t="inlineStr">
        <is>
          <t>保守サービス</t>
        </is>
      </c>
      <c r="H75" t="inlineStr">
        <is>
          <t>年間保守契約</t>
        </is>
      </c>
      <c r="I75" s="4" t="n">
        <v>2</v>
      </c>
      <c r="J75" s="4" t="n">
        <v>187100</v>
      </c>
      <c r="K75" s="4">
        <f>I75*J75</f>
        <v/>
      </c>
      <c r="L75" t="inlineStr">
        <is>
          <t>大型案件</t>
        </is>
      </c>
    </row>
    <row r="76">
      <c r="A76" t="inlineStr">
        <is>
          <t>SR003</t>
        </is>
      </c>
      <c r="B76" t="inlineStr">
        <is>
          <t>営業担当003</t>
        </is>
      </c>
      <c r="C76" t="inlineStr">
        <is>
          <t>第3営業部</t>
        </is>
      </c>
      <c r="D76" s="3" t="n">
        <v>46105</v>
      </c>
      <c r="E76" t="inlineStr">
        <is>
          <t>西日本機工(株)</t>
        </is>
      </c>
      <c r="F76" t="inlineStr">
        <is>
          <t>福岡県</t>
        </is>
      </c>
      <c r="G76" t="inlineStr">
        <is>
          <t>消耗品</t>
        </is>
      </c>
      <c r="H76" t="inlineStr">
        <is>
          <t>交換用ヘッド</t>
        </is>
      </c>
      <c r="I76" s="4" t="n">
        <v>1</v>
      </c>
      <c r="J76" s="4" t="n">
        <v>28130</v>
      </c>
      <c r="K76" s="4">
        <f>I76*J76</f>
        <v/>
      </c>
      <c r="L76" t="inlineStr"/>
    </row>
    <row r="77">
      <c r="A77" t="inlineStr">
        <is>
          <t>SR004</t>
        </is>
      </c>
      <c r="B77" t="inlineStr">
        <is>
          <t>営業担当004</t>
        </is>
      </c>
      <c r="C77" t="inlineStr">
        <is>
          <t>パートナー営業部</t>
        </is>
      </c>
      <c r="D77" s="3" t="n">
        <v>45748</v>
      </c>
      <c r="E77" t="inlineStr">
        <is>
          <t>ネクストソリューション(株)</t>
        </is>
      </c>
      <c r="F77" t="inlineStr">
        <is>
          <t>福岡県</t>
        </is>
      </c>
      <c r="G77" t="inlineStr">
        <is>
          <t>導入支援</t>
        </is>
      </c>
      <c r="H77" t="inlineStr">
        <is>
          <t>初期設定支援</t>
        </is>
      </c>
      <c r="I77" s="4" t="n">
        <v>3</v>
      </c>
      <c r="J77" s="4" t="n">
        <v>213300</v>
      </c>
      <c r="K77" s="4">
        <f>I77*J77</f>
        <v/>
      </c>
      <c r="L77" t="inlineStr">
        <is>
          <t>リピート受注</t>
        </is>
      </c>
    </row>
    <row r="78">
      <c r="A78" t="inlineStr">
        <is>
          <t>SR004</t>
        </is>
      </c>
      <c r="B78" t="inlineStr">
        <is>
          <t>営業担当004</t>
        </is>
      </c>
      <c r="C78" t="inlineStr">
        <is>
          <t>パートナー営業部</t>
        </is>
      </c>
      <c r="D78" s="3" t="n">
        <v>45750</v>
      </c>
      <c r="E78" t="inlineStr">
        <is>
          <t>アーク電機株式会社</t>
        </is>
      </c>
      <c r="F78" t="inlineStr">
        <is>
          <t>広島県</t>
        </is>
      </c>
      <c r="G78" t="inlineStr">
        <is>
          <t>ハードウェア</t>
        </is>
      </c>
      <c r="H78" t="inlineStr">
        <is>
          <t>産業用タブレット</t>
        </is>
      </c>
      <c r="I78" s="4" t="n">
        <v>3</v>
      </c>
      <c r="J78" s="4" t="n">
        <v>106800</v>
      </c>
      <c r="K78" s="4">
        <f>I78*J78</f>
        <v/>
      </c>
      <c r="L78" t="inlineStr">
        <is>
          <t>新規開拓</t>
        </is>
      </c>
    </row>
    <row r="79">
      <c r="A79" t="inlineStr">
        <is>
          <t>SR004</t>
        </is>
      </c>
      <c r="B79" t="inlineStr">
        <is>
          <t>営業担当004</t>
        </is>
      </c>
      <c r="C79" t="inlineStr">
        <is>
          <t>パートナー営業部</t>
        </is>
      </c>
      <c r="D79" s="3" t="n">
        <v>45784</v>
      </c>
      <c r="E79" t="inlineStr">
        <is>
          <t>白峰化学(株)</t>
        </is>
      </c>
      <c r="F79" t="inlineStr">
        <is>
          <t>北海道</t>
        </is>
      </c>
      <c r="G79" t="inlineStr">
        <is>
          <t>導入支援</t>
        </is>
      </c>
      <c r="H79" t="inlineStr">
        <is>
          <t>データ移行支援</t>
        </is>
      </c>
      <c r="I79" s="4" t="n">
        <v>4</v>
      </c>
      <c r="J79" s="4" t="n">
        <v>183300</v>
      </c>
      <c r="K79" s="4">
        <f>I79*J79</f>
        <v/>
      </c>
      <c r="L79" t="inlineStr"/>
    </row>
    <row r="80">
      <c r="A80" t="inlineStr">
        <is>
          <t>SR004</t>
        </is>
      </c>
      <c r="B80" t="inlineStr">
        <is>
          <t>営業担当004</t>
        </is>
      </c>
      <c r="C80" t="inlineStr">
        <is>
          <t>パートナー営業部</t>
        </is>
      </c>
      <c r="D80" s="3" t="n">
        <v>45788</v>
      </c>
      <c r="E80" t="inlineStr">
        <is>
          <t>未来通信有限会社</t>
        </is>
      </c>
      <c r="F80" t="inlineStr">
        <is>
          <t>神奈川県</t>
        </is>
      </c>
      <c r="G80" t="inlineStr">
        <is>
          <t>消耗品</t>
        </is>
      </c>
      <c r="H80" t="inlineStr">
        <is>
          <t>ラベルロール</t>
        </is>
      </c>
      <c r="I80" s="4" t="n">
        <v>9</v>
      </c>
      <c r="J80" s="4" t="n">
        <v>6110</v>
      </c>
      <c r="K80" s="4">
        <f>I80*J80</f>
        <v/>
      </c>
      <c r="L80" t="inlineStr"/>
    </row>
    <row r="81">
      <c r="A81" t="inlineStr">
        <is>
          <t>SR004</t>
        </is>
      </c>
      <c r="B81" t="inlineStr">
        <is>
          <t>営業担当004</t>
        </is>
      </c>
      <c r="C81" t="inlineStr">
        <is>
          <t>パートナー営業部</t>
        </is>
      </c>
      <c r="D81" s="3" t="n">
        <v>45816</v>
      </c>
      <c r="E81" t="inlineStr">
        <is>
          <t>アーク電機(株)</t>
        </is>
      </c>
      <c r="F81" t="inlineStr">
        <is>
          <t>京都府</t>
        </is>
      </c>
      <c r="G81" t="inlineStr">
        <is>
          <t>ハードウェア</t>
        </is>
      </c>
      <c r="H81" t="inlineStr">
        <is>
          <t>ネットワークカメラ</t>
        </is>
      </c>
      <c r="I81" s="4" t="n">
        <v>4</v>
      </c>
      <c r="J81" s="4" t="n">
        <v>69800</v>
      </c>
      <c r="K81" s="4">
        <f>I81*J81</f>
        <v/>
      </c>
      <c r="L81" t="inlineStr"/>
    </row>
    <row r="82">
      <c r="A82" t="inlineStr">
        <is>
          <t>SR004</t>
        </is>
      </c>
      <c r="B82" t="inlineStr">
        <is>
          <t>営業担当004</t>
        </is>
      </c>
      <c r="C82" t="inlineStr">
        <is>
          <t>パートナー営業部</t>
        </is>
      </c>
      <c r="D82" s="3" t="n">
        <v>45824</v>
      </c>
      <c r="E82" t="inlineStr">
        <is>
          <t>青葉商事有限会社</t>
        </is>
      </c>
      <c r="F82" t="inlineStr">
        <is>
          <t>京都府</t>
        </is>
      </c>
      <c r="G82" t="inlineStr">
        <is>
          <t>ソフトウェア</t>
        </is>
      </c>
      <c r="H82" t="inlineStr">
        <is>
          <t>帳票自動化ツール</t>
        </is>
      </c>
      <c r="I82" s="4" t="n">
        <v>2</v>
      </c>
      <c r="J82" s="4" t="n">
        <v>416200</v>
      </c>
      <c r="K82" s="4">
        <f>I82*J82</f>
        <v/>
      </c>
      <c r="L82" t="inlineStr"/>
    </row>
    <row r="83">
      <c r="A83" t="inlineStr">
        <is>
          <t>SR004</t>
        </is>
      </c>
      <c r="B83" t="inlineStr">
        <is>
          <t>営業担当004</t>
        </is>
      </c>
      <c r="C83" t="inlineStr">
        <is>
          <t>パートナー営業部</t>
        </is>
      </c>
      <c r="D83" s="3" t="n">
        <v>45841</v>
      </c>
      <c r="E83" t="inlineStr">
        <is>
          <t>サンライズ建設株式会社</t>
        </is>
      </c>
      <c r="F83" t="inlineStr">
        <is>
          <t>宮城県</t>
        </is>
      </c>
      <c r="G83" t="inlineStr">
        <is>
          <t>ハードウェア</t>
        </is>
      </c>
      <c r="H83" t="inlineStr">
        <is>
          <t>ラベルプリンター</t>
        </is>
      </c>
      <c r="I83" s="4" t="n">
        <v>5</v>
      </c>
      <c r="J83" s="4" t="n">
        <v>56800</v>
      </c>
      <c r="K83" s="4">
        <f>I83*J83</f>
        <v/>
      </c>
      <c r="L83" t="inlineStr">
        <is>
          <t>分納</t>
        </is>
      </c>
    </row>
    <row r="84">
      <c r="A84" t="inlineStr">
        <is>
          <t>SR004</t>
        </is>
      </c>
      <c r="B84" t="inlineStr">
        <is>
          <t>営業担当004</t>
        </is>
      </c>
      <c r="C84" t="inlineStr">
        <is>
          <t>パートナー営業部</t>
        </is>
      </c>
      <c r="D84" s="3" t="n">
        <v>45863</v>
      </c>
      <c r="E84" t="inlineStr">
        <is>
          <t>北斗産業株式会社</t>
        </is>
      </c>
      <c r="F84" t="inlineStr">
        <is>
          <t>愛知県</t>
        </is>
      </c>
      <c r="G84" t="inlineStr">
        <is>
          <t>ハードウェア</t>
        </is>
      </c>
      <c r="H84" t="inlineStr">
        <is>
          <t>産業用タブレット</t>
        </is>
      </c>
      <c r="I84" s="4" t="n">
        <v>5</v>
      </c>
      <c r="J84" s="4" t="n">
        <v>83600</v>
      </c>
      <c r="K84" s="4">
        <f>I84*J84</f>
        <v/>
      </c>
      <c r="L84" t="inlineStr">
        <is>
          <t>大型案件</t>
        </is>
      </c>
    </row>
    <row r="85">
      <c r="A85" t="inlineStr">
        <is>
          <t>SR004</t>
        </is>
      </c>
      <c r="B85" t="inlineStr">
        <is>
          <t>営業担当004</t>
        </is>
      </c>
      <c r="C85" t="inlineStr">
        <is>
          <t>パートナー営業部</t>
        </is>
      </c>
      <c r="D85" s="3" t="n">
        <v>45874</v>
      </c>
      <c r="E85" t="inlineStr">
        <is>
          <t>ネクストソリューション有限会社</t>
        </is>
      </c>
      <c r="F85" t="inlineStr">
        <is>
          <t>大阪府</t>
        </is>
      </c>
      <c r="G85" t="inlineStr">
        <is>
          <t>消耗品</t>
        </is>
      </c>
      <c r="H85" t="inlineStr">
        <is>
          <t>ラベルロール</t>
        </is>
      </c>
      <c r="I85" s="4" t="n">
        <v>8</v>
      </c>
      <c r="J85" s="4" t="n">
        <v>7440</v>
      </c>
      <c r="K85" s="4">
        <f>I85*J85</f>
        <v/>
      </c>
      <c r="L85" t="inlineStr">
        <is>
          <t>新規開拓</t>
        </is>
      </c>
    </row>
    <row r="86">
      <c r="A86" t="inlineStr">
        <is>
          <t>SR004</t>
        </is>
      </c>
      <c r="B86" t="inlineStr">
        <is>
          <t>営業担当004</t>
        </is>
      </c>
      <c r="C86" t="inlineStr">
        <is>
          <t>パートナー営業部</t>
        </is>
      </c>
      <c r="D86" s="3" t="n">
        <v>45887</v>
      </c>
      <c r="E86" t="inlineStr">
        <is>
          <t>大和精機(株)</t>
        </is>
      </c>
      <c r="F86" t="inlineStr">
        <is>
          <t>宮城県</t>
        </is>
      </c>
      <c r="G86" t="inlineStr">
        <is>
          <t>消耗品</t>
        </is>
      </c>
      <c r="H86" t="inlineStr">
        <is>
          <t>保守用バッテリー</t>
        </is>
      </c>
      <c r="I86" s="4" t="n">
        <v>6</v>
      </c>
      <c r="J86" s="4" t="n">
        <v>15090</v>
      </c>
      <c r="K86" s="4">
        <f>I86*J86</f>
        <v/>
      </c>
      <c r="L86" t="inlineStr">
        <is>
          <t>リピート受注</t>
        </is>
      </c>
    </row>
    <row r="87">
      <c r="A87" t="inlineStr">
        <is>
          <t>SR004</t>
        </is>
      </c>
      <c r="B87" t="inlineStr">
        <is>
          <t>営業担当004</t>
        </is>
      </c>
      <c r="C87" t="inlineStr">
        <is>
          <t>パートナー営業部</t>
        </is>
      </c>
      <c r="D87" s="3" t="n">
        <v>45906</v>
      </c>
      <c r="E87" t="inlineStr">
        <is>
          <t>ライトホーム有限会社</t>
        </is>
      </c>
      <c r="F87" t="inlineStr">
        <is>
          <t>大阪府</t>
        </is>
      </c>
      <c r="G87" t="inlineStr">
        <is>
          <t>ハードウェア</t>
        </is>
      </c>
      <c r="H87" t="inlineStr">
        <is>
          <t>ラベルプリンター</t>
        </is>
      </c>
      <c r="I87" s="4" t="n">
        <v>1</v>
      </c>
      <c r="J87" s="4" t="n">
        <v>67600</v>
      </c>
      <c r="K87" s="4">
        <f>I87*J87</f>
        <v/>
      </c>
      <c r="L87" t="inlineStr"/>
    </row>
    <row r="88">
      <c r="A88" t="inlineStr">
        <is>
          <t>SR004</t>
        </is>
      </c>
      <c r="B88" t="inlineStr">
        <is>
          <t>営業担当004</t>
        </is>
      </c>
      <c r="C88" t="inlineStr">
        <is>
          <t>パートナー営業部</t>
        </is>
      </c>
      <c r="D88" s="3" t="n">
        <v>45910</v>
      </c>
      <c r="E88" t="inlineStr">
        <is>
          <t>未来通信株式会社</t>
        </is>
      </c>
      <c r="F88" t="inlineStr">
        <is>
          <t>大阪府</t>
        </is>
      </c>
      <c r="G88" t="inlineStr">
        <is>
          <t>ハードウェア</t>
        </is>
      </c>
      <c r="H88" t="inlineStr">
        <is>
          <t>ラベルプリンター</t>
        </is>
      </c>
      <c r="I88" s="4" t="n">
        <v>1</v>
      </c>
      <c r="J88" s="4" t="n">
        <v>76000</v>
      </c>
      <c r="K88" s="4">
        <f>I88*J88</f>
        <v/>
      </c>
      <c r="L88" t="inlineStr">
        <is>
          <t>値引き調整あり</t>
        </is>
      </c>
    </row>
    <row r="89">
      <c r="A89" t="inlineStr">
        <is>
          <t>SR004</t>
        </is>
      </c>
      <c r="B89" t="inlineStr">
        <is>
          <t>営業担当004</t>
        </is>
      </c>
      <c r="C89" t="inlineStr">
        <is>
          <t>パートナー営業部</t>
        </is>
      </c>
      <c r="D89" s="3" t="n">
        <v>45940</v>
      </c>
      <c r="E89" t="inlineStr">
        <is>
          <t>星和商会有限会社</t>
        </is>
      </c>
      <c r="F89" t="inlineStr">
        <is>
          <t>宮城県</t>
        </is>
      </c>
      <c r="G89" t="inlineStr">
        <is>
          <t>導入支援</t>
        </is>
      </c>
      <c r="H89" t="inlineStr">
        <is>
          <t>操作研修パック</t>
        </is>
      </c>
      <c r="I89" s="4" t="n">
        <v>2</v>
      </c>
      <c r="J89" s="4" t="n">
        <v>45500</v>
      </c>
      <c r="K89" s="4">
        <f>I89*J89</f>
        <v/>
      </c>
      <c r="L89" t="inlineStr">
        <is>
          <t>大型案件</t>
        </is>
      </c>
    </row>
    <row r="90">
      <c r="A90" t="inlineStr">
        <is>
          <t>SR004</t>
        </is>
      </c>
      <c r="B90" t="inlineStr">
        <is>
          <t>営業担当004</t>
        </is>
      </c>
      <c r="C90" t="inlineStr">
        <is>
          <t>パートナー営業部</t>
        </is>
      </c>
      <c r="D90" s="3" t="n">
        <v>45955</v>
      </c>
      <c r="E90" t="inlineStr">
        <is>
          <t>西日本機工株式会社</t>
        </is>
      </c>
      <c r="F90" t="inlineStr">
        <is>
          <t>愛知県</t>
        </is>
      </c>
      <c r="G90" t="inlineStr">
        <is>
          <t>導入支援</t>
        </is>
      </c>
      <c r="H90" t="inlineStr">
        <is>
          <t>データ移行支援</t>
        </is>
      </c>
      <c r="I90" s="4" t="n">
        <v>5</v>
      </c>
      <c r="J90" s="4" t="n">
        <v>294800</v>
      </c>
      <c r="K90" s="4">
        <f>I90*J90</f>
        <v/>
      </c>
      <c r="L90" t="inlineStr">
        <is>
          <t>リピート受注</t>
        </is>
      </c>
    </row>
    <row r="91">
      <c r="A91" t="inlineStr">
        <is>
          <t>SR004</t>
        </is>
      </c>
      <c r="B91" t="inlineStr">
        <is>
          <t>営業担当004</t>
        </is>
      </c>
      <c r="C91" t="inlineStr">
        <is>
          <t>パートナー営業部</t>
        </is>
      </c>
      <c r="D91" s="3" t="n">
        <v>45965</v>
      </c>
      <c r="E91" t="inlineStr">
        <is>
          <t>サンライズ建設有限会社</t>
        </is>
      </c>
      <c r="F91" t="inlineStr">
        <is>
          <t>兵庫県</t>
        </is>
      </c>
      <c r="G91" t="inlineStr">
        <is>
          <t>ソフトウェア</t>
        </is>
      </c>
      <c r="H91" t="inlineStr">
        <is>
          <t>在庫管理クラウド</t>
        </is>
      </c>
      <c r="I91" s="4" t="n">
        <v>3</v>
      </c>
      <c r="J91" s="4" t="n">
        <v>398200</v>
      </c>
      <c r="K91" s="4">
        <f>I91*J91</f>
        <v/>
      </c>
      <c r="L91" t="inlineStr">
        <is>
          <t>キャンペーン適用</t>
        </is>
      </c>
    </row>
    <row r="92">
      <c r="A92" t="inlineStr">
        <is>
          <t>SR004</t>
        </is>
      </c>
      <c r="B92" t="inlineStr">
        <is>
          <t>営業担当004</t>
        </is>
      </c>
      <c r="C92" t="inlineStr">
        <is>
          <t>パートナー営業部</t>
        </is>
      </c>
      <c r="D92" s="3" t="n">
        <v>45965</v>
      </c>
      <c r="E92" t="inlineStr">
        <is>
          <t>東洋フーズ(株)</t>
        </is>
      </c>
      <c r="F92" t="inlineStr">
        <is>
          <t>愛知県</t>
        </is>
      </c>
      <c r="G92" t="inlineStr">
        <is>
          <t>保守サービス</t>
        </is>
      </c>
      <c r="H92" t="inlineStr">
        <is>
          <t>年間保守契約</t>
        </is>
      </c>
      <c r="I92" s="4" t="n">
        <v>3</v>
      </c>
      <c r="J92" s="4" t="n">
        <v>65700</v>
      </c>
      <c r="K92" s="4">
        <f>I92*J92</f>
        <v/>
      </c>
      <c r="L92" t="inlineStr">
        <is>
          <t>値引き調整あり</t>
        </is>
      </c>
    </row>
    <row r="93">
      <c r="A93" t="inlineStr">
        <is>
          <t>SR004</t>
        </is>
      </c>
      <c r="B93" t="inlineStr">
        <is>
          <t>営業担当004</t>
        </is>
      </c>
      <c r="C93" t="inlineStr">
        <is>
          <t>パートナー営業部</t>
        </is>
      </c>
      <c r="D93" s="3" t="n">
        <v>45996</v>
      </c>
      <c r="E93" t="inlineStr">
        <is>
          <t>未来通信株式会社</t>
        </is>
      </c>
      <c r="F93" t="inlineStr">
        <is>
          <t>東京都</t>
        </is>
      </c>
      <c r="G93" t="inlineStr">
        <is>
          <t>消耗品</t>
        </is>
      </c>
      <c r="H93" t="inlineStr">
        <is>
          <t>保守用バッテリー</t>
        </is>
      </c>
      <c r="I93" s="4" t="n">
        <v>12</v>
      </c>
      <c r="J93" s="4" t="n">
        <v>8380</v>
      </c>
      <c r="K93" s="4">
        <f>I93*J93</f>
        <v/>
      </c>
      <c r="L93" t="inlineStr">
        <is>
          <t>分納</t>
        </is>
      </c>
    </row>
    <row r="94">
      <c r="A94" t="inlineStr">
        <is>
          <t>SR004</t>
        </is>
      </c>
      <c r="B94" t="inlineStr">
        <is>
          <t>営業担当004</t>
        </is>
      </c>
      <c r="C94" t="inlineStr">
        <is>
          <t>パートナー営業部</t>
        </is>
      </c>
      <c r="D94" s="3" t="n">
        <v>46013</v>
      </c>
      <c r="E94" t="inlineStr">
        <is>
          <t>福岡流通株式会社</t>
        </is>
      </c>
      <c r="F94" t="inlineStr">
        <is>
          <t>京都府</t>
        </is>
      </c>
      <c r="G94" t="inlineStr">
        <is>
          <t>保守サービス</t>
        </is>
      </c>
      <c r="H94" t="inlineStr">
        <is>
          <t>年間保守契約</t>
        </is>
      </c>
      <c r="I94" s="4" t="n">
        <v>4</v>
      </c>
      <c r="J94" s="4" t="n">
        <v>260700</v>
      </c>
      <c r="K94" s="4">
        <f>I94*J94</f>
        <v/>
      </c>
      <c r="L94" t="inlineStr"/>
    </row>
    <row r="95">
      <c r="A95" t="inlineStr">
        <is>
          <t>SR004</t>
        </is>
      </c>
      <c r="B95" t="inlineStr">
        <is>
          <t>営業担当004</t>
        </is>
      </c>
      <c r="C95" t="inlineStr">
        <is>
          <t>パートナー営業部</t>
        </is>
      </c>
      <c r="D95" s="3" t="n">
        <v>46026</v>
      </c>
      <c r="E95" t="inlineStr">
        <is>
          <t>青葉商事有限会社</t>
        </is>
      </c>
      <c r="F95" t="inlineStr">
        <is>
          <t>神奈川県</t>
        </is>
      </c>
      <c r="G95" t="inlineStr">
        <is>
          <t>導入支援</t>
        </is>
      </c>
      <c r="H95" t="inlineStr">
        <is>
          <t>データ移行支援</t>
        </is>
      </c>
      <c r="I95" s="4" t="n">
        <v>4</v>
      </c>
      <c r="J95" s="4" t="n">
        <v>219500</v>
      </c>
      <c r="K95" s="4">
        <f>I95*J95</f>
        <v/>
      </c>
      <c r="L95" t="inlineStr"/>
    </row>
    <row r="96">
      <c r="A96" t="inlineStr">
        <is>
          <t>SR004</t>
        </is>
      </c>
      <c r="B96" t="inlineStr">
        <is>
          <t>営業担当004</t>
        </is>
      </c>
      <c r="C96" t="inlineStr">
        <is>
          <t>パートナー営業部</t>
        </is>
      </c>
      <c r="D96" s="3" t="n">
        <v>46036</v>
      </c>
      <c r="E96" t="inlineStr">
        <is>
          <t>福岡流通有限会社</t>
        </is>
      </c>
      <c r="F96" t="inlineStr">
        <is>
          <t>広島県</t>
        </is>
      </c>
      <c r="G96" t="inlineStr">
        <is>
          <t>ハードウェア</t>
        </is>
      </c>
      <c r="H96" t="inlineStr">
        <is>
          <t>ネットワークカメラ</t>
        </is>
      </c>
      <c r="I96" s="4" t="n">
        <v>2</v>
      </c>
      <c r="J96" s="4" t="n">
        <v>51600</v>
      </c>
      <c r="K96" s="4">
        <f>I96*J96</f>
        <v/>
      </c>
      <c r="L96" t="inlineStr">
        <is>
          <t>値引き調整あり</t>
        </is>
      </c>
    </row>
    <row r="97">
      <c r="A97" t="inlineStr">
        <is>
          <t>SR004</t>
        </is>
      </c>
      <c r="B97" t="inlineStr">
        <is>
          <t>営業担当004</t>
        </is>
      </c>
      <c r="C97" t="inlineStr">
        <is>
          <t>パートナー営業部</t>
        </is>
      </c>
      <c r="D97" s="3" t="n">
        <v>46055</v>
      </c>
      <c r="E97" t="inlineStr">
        <is>
          <t>未来通信(株)</t>
        </is>
      </c>
      <c r="F97" t="inlineStr">
        <is>
          <t>大阪府</t>
        </is>
      </c>
      <c r="G97" t="inlineStr">
        <is>
          <t>ソフトウェア</t>
        </is>
      </c>
      <c r="H97" t="inlineStr">
        <is>
          <t>AIチャットボット</t>
        </is>
      </c>
      <c r="I97" s="4" t="n">
        <v>4</v>
      </c>
      <c r="J97" s="4" t="n">
        <v>310600</v>
      </c>
      <c r="K97" s="4">
        <f>I97*J97</f>
        <v/>
      </c>
      <c r="L97" t="inlineStr"/>
    </row>
    <row r="98">
      <c r="A98" t="inlineStr">
        <is>
          <t>SR004</t>
        </is>
      </c>
      <c r="B98" t="inlineStr">
        <is>
          <t>営業担当004</t>
        </is>
      </c>
      <c r="C98" t="inlineStr">
        <is>
          <t>パートナー営業部</t>
        </is>
      </c>
      <c r="D98" s="3" t="n">
        <v>46078</v>
      </c>
      <c r="E98" t="inlineStr">
        <is>
          <t>ネクストソリューション(株)</t>
        </is>
      </c>
      <c r="F98" t="inlineStr">
        <is>
          <t>宮城県</t>
        </is>
      </c>
      <c r="G98" t="inlineStr">
        <is>
          <t>消耗品</t>
        </is>
      </c>
      <c r="H98" t="inlineStr">
        <is>
          <t>保守用バッテリー</t>
        </is>
      </c>
      <c r="I98" s="4" t="n">
        <v>6</v>
      </c>
      <c r="J98" s="4" t="n">
        <v>10820</v>
      </c>
      <c r="K98" s="4">
        <f>I98*J98</f>
        <v/>
      </c>
      <c r="L98" t="inlineStr"/>
    </row>
    <row r="99">
      <c r="A99" t="inlineStr">
        <is>
          <t>SR004</t>
        </is>
      </c>
      <c r="B99" t="inlineStr">
        <is>
          <t>営業担当004</t>
        </is>
      </c>
      <c r="C99" t="inlineStr">
        <is>
          <t>パートナー営業部</t>
        </is>
      </c>
      <c r="D99" s="3" t="n">
        <v>46086</v>
      </c>
      <c r="E99" t="inlineStr">
        <is>
          <t>グリーンテック有限会社</t>
        </is>
      </c>
      <c r="F99" t="inlineStr">
        <is>
          <t>神奈川県</t>
        </is>
      </c>
      <c r="G99" t="inlineStr">
        <is>
          <t>ソフトウェア</t>
        </is>
      </c>
      <c r="H99" t="inlineStr">
        <is>
          <t>営業支援SaaS</t>
        </is>
      </c>
      <c r="I99" s="4" t="n">
        <v>1</v>
      </c>
      <c r="J99" s="4" t="n">
        <v>348500</v>
      </c>
      <c r="K99" s="4">
        <f>I99*J99</f>
        <v/>
      </c>
      <c r="L99" t="inlineStr">
        <is>
          <t>キャンペーン適用</t>
        </is>
      </c>
    </row>
    <row r="100">
      <c r="A100" t="inlineStr">
        <is>
          <t>SR004</t>
        </is>
      </c>
      <c r="B100" t="inlineStr">
        <is>
          <t>営業担当004</t>
        </is>
      </c>
      <c r="C100" t="inlineStr">
        <is>
          <t>パートナー営業部</t>
        </is>
      </c>
      <c r="D100" s="3" t="n">
        <v>46090</v>
      </c>
      <c r="E100" t="inlineStr">
        <is>
          <t>白峰化学株式会社</t>
        </is>
      </c>
      <c r="F100" t="inlineStr">
        <is>
          <t>広島県</t>
        </is>
      </c>
      <c r="G100" t="inlineStr">
        <is>
          <t>消耗品</t>
        </is>
      </c>
      <c r="H100" t="inlineStr">
        <is>
          <t>交換用ヘッド</t>
        </is>
      </c>
      <c r="I100" s="4" t="n">
        <v>11</v>
      </c>
      <c r="J100" s="4" t="n">
        <v>27520</v>
      </c>
      <c r="K100" s="4">
        <f>I100*J100</f>
        <v/>
      </c>
      <c r="L100" t="inlineStr">
        <is>
          <t>新規開拓</t>
        </is>
      </c>
    </row>
    <row r="101">
      <c r="A101" t="inlineStr">
        <is>
          <t>SR005</t>
        </is>
      </c>
      <c r="B101" t="inlineStr">
        <is>
          <t>営業担当005</t>
        </is>
      </c>
      <c r="C101" t="inlineStr">
        <is>
          <t>インサイドセールス部</t>
        </is>
      </c>
      <c r="D101" s="3" t="n">
        <v>45767</v>
      </c>
      <c r="E101" t="inlineStr">
        <is>
          <t>ライトホーム有限会社</t>
        </is>
      </c>
      <c r="F101" t="inlineStr">
        <is>
          <t>愛知県</t>
        </is>
      </c>
      <c r="G101" t="inlineStr">
        <is>
          <t>消耗品</t>
        </is>
      </c>
      <c r="H101" t="inlineStr">
        <is>
          <t>保守用バッテリー</t>
        </is>
      </c>
      <c r="I101" s="4" t="n">
        <v>8</v>
      </c>
      <c r="J101" s="4" t="n">
        <v>14860</v>
      </c>
      <c r="K101" s="4">
        <f>I101*J101</f>
        <v/>
      </c>
      <c r="L101" t="inlineStr">
        <is>
          <t>リピート受注</t>
        </is>
      </c>
    </row>
    <row r="102">
      <c r="A102" t="inlineStr">
        <is>
          <t>SR005</t>
        </is>
      </c>
      <c r="B102" t="inlineStr">
        <is>
          <t>営業担当005</t>
        </is>
      </c>
      <c r="C102" t="inlineStr">
        <is>
          <t>インサイドセールス部</t>
        </is>
      </c>
      <c r="D102" s="3" t="n">
        <v>45775</v>
      </c>
      <c r="E102" t="inlineStr">
        <is>
          <t>西日本機工(株)</t>
        </is>
      </c>
      <c r="F102" t="inlineStr">
        <is>
          <t>宮城県</t>
        </is>
      </c>
      <c r="G102" t="inlineStr">
        <is>
          <t>導入支援</t>
        </is>
      </c>
      <c r="H102" t="inlineStr">
        <is>
          <t>データ移行支援</t>
        </is>
      </c>
      <c r="I102" s="4" t="n">
        <v>4</v>
      </c>
      <c r="J102" s="4" t="n">
        <v>305300</v>
      </c>
      <c r="K102" s="4">
        <f>I102*J102</f>
        <v/>
      </c>
      <c r="L102" t="inlineStr"/>
    </row>
    <row r="103">
      <c r="A103" t="inlineStr">
        <is>
          <t>SR005</t>
        </is>
      </c>
      <c r="B103" t="inlineStr">
        <is>
          <t>営業担当005</t>
        </is>
      </c>
      <c r="C103" t="inlineStr">
        <is>
          <t>インサイドセールス部</t>
        </is>
      </c>
      <c r="D103" s="3" t="n">
        <v>45792</v>
      </c>
      <c r="E103" t="inlineStr">
        <is>
          <t>みらい物流(株)</t>
        </is>
      </c>
      <c r="F103" t="inlineStr">
        <is>
          <t>神奈川県</t>
        </is>
      </c>
      <c r="G103" t="inlineStr">
        <is>
          <t>保守サービス</t>
        </is>
      </c>
      <c r="H103" t="inlineStr">
        <is>
          <t>年間保守契約</t>
        </is>
      </c>
      <c r="I103" s="4" t="n">
        <v>4</v>
      </c>
      <c r="J103" s="4" t="n">
        <v>270700</v>
      </c>
      <c r="K103" s="4">
        <f>I103*J103</f>
        <v/>
      </c>
      <c r="L103" t="inlineStr"/>
    </row>
    <row r="104">
      <c r="A104" t="inlineStr">
        <is>
          <t>SR005</t>
        </is>
      </c>
      <c r="B104" t="inlineStr">
        <is>
          <t>営業担当005</t>
        </is>
      </c>
      <c r="C104" t="inlineStr">
        <is>
          <t>インサイドセールス部</t>
        </is>
      </c>
      <c r="D104" s="3" t="n">
        <v>45805</v>
      </c>
      <c r="E104" t="inlineStr">
        <is>
          <t>星和商会(株)</t>
        </is>
      </c>
      <c r="F104" t="inlineStr">
        <is>
          <t>神奈川県</t>
        </is>
      </c>
      <c r="G104" t="inlineStr">
        <is>
          <t>消耗品</t>
        </is>
      </c>
      <c r="H104" t="inlineStr">
        <is>
          <t>交換用ヘッド</t>
        </is>
      </c>
      <c r="I104" s="4" t="n">
        <v>1</v>
      </c>
      <c r="J104" s="4" t="n">
        <v>36970</v>
      </c>
      <c r="K104" s="4">
        <f>I104*J104</f>
        <v/>
      </c>
      <c r="L104" t="inlineStr"/>
    </row>
    <row r="105">
      <c r="A105" t="inlineStr">
        <is>
          <t>SR005</t>
        </is>
      </c>
      <c r="B105" t="inlineStr">
        <is>
          <t>営業担当005</t>
        </is>
      </c>
      <c r="C105" t="inlineStr">
        <is>
          <t>インサイドセールス部</t>
        </is>
      </c>
      <c r="D105" s="3" t="n">
        <v>45830</v>
      </c>
      <c r="E105" t="inlineStr">
        <is>
          <t>九州エナジー(株)</t>
        </is>
      </c>
      <c r="F105" t="inlineStr">
        <is>
          <t>宮城県</t>
        </is>
      </c>
      <c r="G105" t="inlineStr">
        <is>
          <t>ソフトウェア</t>
        </is>
      </c>
      <c r="H105" t="inlineStr">
        <is>
          <t>営業支援SaaS</t>
        </is>
      </c>
      <c r="I105" s="4" t="n">
        <v>5</v>
      </c>
      <c r="J105" s="4" t="n">
        <v>268100</v>
      </c>
      <c r="K105" s="4">
        <f>I105*J105</f>
        <v/>
      </c>
      <c r="L105" t="inlineStr">
        <is>
          <t>分納</t>
        </is>
      </c>
    </row>
    <row r="106">
      <c r="A106" t="inlineStr">
        <is>
          <t>SR005</t>
        </is>
      </c>
      <c r="B106" t="inlineStr">
        <is>
          <t>営業担当005</t>
        </is>
      </c>
      <c r="C106" t="inlineStr">
        <is>
          <t>インサイドセールス部</t>
        </is>
      </c>
      <c r="D106" s="3" t="n">
        <v>45833</v>
      </c>
      <c r="E106" t="inlineStr">
        <is>
          <t>東洋フーズ有限会社</t>
        </is>
      </c>
      <c r="F106" t="inlineStr">
        <is>
          <t>愛知県</t>
        </is>
      </c>
      <c r="G106" t="inlineStr">
        <is>
          <t>保守サービス</t>
        </is>
      </c>
      <c r="H106" t="inlineStr">
        <is>
          <t>ヘルプデスク契約</t>
        </is>
      </c>
      <c r="I106" s="4" t="n">
        <v>1</v>
      </c>
      <c r="J106" s="4" t="n">
        <v>52000</v>
      </c>
      <c r="K106" s="4">
        <f>I106*J106</f>
        <v/>
      </c>
      <c r="L106" t="inlineStr">
        <is>
          <t>大型案件</t>
        </is>
      </c>
    </row>
    <row r="107">
      <c r="A107" t="inlineStr">
        <is>
          <t>SR005</t>
        </is>
      </c>
      <c r="B107" t="inlineStr">
        <is>
          <t>営業担当005</t>
        </is>
      </c>
      <c r="C107" t="inlineStr">
        <is>
          <t>インサイドセールス部</t>
        </is>
      </c>
      <c r="D107" s="3" t="n">
        <v>45844</v>
      </c>
      <c r="E107" t="inlineStr">
        <is>
          <t>九州エナジー株式会社</t>
        </is>
      </c>
      <c r="F107" t="inlineStr">
        <is>
          <t>福岡県</t>
        </is>
      </c>
      <c r="G107" t="inlineStr">
        <is>
          <t>ソフトウェア</t>
        </is>
      </c>
      <c r="H107" t="inlineStr">
        <is>
          <t>AIチャットボット</t>
        </is>
      </c>
      <c r="I107" s="4" t="n">
        <v>4</v>
      </c>
      <c r="J107" s="4" t="n">
        <v>814700</v>
      </c>
      <c r="K107" s="4">
        <f>I107*J107</f>
        <v/>
      </c>
      <c r="L107" t="inlineStr">
        <is>
          <t>分納</t>
        </is>
      </c>
    </row>
    <row r="108">
      <c r="A108" t="inlineStr">
        <is>
          <t>SR005</t>
        </is>
      </c>
      <c r="B108" t="inlineStr">
        <is>
          <t>営業担当005</t>
        </is>
      </c>
      <c r="C108" t="inlineStr">
        <is>
          <t>インサイドセールス部</t>
        </is>
      </c>
      <c r="D108" s="3" t="n">
        <v>45859</v>
      </c>
      <c r="E108" t="inlineStr">
        <is>
          <t>白峰化学株式会社</t>
        </is>
      </c>
      <c r="F108" t="inlineStr">
        <is>
          <t>愛知県</t>
        </is>
      </c>
      <c r="G108" t="inlineStr">
        <is>
          <t>保守サービス</t>
        </is>
      </c>
      <c r="H108" t="inlineStr">
        <is>
          <t>ヘルプデスク契約</t>
        </is>
      </c>
      <c r="I108" s="4" t="n">
        <v>2</v>
      </c>
      <c r="J108" s="4" t="n">
        <v>65400</v>
      </c>
      <c r="K108" s="4">
        <f>I108*J108</f>
        <v/>
      </c>
      <c r="L108" t="inlineStr">
        <is>
          <t>分納</t>
        </is>
      </c>
    </row>
    <row r="109">
      <c r="A109" t="inlineStr">
        <is>
          <t>SR005</t>
        </is>
      </c>
      <c r="B109" t="inlineStr">
        <is>
          <t>営業担当005</t>
        </is>
      </c>
      <c r="C109" t="inlineStr">
        <is>
          <t>インサイドセールス部</t>
        </is>
      </c>
      <c r="D109" s="3" t="n">
        <v>45879</v>
      </c>
      <c r="E109" t="inlineStr">
        <is>
          <t>北斗産業株式会社</t>
        </is>
      </c>
      <c r="F109" t="inlineStr">
        <is>
          <t>神奈川県</t>
        </is>
      </c>
      <c r="G109" t="inlineStr">
        <is>
          <t>保守サービス</t>
        </is>
      </c>
      <c r="H109" t="inlineStr">
        <is>
          <t>ヘルプデスク契約</t>
        </is>
      </c>
      <c r="I109" s="4" t="n">
        <v>4</v>
      </c>
      <c r="J109" s="4" t="n">
        <v>43200</v>
      </c>
      <c r="K109" s="4">
        <f>I109*J109</f>
        <v/>
      </c>
      <c r="L109" t="inlineStr">
        <is>
          <t>大型案件</t>
        </is>
      </c>
    </row>
    <row r="110">
      <c r="A110" t="inlineStr">
        <is>
          <t>SR005</t>
        </is>
      </c>
      <c r="B110" t="inlineStr">
        <is>
          <t>営業担当005</t>
        </is>
      </c>
      <c r="C110" t="inlineStr">
        <is>
          <t>インサイドセールス部</t>
        </is>
      </c>
      <c r="D110" s="3" t="n">
        <v>45892</v>
      </c>
      <c r="E110" t="inlineStr">
        <is>
          <t>ネクストソリューション株式会社</t>
        </is>
      </c>
      <c r="F110" t="inlineStr">
        <is>
          <t>東京都</t>
        </is>
      </c>
      <c r="G110" t="inlineStr">
        <is>
          <t>消耗品</t>
        </is>
      </c>
      <c r="H110" t="inlineStr">
        <is>
          <t>ラベルロール</t>
        </is>
      </c>
      <c r="I110" s="4" t="n">
        <v>12</v>
      </c>
      <c r="J110" s="4" t="n">
        <v>5440</v>
      </c>
      <c r="K110" s="4">
        <f>I110*J110</f>
        <v/>
      </c>
      <c r="L110" t="inlineStr">
        <is>
          <t>リピート受注</t>
        </is>
      </c>
    </row>
    <row r="111">
      <c r="A111" t="inlineStr">
        <is>
          <t>SR005</t>
        </is>
      </c>
      <c r="B111" t="inlineStr">
        <is>
          <t>営業担当005</t>
        </is>
      </c>
      <c r="C111" t="inlineStr">
        <is>
          <t>インサイドセールス部</t>
        </is>
      </c>
      <c r="D111" s="3" t="n">
        <v>45909</v>
      </c>
      <c r="E111" t="inlineStr">
        <is>
          <t>星和商会有限会社</t>
        </is>
      </c>
      <c r="F111" t="inlineStr">
        <is>
          <t>愛知県</t>
        </is>
      </c>
      <c r="G111" t="inlineStr">
        <is>
          <t>導入支援</t>
        </is>
      </c>
      <c r="H111" t="inlineStr">
        <is>
          <t>初期設定支援</t>
        </is>
      </c>
      <c r="I111" s="4" t="n">
        <v>5</v>
      </c>
      <c r="J111" s="4" t="n">
        <v>96000</v>
      </c>
      <c r="K111" s="4">
        <f>I111*J111</f>
        <v/>
      </c>
      <c r="L111" t="inlineStr"/>
    </row>
    <row r="112">
      <c r="A112" t="inlineStr">
        <is>
          <t>SR005</t>
        </is>
      </c>
      <c r="B112" t="inlineStr">
        <is>
          <t>営業担当005</t>
        </is>
      </c>
      <c r="C112" t="inlineStr">
        <is>
          <t>インサイドセールス部</t>
        </is>
      </c>
      <c r="D112" s="3" t="n">
        <v>45918</v>
      </c>
      <c r="E112" t="inlineStr">
        <is>
          <t>青葉商事有限会社</t>
        </is>
      </c>
      <c r="F112" t="inlineStr">
        <is>
          <t>宮城県</t>
        </is>
      </c>
      <c r="G112" t="inlineStr">
        <is>
          <t>ソフトウェア</t>
        </is>
      </c>
      <c r="H112" t="inlineStr">
        <is>
          <t>営業支援SaaS</t>
        </is>
      </c>
      <c r="I112" s="4" t="n">
        <v>1</v>
      </c>
      <c r="J112" s="4" t="n">
        <v>309000</v>
      </c>
      <c r="K112" s="4">
        <f>I112*J112</f>
        <v/>
      </c>
      <c r="L112" t="inlineStr"/>
    </row>
    <row r="113">
      <c r="A113" t="inlineStr">
        <is>
          <t>SR005</t>
        </is>
      </c>
      <c r="B113" t="inlineStr">
        <is>
          <t>営業担当005</t>
        </is>
      </c>
      <c r="C113" t="inlineStr">
        <is>
          <t>インサイドセールス部</t>
        </is>
      </c>
      <c r="D113" s="3" t="n">
        <v>45939</v>
      </c>
      <c r="E113" t="inlineStr">
        <is>
          <t>グリーンテック株式会社</t>
        </is>
      </c>
      <c r="F113" t="inlineStr">
        <is>
          <t>東京都</t>
        </is>
      </c>
      <c r="G113" t="inlineStr">
        <is>
          <t>ハードウェア</t>
        </is>
      </c>
      <c r="H113" t="inlineStr">
        <is>
          <t>ラベルプリンター</t>
        </is>
      </c>
      <c r="I113" s="4" t="n">
        <v>5</v>
      </c>
      <c r="J113" s="4" t="n">
        <v>76300</v>
      </c>
      <c r="K113" s="4">
        <f>I113*J113</f>
        <v/>
      </c>
      <c r="L113" t="inlineStr">
        <is>
          <t>リピート受注</t>
        </is>
      </c>
    </row>
    <row r="114">
      <c r="A114" t="inlineStr">
        <is>
          <t>SR005</t>
        </is>
      </c>
      <c r="B114" t="inlineStr">
        <is>
          <t>営業担当005</t>
        </is>
      </c>
      <c r="C114" t="inlineStr">
        <is>
          <t>インサイドセールス部</t>
        </is>
      </c>
      <c r="D114" s="3" t="n">
        <v>45951</v>
      </c>
      <c r="E114" t="inlineStr">
        <is>
          <t>グリーンテック(株)</t>
        </is>
      </c>
      <c r="F114" t="inlineStr">
        <is>
          <t>神奈川県</t>
        </is>
      </c>
      <c r="G114" t="inlineStr">
        <is>
          <t>消耗品</t>
        </is>
      </c>
      <c r="H114" t="inlineStr">
        <is>
          <t>交換用ヘッド</t>
        </is>
      </c>
      <c r="I114" s="4" t="n">
        <v>5</v>
      </c>
      <c r="J114" s="4" t="n">
        <v>29010</v>
      </c>
      <c r="K114" s="4">
        <f>I114*J114</f>
        <v/>
      </c>
      <c r="L114" t="inlineStr">
        <is>
          <t>分納</t>
        </is>
      </c>
    </row>
    <row r="115">
      <c r="A115" t="inlineStr">
        <is>
          <t>SR005</t>
        </is>
      </c>
      <c r="B115" t="inlineStr">
        <is>
          <t>営業担当005</t>
        </is>
      </c>
      <c r="C115" t="inlineStr">
        <is>
          <t>インサイドセールス部</t>
        </is>
      </c>
      <c r="D115" s="3" t="n">
        <v>45976</v>
      </c>
      <c r="E115" t="inlineStr">
        <is>
          <t>中央設備(株)</t>
        </is>
      </c>
      <c r="F115" t="inlineStr">
        <is>
          <t>神奈川県</t>
        </is>
      </c>
      <c r="G115" t="inlineStr">
        <is>
          <t>導入支援</t>
        </is>
      </c>
      <c r="H115" t="inlineStr">
        <is>
          <t>データ移行支援</t>
        </is>
      </c>
      <c r="I115" s="4" t="n">
        <v>5</v>
      </c>
      <c r="J115" s="4" t="n">
        <v>301100</v>
      </c>
      <c r="K115" s="4">
        <f>I115*J115</f>
        <v/>
      </c>
      <c r="L115" t="inlineStr">
        <is>
          <t>分納</t>
        </is>
      </c>
    </row>
    <row r="116">
      <c r="A116" t="inlineStr">
        <is>
          <t>SR005</t>
        </is>
      </c>
      <c r="B116" t="inlineStr">
        <is>
          <t>営業担当005</t>
        </is>
      </c>
      <c r="C116" t="inlineStr">
        <is>
          <t>インサイドセールス部</t>
        </is>
      </c>
      <c r="D116" s="3" t="n">
        <v>45977</v>
      </c>
      <c r="E116" t="inlineStr">
        <is>
          <t>桜井メディカル(株)</t>
        </is>
      </c>
      <c r="F116" t="inlineStr">
        <is>
          <t>京都府</t>
        </is>
      </c>
      <c r="G116" t="inlineStr">
        <is>
          <t>ハードウェア</t>
        </is>
      </c>
      <c r="H116" t="inlineStr">
        <is>
          <t>ネットワークカメラ</t>
        </is>
      </c>
      <c r="I116" s="4" t="n">
        <v>2</v>
      </c>
      <c r="J116" s="4" t="n">
        <v>76000</v>
      </c>
      <c r="K116" s="4">
        <f>I116*J116</f>
        <v/>
      </c>
      <c r="L116" t="inlineStr"/>
    </row>
    <row r="117">
      <c r="A117" t="inlineStr">
        <is>
          <t>SR005</t>
        </is>
      </c>
      <c r="B117" t="inlineStr">
        <is>
          <t>営業担当005</t>
        </is>
      </c>
      <c r="C117" t="inlineStr">
        <is>
          <t>インサイドセールス部</t>
        </is>
      </c>
      <c r="D117" s="3" t="n">
        <v>46006</v>
      </c>
      <c r="E117" t="inlineStr">
        <is>
          <t>みらい物流有限会社</t>
        </is>
      </c>
      <c r="F117" t="inlineStr">
        <is>
          <t>東京都</t>
        </is>
      </c>
      <c r="G117" t="inlineStr">
        <is>
          <t>導入支援</t>
        </is>
      </c>
      <c r="H117" t="inlineStr">
        <is>
          <t>操作研修パック</t>
        </is>
      </c>
      <c r="I117" s="4" t="n">
        <v>3</v>
      </c>
      <c r="J117" s="4" t="n">
        <v>81200</v>
      </c>
      <c r="K117" s="4">
        <f>I117*J117</f>
        <v/>
      </c>
      <c r="L117" t="inlineStr"/>
    </row>
    <row r="118">
      <c r="A118" t="inlineStr">
        <is>
          <t>SR005</t>
        </is>
      </c>
      <c r="B118" t="inlineStr">
        <is>
          <t>営業担当005</t>
        </is>
      </c>
      <c r="C118" t="inlineStr">
        <is>
          <t>インサイドセールス部</t>
        </is>
      </c>
      <c r="D118" s="3" t="n">
        <v>46019</v>
      </c>
      <c r="E118" t="inlineStr">
        <is>
          <t>みらい物流(株)</t>
        </is>
      </c>
      <c r="F118" t="inlineStr">
        <is>
          <t>宮城県</t>
        </is>
      </c>
      <c r="G118" t="inlineStr">
        <is>
          <t>保守サービス</t>
        </is>
      </c>
      <c r="H118" t="inlineStr">
        <is>
          <t>ヘルプデスク契約</t>
        </is>
      </c>
      <c r="I118" s="4" t="n">
        <v>3</v>
      </c>
      <c r="J118" s="4" t="n">
        <v>120000</v>
      </c>
      <c r="K118" s="4">
        <f>I118*J118</f>
        <v/>
      </c>
      <c r="L118" t="inlineStr"/>
    </row>
    <row r="119">
      <c r="A119" t="inlineStr">
        <is>
          <t>SR005</t>
        </is>
      </c>
      <c r="B119" t="inlineStr">
        <is>
          <t>営業担当005</t>
        </is>
      </c>
      <c r="C119" t="inlineStr">
        <is>
          <t>インサイドセールス部</t>
        </is>
      </c>
      <c r="D119" s="3" t="n">
        <v>46025</v>
      </c>
      <c r="E119" t="inlineStr">
        <is>
          <t>桜井メディカル有限会社</t>
        </is>
      </c>
      <c r="F119" t="inlineStr">
        <is>
          <t>兵庫県</t>
        </is>
      </c>
      <c r="G119" t="inlineStr">
        <is>
          <t>消耗品</t>
        </is>
      </c>
      <c r="H119" t="inlineStr">
        <is>
          <t>ラベルロール</t>
        </is>
      </c>
      <c r="I119" s="4" t="n">
        <v>13</v>
      </c>
      <c r="J119" s="4" t="n">
        <v>7710</v>
      </c>
      <c r="K119" s="4">
        <f>I119*J119</f>
        <v/>
      </c>
      <c r="L119" t="inlineStr"/>
    </row>
    <row r="120">
      <c r="A120" t="inlineStr">
        <is>
          <t>SR005</t>
        </is>
      </c>
      <c r="B120" t="inlineStr">
        <is>
          <t>営業担当005</t>
        </is>
      </c>
      <c r="C120" t="inlineStr">
        <is>
          <t>インサイドセールス部</t>
        </is>
      </c>
      <c r="D120" s="3" t="n">
        <v>46032</v>
      </c>
      <c r="E120" t="inlineStr">
        <is>
          <t>サンライズ建設有限会社</t>
        </is>
      </c>
      <c r="F120" t="inlineStr">
        <is>
          <t>兵庫県</t>
        </is>
      </c>
      <c r="G120" t="inlineStr">
        <is>
          <t>導入支援</t>
        </is>
      </c>
      <c r="H120" t="inlineStr">
        <is>
          <t>初期設定支援</t>
        </is>
      </c>
      <c r="I120" s="4" t="n">
        <v>4</v>
      </c>
      <c r="J120" s="4" t="n">
        <v>160300</v>
      </c>
      <c r="K120" s="4">
        <f>I120*J120</f>
        <v/>
      </c>
      <c r="L120" t="inlineStr">
        <is>
          <t>分納</t>
        </is>
      </c>
    </row>
    <row r="121">
      <c r="A121" t="inlineStr">
        <is>
          <t>SR005</t>
        </is>
      </c>
      <c r="B121" t="inlineStr">
        <is>
          <t>営業担当005</t>
        </is>
      </c>
      <c r="C121" t="inlineStr">
        <is>
          <t>インサイドセールス部</t>
        </is>
      </c>
      <c r="D121" s="3" t="n">
        <v>46065</v>
      </c>
      <c r="E121" t="inlineStr">
        <is>
          <t>オーシャン製作所有限会社</t>
        </is>
      </c>
      <c r="F121" t="inlineStr">
        <is>
          <t>京都府</t>
        </is>
      </c>
      <c r="G121" t="inlineStr">
        <is>
          <t>導入支援</t>
        </is>
      </c>
      <c r="H121" t="inlineStr">
        <is>
          <t>データ移行支援</t>
        </is>
      </c>
      <c r="I121" s="4" t="n">
        <v>3</v>
      </c>
      <c r="J121" s="4" t="n">
        <v>157200</v>
      </c>
      <c r="K121" s="4">
        <f>I121*J121</f>
        <v/>
      </c>
      <c r="L121" t="inlineStr">
        <is>
          <t>大型案件</t>
        </is>
      </c>
    </row>
    <row r="122">
      <c r="A122" t="inlineStr">
        <is>
          <t>SR005</t>
        </is>
      </c>
      <c r="B122" t="inlineStr">
        <is>
          <t>営業担当005</t>
        </is>
      </c>
      <c r="C122" t="inlineStr">
        <is>
          <t>インサイドセールス部</t>
        </is>
      </c>
      <c r="D122" s="3" t="n">
        <v>46078</v>
      </c>
      <c r="E122" t="inlineStr">
        <is>
          <t>西日本機工(株)</t>
        </is>
      </c>
      <c r="F122" t="inlineStr">
        <is>
          <t>京都府</t>
        </is>
      </c>
      <c r="G122" t="inlineStr">
        <is>
          <t>導入支援</t>
        </is>
      </c>
      <c r="H122" t="inlineStr">
        <is>
          <t>データ移行支援</t>
        </is>
      </c>
      <c r="I122" s="4" t="n">
        <v>2</v>
      </c>
      <c r="J122" s="4" t="n">
        <v>319700</v>
      </c>
      <c r="K122" s="4">
        <f>I122*J122</f>
        <v/>
      </c>
      <c r="L122" t="inlineStr">
        <is>
          <t>キャンペーン適用</t>
        </is>
      </c>
    </row>
    <row r="123">
      <c r="A123" t="inlineStr">
        <is>
          <t>SR005</t>
        </is>
      </c>
      <c r="B123" t="inlineStr">
        <is>
          <t>営業担当005</t>
        </is>
      </c>
      <c r="C123" t="inlineStr">
        <is>
          <t>インサイドセールス部</t>
        </is>
      </c>
      <c r="D123" s="3" t="n">
        <v>46100</v>
      </c>
      <c r="E123" t="inlineStr">
        <is>
          <t>日新サービス株式会社</t>
        </is>
      </c>
      <c r="F123" t="inlineStr">
        <is>
          <t>宮城県</t>
        </is>
      </c>
      <c r="G123" t="inlineStr">
        <is>
          <t>ソフトウェア</t>
        </is>
      </c>
      <c r="H123" t="inlineStr">
        <is>
          <t>帳票自動化ツール</t>
        </is>
      </c>
      <c r="I123" s="4" t="n">
        <v>4</v>
      </c>
      <c r="J123" s="4" t="n">
        <v>306100</v>
      </c>
      <c r="K123" s="4">
        <f>I123*J123</f>
        <v/>
      </c>
      <c r="L123" t="inlineStr">
        <is>
          <t>キャンペーン適用</t>
        </is>
      </c>
    </row>
    <row r="124">
      <c r="A124" t="inlineStr">
        <is>
          <t>SR005</t>
        </is>
      </c>
      <c r="B124" t="inlineStr">
        <is>
          <t>営業担当005</t>
        </is>
      </c>
      <c r="C124" t="inlineStr">
        <is>
          <t>インサイドセールス部</t>
        </is>
      </c>
      <c r="D124" s="3" t="n">
        <v>46102</v>
      </c>
      <c r="E124" t="inlineStr">
        <is>
          <t>ネクストソリューション株式会社</t>
        </is>
      </c>
      <c r="F124" t="inlineStr">
        <is>
          <t>広島県</t>
        </is>
      </c>
      <c r="G124" t="inlineStr">
        <is>
          <t>保守サービス</t>
        </is>
      </c>
      <c r="H124" t="inlineStr">
        <is>
          <t>オンサイト保守</t>
        </is>
      </c>
      <c r="I124" s="4" t="n">
        <v>3</v>
      </c>
      <c r="J124" s="4" t="n">
        <v>105700</v>
      </c>
      <c r="K124" s="4">
        <f>I124*J124</f>
        <v/>
      </c>
      <c r="L124" t="inlineStr"/>
    </row>
    <row r="125">
      <c r="A125" t="inlineStr">
        <is>
          <t>SR006</t>
        </is>
      </c>
      <c r="B125" t="inlineStr">
        <is>
          <t>営業担当006</t>
        </is>
      </c>
      <c r="C125" t="inlineStr">
        <is>
          <t>第1営業部</t>
        </is>
      </c>
      <c r="D125" s="3" t="n">
        <v>45767</v>
      </c>
      <c r="E125" t="inlineStr">
        <is>
          <t>ネクストソリューション(株)</t>
        </is>
      </c>
      <c r="F125" t="inlineStr">
        <is>
          <t>愛知県</t>
        </is>
      </c>
      <c r="G125" t="inlineStr">
        <is>
          <t>消耗品</t>
        </is>
      </c>
      <c r="H125" t="inlineStr">
        <is>
          <t>保守用バッテリー</t>
        </is>
      </c>
      <c r="I125" s="4" t="n">
        <v>4</v>
      </c>
      <c r="J125" s="4" t="n">
        <v>9690</v>
      </c>
      <c r="K125" s="4">
        <f>I125*J125</f>
        <v/>
      </c>
      <c r="L125" t="inlineStr">
        <is>
          <t>リピート受注</t>
        </is>
      </c>
    </row>
    <row r="126">
      <c r="A126" t="inlineStr">
        <is>
          <t>SR006</t>
        </is>
      </c>
      <c r="B126" t="inlineStr">
        <is>
          <t>営業担当006</t>
        </is>
      </c>
      <c r="C126" t="inlineStr">
        <is>
          <t>第1営業部</t>
        </is>
      </c>
      <c r="D126" s="3" t="n">
        <v>45769</v>
      </c>
      <c r="E126" t="inlineStr">
        <is>
          <t>グリーンテック(株)</t>
        </is>
      </c>
      <c r="F126" t="inlineStr">
        <is>
          <t>東京都</t>
        </is>
      </c>
      <c r="G126" t="inlineStr">
        <is>
          <t>ハードウェア</t>
        </is>
      </c>
      <c r="H126" t="inlineStr">
        <is>
          <t>ラベルプリンター</t>
        </is>
      </c>
      <c r="I126" s="4" t="n">
        <v>1</v>
      </c>
      <c r="J126" s="4" t="n">
        <v>82700</v>
      </c>
      <c r="K126" s="4">
        <f>I126*J126</f>
        <v/>
      </c>
      <c r="L126" t="inlineStr">
        <is>
          <t>分納</t>
        </is>
      </c>
    </row>
    <row r="127">
      <c r="A127" t="inlineStr">
        <is>
          <t>SR006</t>
        </is>
      </c>
      <c r="B127" t="inlineStr">
        <is>
          <t>営業担当006</t>
        </is>
      </c>
      <c r="C127" t="inlineStr">
        <is>
          <t>第1営業部</t>
        </is>
      </c>
      <c r="D127" s="3" t="n">
        <v>45781</v>
      </c>
      <c r="E127" t="inlineStr">
        <is>
          <t>大和精機(株)</t>
        </is>
      </c>
      <c r="F127" t="inlineStr">
        <is>
          <t>東京都</t>
        </is>
      </c>
      <c r="G127" t="inlineStr">
        <is>
          <t>ハードウェア</t>
        </is>
      </c>
      <c r="H127" t="inlineStr">
        <is>
          <t>ネットワークカメラ</t>
        </is>
      </c>
      <c r="I127" s="4" t="n">
        <v>2</v>
      </c>
      <c r="J127" s="4" t="n">
        <v>31600</v>
      </c>
      <c r="K127" s="4">
        <f>I127*J127</f>
        <v/>
      </c>
      <c r="L127" t="inlineStr">
        <is>
          <t>分納</t>
        </is>
      </c>
    </row>
    <row r="128">
      <c r="A128" t="inlineStr">
        <is>
          <t>SR006</t>
        </is>
      </c>
      <c r="B128" t="inlineStr">
        <is>
          <t>営業担当006</t>
        </is>
      </c>
      <c r="C128" t="inlineStr">
        <is>
          <t>第1営業部</t>
        </is>
      </c>
      <c r="D128" s="3" t="n">
        <v>45799</v>
      </c>
      <c r="E128" t="inlineStr">
        <is>
          <t>グリーンテック有限会社</t>
        </is>
      </c>
      <c r="F128" t="inlineStr">
        <is>
          <t>大阪府</t>
        </is>
      </c>
      <c r="G128" t="inlineStr">
        <is>
          <t>ソフトウェア</t>
        </is>
      </c>
      <c r="H128" t="inlineStr">
        <is>
          <t>帳票自動化ツール</t>
        </is>
      </c>
      <c r="I128" s="4" t="n">
        <v>4</v>
      </c>
      <c r="J128" s="4" t="n">
        <v>163600</v>
      </c>
      <c r="K128" s="4">
        <f>I128*J128</f>
        <v/>
      </c>
      <c r="L128" t="inlineStr">
        <is>
          <t>新規開拓</t>
        </is>
      </c>
    </row>
    <row r="129">
      <c r="A129" t="inlineStr">
        <is>
          <t>SR006</t>
        </is>
      </c>
      <c r="B129" t="inlineStr">
        <is>
          <t>営業担当006</t>
        </is>
      </c>
      <c r="C129" t="inlineStr">
        <is>
          <t>第1営業部</t>
        </is>
      </c>
      <c r="D129" s="3" t="n">
        <v>45832</v>
      </c>
      <c r="E129" t="inlineStr">
        <is>
          <t>グリーンテック株式会社</t>
        </is>
      </c>
      <c r="F129" t="inlineStr">
        <is>
          <t>神奈川県</t>
        </is>
      </c>
      <c r="G129" t="inlineStr">
        <is>
          <t>保守サービス</t>
        </is>
      </c>
      <c r="H129" t="inlineStr">
        <is>
          <t>ヘルプデスク契約</t>
        </is>
      </c>
      <c r="I129" s="4" t="n">
        <v>4</v>
      </c>
      <c r="J129" s="4" t="n">
        <v>53900</v>
      </c>
      <c r="K129" s="4">
        <f>I129*J129</f>
        <v/>
      </c>
      <c r="L129" t="inlineStr">
        <is>
          <t>大型案件</t>
        </is>
      </c>
    </row>
    <row r="130">
      <c r="A130" t="inlineStr">
        <is>
          <t>SR006</t>
        </is>
      </c>
      <c r="B130" t="inlineStr">
        <is>
          <t>営業担当006</t>
        </is>
      </c>
      <c r="C130" t="inlineStr">
        <is>
          <t>第1営業部</t>
        </is>
      </c>
      <c r="D130" s="3" t="n">
        <v>45834</v>
      </c>
      <c r="E130" t="inlineStr">
        <is>
          <t>未来通信(株)</t>
        </is>
      </c>
      <c r="F130" t="inlineStr">
        <is>
          <t>兵庫県</t>
        </is>
      </c>
      <c r="G130" t="inlineStr">
        <is>
          <t>導入支援</t>
        </is>
      </c>
      <c r="H130" t="inlineStr">
        <is>
          <t>操作研修パック</t>
        </is>
      </c>
      <c r="I130" s="4" t="n">
        <v>1</v>
      </c>
      <c r="J130" s="4" t="n">
        <v>97200</v>
      </c>
      <c r="K130" s="4">
        <f>I130*J130</f>
        <v/>
      </c>
      <c r="L130" t="inlineStr">
        <is>
          <t>値引き調整あり</t>
        </is>
      </c>
    </row>
    <row r="131">
      <c r="A131" t="inlineStr">
        <is>
          <t>SR006</t>
        </is>
      </c>
      <c r="B131" t="inlineStr">
        <is>
          <t>営業担当006</t>
        </is>
      </c>
      <c r="C131" t="inlineStr">
        <is>
          <t>第1営業部</t>
        </is>
      </c>
      <c r="D131" s="3" t="n">
        <v>45843</v>
      </c>
      <c r="E131" t="inlineStr">
        <is>
          <t>九州エナジー(株)</t>
        </is>
      </c>
      <c r="F131" t="inlineStr">
        <is>
          <t>京都府</t>
        </is>
      </c>
      <c r="G131" t="inlineStr">
        <is>
          <t>消耗品</t>
        </is>
      </c>
      <c r="H131" t="inlineStr">
        <is>
          <t>保守用バッテリー</t>
        </is>
      </c>
      <c r="I131" s="4" t="n">
        <v>14</v>
      </c>
      <c r="J131" s="4" t="n">
        <v>9160</v>
      </c>
      <c r="K131" s="4">
        <f>I131*J131</f>
        <v/>
      </c>
      <c r="L131" t="inlineStr">
        <is>
          <t>リピート受注</t>
        </is>
      </c>
    </row>
    <row r="132">
      <c r="A132" t="inlineStr">
        <is>
          <t>SR006</t>
        </is>
      </c>
      <c r="B132" t="inlineStr">
        <is>
          <t>営業担当006</t>
        </is>
      </c>
      <c r="C132" t="inlineStr">
        <is>
          <t>第1営業部</t>
        </is>
      </c>
      <c r="D132" s="3" t="n">
        <v>45851</v>
      </c>
      <c r="E132" t="inlineStr">
        <is>
          <t>オーシャン製作所有限会社</t>
        </is>
      </c>
      <c r="F132" t="inlineStr">
        <is>
          <t>広島県</t>
        </is>
      </c>
      <c r="G132" t="inlineStr">
        <is>
          <t>消耗品</t>
        </is>
      </c>
      <c r="H132" t="inlineStr">
        <is>
          <t>ラベルロール</t>
        </is>
      </c>
      <c r="I132" s="4" t="n">
        <v>10</v>
      </c>
      <c r="J132" s="4" t="n">
        <v>3600</v>
      </c>
      <c r="K132" s="4">
        <f>I132*J132</f>
        <v/>
      </c>
      <c r="L132" t="inlineStr">
        <is>
          <t>大型案件</t>
        </is>
      </c>
    </row>
    <row r="133">
      <c r="A133" t="inlineStr">
        <is>
          <t>SR006</t>
        </is>
      </c>
      <c r="B133" t="inlineStr">
        <is>
          <t>営業担当006</t>
        </is>
      </c>
      <c r="C133" t="inlineStr">
        <is>
          <t>第1営業部</t>
        </is>
      </c>
      <c r="D133" s="3" t="n">
        <v>45890</v>
      </c>
      <c r="E133" t="inlineStr">
        <is>
          <t>サンライズ建設株式会社</t>
        </is>
      </c>
      <c r="F133" t="inlineStr">
        <is>
          <t>大阪府</t>
        </is>
      </c>
      <c r="G133" t="inlineStr">
        <is>
          <t>導入支援</t>
        </is>
      </c>
      <c r="H133" t="inlineStr">
        <is>
          <t>初期設定支援</t>
        </is>
      </c>
      <c r="I133" s="4" t="n">
        <v>1</v>
      </c>
      <c r="J133" s="4" t="n">
        <v>140800</v>
      </c>
      <c r="K133" s="4">
        <f>I133*J133</f>
        <v/>
      </c>
      <c r="L133" t="inlineStr"/>
    </row>
    <row r="134">
      <c r="A134" t="inlineStr">
        <is>
          <t>SR006</t>
        </is>
      </c>
      <c r="B134" t="inlineStr">
        <is>
          <t>営業担当006</t>
        </is>
      </c>
      <c r="C134" t="inlineStr">
        <is>
          <t>第1営業部</t>
        </is>
      </c>
      <c r="D134" s="3" t="n">
        <v>45896</v>
      </c>
      <c r="E134" t="inlineStr">
        <is>
          <t>ネクストソリューション(株)</t>
        </is>
      </c>
      <c r="F134" t="inlineStr">
        <is>
          <t>北海道</t>
        </is>
      </c>
      <c r="G134" t="inlineStr">
        <is>
          <t>ソフトウェア</t>
        </is>
      </c>
      <c r="H134" t="inlineStr">
        <is>
          <t>AIチャットボット</t>
        </is>
      </c>
      <c r="I134" s="4" t="n">
        <v>1</v>
      </c>
      <c r="J134" s="4" t="n">
        <v>365300</v>
      </c>
      <c r="K134" s="4">
        <f>I134*J134</f>
        <v/>
      </c>
      <c r="L134" t="inlineStr">
        <is>
          <t>大型案件</t>
        </is>
      </c>
    </row>
    <row r="135">
      <c r="A135" t="inlineStr">
        <is>
          <t>SR006</t>
        </is>
      </c>
      <c r="B135" t="inlineStr">
        <is>
          <t>営業担当006</t>
        </is>
      </c>
      <c r="C135" t="inlineStr">
        <is>
          <t>第1営業部</t>
        </is>
      </c>
      <c r="D135" s="3" t="n">
        <v>45923</v>
      </c>
      <c r="E135" t="inlineStr">
        <is>
          <t>サンライズ建設株式会社</t>
        </is>
      </c>
      <c r="F135" t="inlineStr">
        <is>
          <t>東京都</t>
        </is>
      </c>
      <c r="G135" t="inlineStr">
        <is>
          <t>保守サービス</t>
        </is>
      </c>
      <c r="H135" t="inlineStr">
        <is>
          <t>年間保守契約</t>
        </is>
      </c>
      <c r="I135" s="4" t="n">
        <v>3</v>
      </c>
      <c r="J135" s="4" t="n">
        <v>206800</v>
      </c>
      <c r="K135" s="4">
        <f>I135*J135</f>
        <v/>
      </c>
      <c r="L135" t="inlineStr">
        <is>
          <t>新規開拓</t>
        </is>
      </c>
    </row>
    <row r="136">
      <c r="A136" t="inlineStr">
        <is>
          <t>SR006</t>
        </is>
      </c>
      <c r="B136" t="inlineStr">
        <is>
          <t>営業担当006</t>
        </is>
      </c>
      <c r="C136" t="inlineStr">
        <is>
          <t>第1営業部</t>
        </is>
      </c>
      <c r="D136" s="3" t="n">
        <v>45928</v>
      </c>
      <c r="E136" t="inlineStr">
        <is>
          <t>日新サービス有限会社</t>
        </is>
      </c>
      <c r="F136" t="inlineStr">
        <is>
          <t>北海道</t>
        </is>
      </c>
      <c r="G136" t="inlineStr">
        <is>
          <t>ソフトウェア</t>
        </is>
      </c>
      <c r="H136" t="inlineStr">
        <is>
          <t>AIチャットボット</t>
        </is>
      </c>
      <c r="I136" s="4" t="n">
        <v>1</v>
      </c>
      <c r="J136" s="4" t="n">
        <v>466600</v>
      </c>
      <c r="K136" s="4">
        <f>I136*J136</f>
        <v/>
      </c>
      <c r="L136" t="inlineStr">
        <is>
          <t>値引き調整あり</t>
        </is>
      </c>
    </row>
    <row r="137">
      <c r="A137" t="inlineStr">
        <is>
          <t>SR006</t>
        </is>
      </c>
      <c r="B137" t="inlineStr">
        <is>
          <t>営業担当006</t>
        </is>
      </c>
      <c r="C137" t="inlineStr">
        <is>
          <t>第1営業部</t>
        </is>
      </c>
      <c r="D137" s="3" t="n">
        <v>45934</v>
      </c>
      <c r="E137" t="inlineStr">
        <is>
          <t>白峰化学(株)</t>
        </is>
      </c>
      <c r="F137" t="inlineStr">
        <is>
          <t>神奈川県</t>
        </is>
      </c>
      <c r="G137" t="inlineStr">
        <is>
          <t>消耗品</t>
        </is>
      </c>
      <c r="H137" t="inlineStr">
        <is>
          <t>保守用バッテリー</t>
        </is>
      </c>
      <c r="I137" s="4" t="n">
        <v>14</v>
      </c>
      <c r="J137" s="4" t="n">
        <v>13400</v>
      </c>
      <c r="K137" s="4">
        <f>I137*J137</f>
        <v/>
      </c>
      <c r="L137" t="inlineStr"/>
    </row>
    <row r="138">
      <c r="A138" t="inlineStr">
        <is>
          <t>SR006</t>
        </is>
      </c>
      <c r="B138" t="inlineStr">
        <is>
          <t>営業担当006</t>
        </is>
      </c>
      <c r="C138" t="inlineStr">
        <is>
          <t>第1営業部</t>
        </is>
      </c>
      <c r="D138" s="3" t="n">
        <v>45944</v>
      </c>
      <c r="E138" t="inlineStr">
        <is>
          <t>グリーンテック株式会社</t>
        </is>
      </c>
      <c r="F138" t="inlineStr">
        <is>
          <t>京都府</t>
        </is>
      </c>
      <c r="G138" t="inlineStr">
        <is>
          <t>導入支援</t>
        </is>
      </c>
      <c r="H138" t="inlineStr">
        <is>
          <t>操作研修パック</t>
        </is>
      </c>
      <c r="I138" s="4" t="n">
        <v>2</v>
      </c>
      <c r="J138" s="4" t="n">
        <v>64800</v>
      </c>
      <c r="K138" s="4">
        <f>I138*J138</f>
        <v/>
      </c>
      <c r="L138" t="inlineStr"/>
    </row>
    <row r="139">
      <c r="A139" t="inlineStr">
        <is>
          <t>SR006</t>
        </is>
      </c>
      <c r="B139" t="inlineStr">
        <is>
          <t>営業担当006</t>
        </is>
      </c>
      <c r="C139" t="inlineStr">
        <is>
          <t>第1営業部</t>
        </is>
      </c>
      <c r="D139" s="3" t="n">
        <v>45964</v>
      </c>
      <c r="E139" t="inlineStr">
        <is>
          <t>ライトホーム(株)</t>
        </is>
      </c>
      <c r="F139" t="inlineStr">
        <is>
          <t>兵庫県</t>
        </is>
      </c>
      <c r="G139" t="inlineStr">
        <is>
          <t>ハードウェア</t>
        </is>
      </c>
      <c r="H139" t="inlineStr">
        <is>
          <t>ネットワークカメラ</t>
        </is>
      </c>
      <c r="I139" s="4" t="n">
        <v>5</v>
      </c>
      <c r="J139" s="4" t="n">
        <v>38600</v>
      </c>
      <c r="K139" s="4">
        <f>I139*J139</f>
        <v/>
      </c>
      <c r="L139" t="inlineStr">
        <is>
          <t>大型案件</t>
        </is>
      </c>
    </row>
    <row r="140">
      <c r="A140" t="inlineStr">
        <is>
          <t>SR006</t>
        </is>
      </c>
      <c r="B140" t="inlineStr">
        <is>
          <t>営業担当006</t>
        </is>
      </c>
      <c r="C140" t="inlineStr">
        <is>
          <t>第1営業部</t>
        </is>
      </c>
      <c r="D140" s="3" t="n">
        <v>45983</v>
      </c>
      <c r="E140" t="inlineStr">
        <is>
          <t>桜井メディカル(株)</t>
        </is>
      </c>
      <c r="F140" t="inlineStr">
        <is>
          <t>東京都</t>
        </is>
      </c>
      <c r="G140" t="inlineStr">
        <is>
          <t>消耗品</t>
        </is>
      </c>
      <c r="H140" t="inlineStr">
        <is>
          <t>交換用ヘッド</t>
        </is>
      </c>
      <c r="I140" s="4" t="n">
        <v>6</v>
      </c>
      <c r="J140" s="4" t="n">
        <v>36980</v>
      </c>
      <c r="K140" s="4">
        <f>I140*J140</f>
        <v/>
      </c>
      <c r="L140" t="inlineStr">
        <is>
          <t>大型案件</t>
        </is>
      </c>
    </row>
    <row r="141">
      <c r="A141" t="inlineStr">
        <is>
          <t>SR006</t>
        </is>
      </c>
      <c r="B141" t="inlineStr">
        <is>
          <t>営業担当006</t>
        </is>
      </c>
      <c r="C141" t="inlineStr">
        <is>
          <t>第1営業部</t>
        </is>
      </c>
      <c r="D141" s="3" t="n">
        <v>46006</v>
      </c>
      <c r="E141" t="inlineStr">
        <is>
          <t>未来通信(株)</t>
        </is>
      </c>
      <c r="F141" t="inlineStr">
        <is>
          <t>神奈川県</t>
        </is>
      </c>
      <c r="G141" t="inlineStr">
        <is>
          <t>ソフトウェア</t>
        </is>
      </c>
      <c r="H141" t="inlineStr">
        <is>
          <t>AIチャットボット</t>
        </is>
      </c>
      <c r="I141" s="4" t="n">
        <v>3</v>
      </c>
      <c r="J141" s="4" t="n">
        <v>805000</v>
      </c>
      <c r="K141" s="4">
        <f>I141*J141</f>
        <v/>
      </c>
      <c r="L141" t="inlineStr">
        <is>
          <t>値引き調整あり</t>
        </is>
      </c>
    </row>
    <row r="142">
      <c r="A142" t="inlineStr">
        <is>
          <t>SR006</t>
        </is>
      </c>
      <c r="B142" t="inlineStr">
        <is>
          <t>営業担当006</t>
        </is>
      </c>
      <c r="C142" t="inlineStr">
        <is>
          <t>第1営業部</t>
        </is>
      </c>
      <c r="D142" s="3" t="n">
        <v>46012</v>
      </c>
      <c r="E142" t="inlineStr">
        <is>
          <t>みらい物流有限会社</t>
        </is>
      </c>
      <c r="F142" t="inlineStr">
        <is>
          <t>広島県</t>
        </is>
      </c>
      <c r="G142" t="inlineStr">
        <is>
          <t>保守サービス</t>
        </is>
      </c>
      <c r="H142" t="inlineStr">
        <is>
          <t>ヘルプデスク契約</t>
        </is>
      </c>
      <c r="I142" s="4" t="n">
        <v>4</v>
      </c>
      <c r="J142" s="4" t="n">
        <v>47900</v>
      </c>
      <c r="K142" s="4">
        <f>I142*J142</f>
        <v/>
      </c>
      <c r="L142" t="inlineStr"/>
    </row>
    <row r="143">
      <c r="A143" t="inlineStr">
        <is>
          <t>SR006</t>
        </is>
      </c>
      <c r="B143" t="inlineStr">
        <is>
          <t>営業担当006</t>
        </is>
      </c>
      <c r="C143" t="inlineStr">
        <is>
          <t>第1営業部</t>
        </is>
      </c>
      <c r="D143" s="3" t="n">
        <v>46024</v>
      </c>
      <c r="E143" t="inlineStr">
        <is>
          <t>北斗産業(株)</t>
        </is>
      </c>
      <c r="F143" t="inlineStr">
        <is>
          <t>広島県</t>
        </is>
      </c>
      <c r="G143" t="inlineStr">
        <is>
          <t>ソフトウェア</t>
        </is>
      </c>
      <c r="H143" t="inlineStr">
        <is>
          <t>在庫管理クラウド</t>
        </is>
      </c>
      <c r="I143" s="4" t="n">
        <v>2</v>
      </c>
      <c r="J143" s="4" t="n">
        <v>400100</v>
      </c>
      <c r="K143" s="4">
        <f>I143*J143</f>
        <v/>
      </c>
      <c r="L143" t="inlineStr"/>
    </row>
    <row r="144">
      <c r="A144" t="inlineStr">
        <is>
          <t>SR006</t>
        </is>
      </c>
      <c r="B144" t="inlineStr">
        <is>
          <t>営業担当006</t>
        </is>
      </c>
      <c r="C144" t="inlineStr">
        <is>
          <t>第1営業部</t>
        </is>
      </c>
      <c r="D144" s="3" t="n">
        <v>46028</v>
      </c>
      <c r="E144" t="inlineStr">
        <is>
          <t>みらい物流(株)</t>
        </is>
      </c>
      <c r="F144" t="inlineStr">
        <is>
          <t>北海道</t>
        </is>
      </c>
      <c r="G144" t="inlineStr">
        <is>
          <t>消耗品</t>
        </is>
      </c>
      <c r="H144" t="inlineStr">
        <is>
          <t>保守用バッテリー</t>
        </is>
      </c>
      <c r="I144" s="4" t="n">
        <v>11</v>
      </c>
      <c r="J144" s="4" t="n">
        <v>14480</v>
      </c>
      <c r="K144" s="4">
        <f>I144*J144</f>
        <v/>
      </c>
      <c r="L144" t="inlineStr">
        <is>
          <t>リピート受注</t>
        </is>
      </c>
    </row>
    <row r="145">
      <c r="A145" t="inlineStr">
        <is>
          <t>SR006</t>
        </is>
      </c>
      <c r="B145" t="inlineStr">
        <is>
          <t>営業担当006</t>
        </is>
      </c>
      <c r="C145" t="inlineStr">
        <is>
          <t>第1営業部</t>
        </is>
      </c>
      <c r="D145" s="3" t="n">
        <v>46066</v>
      </c>
      <c r="E145" t="inlineStr">
        <is>
          <t>白峰化学(株)</t>
        </is>
      </c>
      <c r="F145" t="inlineStr">
        <is>
          <t>京都府</t>
        </is>
      </c>
      <c r="G145" t="inlineStr">
        <is>
          <t>導入支援</t>
        </is>
      </c>
      <c r="H145" t="inlineStr">
        <is>
          <t>操作研修パック</t>
        </is>
      </c>
      <c r="I145" s="4" t="n">
        <v>2</v>
      </c>
      <c r="J145" s="4" t="n">
        <v>114900</v>
      </c>
      <c r="K145" s="4">
        <f>I145*J145</f>
        <v/>
      </c>
      <c r="L145" t="inlineStr"/>
    </row>
    <row r="146">
      <c r="A146" t="inlineStr">
        <is>
          <t>SR006</t>
        </is>
      </c>
      <c r="B146" t="inlineStr">
        <is>
          <t>営業担当006</t>
        </is>
      </c>
      <c r="C146" t="inlineStr">
        <is>
          <t>第1営業部</t>
        </is>
      </c>
      <c r="D146" s="3" t="n">
        <v>46068</v>
      </c>
      <c r="E146" t="inlineStr">
        <is>
          <t>サンライズ建設株式会社</t>
        </is>
      </c>
      <c r="F146" t="inlineStr">
        <is>
          <t>宮城県</t>
        </is>
      </c>
      <c r="G146" t="inlineStr">
        <is>
          <t>導入支援</t>
        </is>
      </c>
      <c r="H146" t="inlineStr">
        <is>
          <t>初期設定支援</t>
        </is>
      </c>
      <c r="I146" s="4" t="n">
        <v>2</v>
      </c>
      <c r="J146" s="4" t="n">
        <v>128100</v>
      </c>
      <c r="K146" s="4">
        <f>I146*J146</f>
        <v/>
      </c>
      <c r="L146" t="inlineStr">
        <is>
          <t>新規開拓</t>
        </is>
      </c>
    </row>
    <row r="147">
      <c r="A147" t="inlineStr">
        <is>
          <t>SR006</t>
        </is>
      </c>
      <c r="B147" t="inlineStr">
        <is>
          <t>営業担当006</t>
        </is>
      </c>
      <c r="C147" t="inlineStr">
        <is>
          <t>第1営業部</t>
        </is>
      </c>
      <c r="D147" s="3" t="n">
        <v>46100</v>
      </c>
      <c r="E147" t="inlineStr">
        <is>
          <t>サンライズ建設有限会社</t>
        </is>
      </c>
      <c r="F147" t="inlineStr">
        <is>
          <t>神奈川県</t>
        </is>
      </c>
      <c r="G147" t="inlineStr">
        <is>
          <t>ソフトウェア</t>
        </is>
      </c>
      <c r="H147" t="inlineStr">
        <is>
          <t>AIチャットボット</t>
        </is>
      </c>
      <c r="I147" s="4" t="n">
        <v>3</v>
      </c>
      <c r="J147" s="4" t="n">
        <v>256600</v>
      </c>
      <c r="K147" s="4">
        <f>I147*J147</f>
        <v/>
      </c>
      <c r="L147" t="inlineStr"/>
    </row>
    <row r="148">
      <c r="A148" t="inlineStr">
        <is>
          <t>SR006</t>
        </is>
      </c>
      <c r="B148" t="inlineStr">
        <is>
          <t>営業担当006</t>
        </is>
      </c>
      <c r="C148" t="inlineStr">
        <is>
          <t>第1営業部</t>
        </is>
      </c>
      <c r="D148" s="3" t="n">
        <v>46108</v>
      </c>
      <c r="E148" t="inlineStr">
        <is>
          <t>ネクストソリューション有限会社</t>
        </is>
      </c>
      <c r="F148" t="inlineStr">
        <is>
          <t>宮城県</t>
        </is>
      </c>
      <c r="G148" t="inlineStr">
        <is>
          <t>保守サービス</t>
        </is>
      </c>
      <c r="H148" t="inlineStr">
        <is>
          <t>年間保守契約</t>
        </is>
      </c>
      <c r="I148" s="4" t="n">
        <v>3</v>
      </c>
      <c r="J148" s="4" t="n">
        <v>148900</v>
      </c>
      <c r="K148" s="4">
        <f>I148*J148</f>
        <v/>
      </c>
      <c r="L148" t="inlineStr">
        <is>
          <t>分納</t>
        </is>
      </c>
    </row>
    <row r="149">
      <c r="A149" t="inlineStr">
        <is>
          <t>SR007</t>
        </is>
      </c>
      <c r="B149" t="inlineStr">
        <is>
          <t>営業担当007</t>
        </is>
      </c>
      <c r="C149" t="inlineStr">
        <is>
          <t>第2営業部</t>
        </is>
      </c>
      <c r="D149" s="3" t="n">
        <v>45758</v>
      </c>
      <c r="E149" t="inlineStr">
        <is>
          <t>白峰化学(株)</t>
        </is>
      </c>
      <c r="F149" t="inlineStr">
        <is>
          <t>宮城県</t>
        </is>
      </c>
      <c r="G149" t="inlineStr">
        <is>
          <t>ソフトウェア</t>
        </is>
      </c>
      <c r="H149" t="inlineStr">
        <is>
          <t>帳票自動化ツール</t>
        </is>
      </c>
      <c r="I149" s="4" t="n">
        <v>4</v>
      </c>
      <c r="J149" s="4" t="n">
        <v>278000</v>
      </c>
      <c r="K149" s="4">
        <f>I149*J149</f>
        <v/>
      </c>
      <c r="L149" t="inlineStr">
        <is>
          <t>リピート受注</t>
        </is>
      </c>
    </row>
    <row r="150">
      <c r="A150" t="inlineStr">
        <is>
          <t>SR007</t>
        </is>
      </c>
      <c r="B150" t="inlineStr">
        <is>
          <t>営業担当007</t>
        </is>
      </c>
      <c r="C150" t="inlineStr">
        <is>
          <t>第2営業部</t>
        </is>
      </c>
      <c r="D150" s="3" t="n">
        <v>45762</v>
      </c>
      <c r="E150" t="inlineStr">
        <is>
          <t>桜井メディカル(株)</t>
        </is>
      </c>
      <c r="F150" t="inlineStr">
        <is>
          <t>大阪府</t>
        </is>
      </c>
      <c r="G150" t="inlineStr">
        <is>
          <t>保守サービス</t>
        </is>
      </c>
      <c r="H150" t="inlineStr">
        <is>
          <t>ヘルプデスク契約</t>
        </is>
      </c>
      <c r="I150" s="4" t="n">
        <v>3</v>
      </c>
      <c r="J150" s="4" t="n">
        <v>42200</v>
      </c>
      <c r="K150" s="4">
        <f>I150*J150</f>
        <v/>
      </c>
      <c r="L150" t="inlineStr">
        <is>
          <t>キャンペーン適用</t>
        </is>
      </c>
    </row>
    <row r="151">
      <c r="A151" t="inlineStr">
        <is>
          <t>SR007</t>
        </is>
      </c>
      <c r="B151" t="inlineStr">
        <is>
          <t>営業担当007</t>
        </is>
      </c>
      <c r="C151" t="inlineStr">
        <is>
          <t>第2営業部</t>
        </is>
      </c>
      <c r="D151" s="3" t="n">
        <v>45786</v>
      </c>
      <c r="E151" t="inlineStr">
        <is>
          <t>東洋フーズ株式会社</t>
        </is>
      </c>
      <c r="F151" t="inlineStr">
        <is>
          <t>広島県</t>
        </is>
      </c>
      <c r="G151" t="inlineStr">
        <is>
          <t>ソフトウェア</t>
        </is>
      </c>
      <c r="H151" t="inlineStr">
        <is>
          <t>営業支援SaaS</t>
        </is>
      </c>
      <c r="I151" s="4" t="n">
        <v>5</v>
      </c>
      <c r="J151" s="4" t="n">
        <v>128700</v>
      </c>
      <c r="K151" s="4">
        <f>I151*J151</f>
        <v/>
      </c>
      <c r="L151" t="inlineStr"/>
    </row>
    <row r="152">
      <c r="A152" t="inlineStr">
        <is>
          <t>SR007</t>
        </is>
      </c>
      <c r="B152" t="inlineStr">
        <is>
          <t>営業担当007</t>
        </is>
      </c>
      <c r="C152" t="inlineStr">
        <is>
          <t>第2営業部</t>
        </is>
      </c>
      <c r="D152" s="3" t="n">
        <v>45789</v>
      </c>
      <c r="E152" t="inlineStr">
        <is>
          <t>グリーンテック有限会社</t>
        </is>
      </c>
      <c r="F152" t="inlineStr">
        <is>
          <t>広島県</t>
        </is>
      </c>
      <c r="G152" t="inlineStr">
        <is>
          <t>ソフトウェア</t>
        </is>
      </c>
      <c r="H152" t="inlineStr">
        <is>
          <t>在庫管理クラウド</t>
        </is>
      </c>
      <c r="I152" s="4" t="n">
        <v>1</v>
      </c>
      <c r="J152" s="4" t="n">
        <v>218100</v>
      </c>
      <c r="K152" s="4">
        <f>I152*J152</f>
        <v/>
      </c>
      <c r="L152" t="inlineStr">
        <is>
          <t>キャンペーン適用</t>
        </is>
      </c>
    </row>
    <row r="153">
      <c r="A153" t="inlineStr">
        <is>
          <t>SR007</t>
        </is>
      </c>
      <c r="B153" t="inlineStr">
        <is>
          <t>営業担当007</t>
        </is>
      </c>
      <c r="C153" t="inlineStr">
        <is>
          <t>第2営業部</t>
        </is>
      </c>
      <c r="D153" s="3" t="n">
        <v>45812</v>
      </c>
      <c r="E153" t="inlineStr">
        <is>
          <t>福岡流通株式会社</t>
        </is>
      </c>
      <c r="F153" t="inlineStr">
        <is>
          <t>京都府</t>
        </is>
      </c>
      <c r="G153" t="inlineStr">
        <is>
          <t>ソフトウェア</t>
        </is>
      </c>
      <c r="H153" t="inlineStr">
        <is>
          <t>帳票自動化ツール</t>
        </is>
      </c>
      <c r="I153" s="4" t="n">
        <v>1</v>
      </c>
      <c r="J153" s="4" t="n">
        <v>318200</v>
      </c>
      <c r="K153" s="4">
        <f>I153*J153</f>
        <v/>
      </c>
      <c r="L153" t="inlineStr">
        <is>
          <t>新規開拓</t>
        </is>
      </c>
    </row>
    <row r="154">
      <c r="A154" t="inlineStr">
        <is>
          <t>SR007</t>
        </is>
      </c>
      <c r="B154" t="inlineStr">
        <is>
          <t>営業担当007</t>
        </is>
      </c>
      <c r="C154" t="inlineStr">
        <is>
          <t>第2営業部</t>
        </is>
      </c>
      <c r="D154" s="3" t="n">
        <v>45834</v>
      </c>
      <c r="E154" t="inlineStr">
        <is>
          <t>オーシャン製作所株式会社</t>
        </is>
      </c>
      <c r="F154" t="inlineStr">
        <is>
          <t>福岡県</t>
        </is>
      </c>
      <c r="G154" t="inlineStr">
        <is>
          <t>消耗品</t>
        </is>
      </c>
      <c r="H154" t="inlineStr">
        <is>
          <t>ラベルロール</t>
        </is>
      </c>
      <c r="I154" s="4" t="n">
        <v>2</v>
      </c>
      <c r="J154" s="4" t="n">
        <v>6440</v>
      </c>
      <c r="K154" s="4">
        <f>I154*J154</f>
        <v/>
      </c>
      <c r="L154" t="inlineStr">
        <is>
          <t>大型案件</t>
        </is>
      </c>
    </row>
    <row r="155">
      <c r="A155" t="inlineStr">
        <is>
          <t>SR007</t>
        </is>
      </c>
      <c r="B155" t="inlineStr">
        <is>
          <t>営業担当007</t>
        </is>
      </c>
      <c r="C155" t="inlineStr">
        <is>
          <t>第2営業部</t>
        </is>
      </c>
      <c r="D155" s="3" t="n">
        <v>45865</v>
      </c>
      <c r="E155" t="inlineStr">
        <is>
          <t>桜井メディカル(株)</t>
        </is>
      </c>
      <c r="F155" t="inlineStr">
        <is>
          <t>福岡県</t>
        </is>
      </c>
      <c r="G155" t="inlineStr">
        <is>
          <t>消耗品</t>
        </is>
      </c>
      <c r="H155" t="inlineStr">
        <is>
          <t>ラベルロール</t>
        </is>
      </c>
      <c r="I155" s="4" t="n">
        <v>5</v>
      </c>
      <c r="J155" s="4" t="n">
        <v>5160</v>
      </c>
      <c r="K155" s="4">
        <f>I155*J155</f>
        <v/>
      </c>
      <c r="L155" t="inlineStr"/>
    </row>
    <row r="156">
      <c r="A156" t="inlineStr">
        <is>
          <t>SR007</t>
        </is>
      </c>
      <c r="B156" t="inlineStr">
        <is>
          <t>営業担当007</t>
        </is>
      </c>
      <c r="C156" t="inlineStr">
        <is>
          <t>第2営業部</t>
        </is>
      </c>
      <c r="D156" s="3" t="n">
        <v>45866</v>
      </c>
      <c r="E156" t="inlineStr">
        <is>
          <t>アーク電機有限会社</t>
        </is>
      </c>
      <c r="F156" t="inlineStr">
        <is>
          <t>東京都</t>
        </is>
      </c>
      <c r="G156" t="inlineStr">
        <is>
          <t>保守サービス</t>
        </is>
      </c>
      <c r="H156" t="inlineStr">
        <is>
          <t>ヘルプデスク契約</t>
        </is>
      </c>
      <c r="I156" s="4" t="n">
        <v>3</v>
      </c>
      <c r="J156" s="4" t="n">
        <v>72000</v>
      </c>
      <c r="K156" s="4">
        <f>I156*J156</f>
        <v/>
      </c>
      <c r="L156" t="inlineStr"/>
    </row>
    <row r="157">
      <c r="A157" t="inlineStr">
        <is>
          <t>SR007</t>
        </is>
      </c>
      <c r="B157" t="inlineStr">
        <is>
          <t>営業担当007</t>
        </is>
      </c>
      <c r="C157" t="inlineStr">
        <is>
          <t>第2営業部</t>
        </is>
      </c>
      <c r="D157" s="3" t="n">
        <v>45887</v>
      </c>
      <c r="E157" t="inlineStr">
        <is>
          <t>未来通信株式会社</t>
        </is>
      </c>
      <c r="F157" t="inlineStr">
        <is>
          <t>大阪府</t>
        </is>
      </c>
      <c r="G157" t="inlineStr">
        <is>
          <t>ソフトウェア</t>
        </is>
      </c>
      <c r="H157" t="inlineStr">
        <is>
          <t>営業支援SaaS</t>
        </is>
      </c>
      <c r="I157" s="4" t="n">
        <v>1</v>
      </c>
      <c r="J157" s="4" t="n">
        <v>266700</v>
      </c>
      <c r="K157" s="4">
        <f>I157*J157</f>
        <v/>
      </c>
      <c r="L157" t="inlineStr">
        <is>
          <t>大型案件</t>
        </is>
      </c>
    </row>
    <row r="158">
      <c r="A158" t="inlineStr">
        <is>
          <t>SR007</t>
        </is>
      </c>
      <c r="B158" t="inlineStr">
        <is>
          <t>営業担当007</t>
        </is>
      </c>
      <c r="C158" t="inlineStr">
        <is>
          <t>第2営業部</t>
        </is>
      </c>
      <c r="D158" s="3" t="n">
        <v>45888</v>
      </c>
      <c r="E158" t="inlineStr">
        <is>
          <t>大和精機株式会社</t>
        </is>
      </c>
      <c r="F158" t="inlineStr">
        <is>
          <t>福岡県</t>
        </is>
      </c>
      <c r="G158" t="inlineStr">
        <is>
          <t>導入支援</t>
        </is>
      </c>
      <c r="H158" t="inlineStr">
        <is>
          <t>初期設定支援</t>
        </is>
      </c>
      <c r="I158" s="4" t="n">
        <v>1</v>
      </c>
      <c r="J158" s="4" t="n">
        <v>121700</v>
      </c>
      <c r="K158" s="4">
        <f>I158*J158</f>
        <v/>
      </c>
      <c r="L158" t="inlineStr">
        <is>
          <t>値引き調整あり</t>
        </is>
      </c>
    </row>
    <row r="159">
      <c r="A159" t="inlineStr">
        <is>
          <t>SR007</t>
        </is>
      </c>
      <c r="B159" t="inlineStr">
        <is>
          <t>営業担当007</t>
        </is>
      </c>
      <c r="C159" t="inlineStr">
        <is>
          <t>第2営業部</t>
        </is>
      </c>
      <c r="D159" s="3" t="n">
        <v>45912</v>
      </c>
      <c r="E159" t="inlineStr">
        <is>
          <t>中央設備(株)</t>
        </is>
      </c>
      <c r="F159" t="inlineStr">
        <is>
          <t>兵庫県</t>
        </is>
      </c>
      <c r="G159" t="inlineStr">
        <is>
          <t>ハードウェア</t>
        </is>
      </c>
      <c r="H159" t="inlineStr">
        <is>
          <t>ネットワークカメラ</t>
        </is>
      </c>
      <c r="I159" s="4" t="n">
        <v>5</v>
      </c>
      <c r="J159" s="4" t="n">
        <v>26600</v>
      </c>
      <c r="K159" s="4">
        <f>I159*J159</f>
        <v/>
      </c>
      <c r="L159" t="inlineStr">
        <is>
          <t>リピート受注</t>
        </is>
      </c>
    </row>
    <row r="160">
      <c r="A160" t="inlineStr">
        <is>
          <t>SR007</t>
        </is>
      </c>
      <c r="B160" t="inlineStr">
        <is>
          <t>営業担当007</t>
        </is>
      </c>
      <c r="C160" t="inlineStr">
        <is>
          <t>第2営業部</t>
        </is>
      </c>
      <c r="D160" s="3" t="n">
        <v>45919</v>
      </c>
      <c r="E160" t="inlineStr">
        <is>
          <t>オーシャン製作所株式会社</t>
        </is>
      </c>
      <c r="F160" t="inlineStr">
        <is>
          <t>福岡県</t>
        </is>
      </c>
      <c r="G160" t="inlineStr">
        <is>
          <t>保守サービス</t>
        </is>
      </c>
      <c r="H160" t="inlineStr">
        <is>
          <t>年間保守契約</t>
        </is>
      </c>
      <c r="I160" s="4" t="n">
        <v>2</v>
      </c>
      <c r="J160" s="4" t="n">
        <v>232400</v>
      </c>
      <c r="K160" s="4">
        <f>I160*J160</f>
        <v/>
      </c>
      <c r="L160" t="inlineStr">
        <is>
          <t>値引き調整あり</t>
        </is>
      </c>
    </row>
    <row r="161">
      <c r="A161" t="inlineStr">
        <is>
          <t>SR007</t>
        </is>
      </c>
      <c r="B161" t="inlineStr">
        <is>
          <t>営業担当007</t>
        </is>
      </c>
      <c r="C161" t="inlineStr">
        <is>
          <t>第2営業部</t>
        </is>
      </c>
      <c r="D161" s="3" t="n">
        <v>45931</v>
      </c>
      <c r="E161" t="inlineStr">
        <is>
          <t>西日本機工(株)</t>
        </is>
      </c>
      <c r="F161" t="inlineStr">
        <is>
          <t>神奈川県</t>
        </is>
      </c>
      <c r="G161" t="inlineStr">
        <is>
          <t>保守サービス</t>
        </is>
      </c>
      <c r="H161" t="inlineStr">
        <is>
          <t>オンサイト保守</t>
        </is>
      </c>
      <c r="I161" s="4" t="n">
        <v>1</v>
      </c>
      <c r="J161" s="4" t="n">
        <v>77100</v>
      </c>
      <c r="K161" s="4">
        <f>I161*J161</f>
        <v/>
      </c>
      <c r="L161" t="inlineStr"/>
    </row>
    <row r="162">
      <c r="A162" t="inlineStr">
        <is>
          <t>SR007</t>
        </is>
      </c>
      <c r="B162" t="inlineStr">
        <is>
          <t>営業担当007</t>
        </is>
      </c>
      <c r="C162" t="inlineStr">
        <is>
          <t>第2営業部</t>
        </is>
      </c>
      <c r="D162" s="3" t="n">
        <v>45934</v>
      </c>
      <c r="E162" t="inlineStr">
        <is>
          <t>みらい物流(株)</t>
        </is>
      </c>
      <c r="F162" t="inlineStr">
        <is>
          <t>広島県</t>
        </is>
      </c>
      <c r="G162" t="inlineStr">
        <is>
          <t>保守サービス</t>
        </is>
      </c>
      <c r="H162" t="inlineStr">
        <is>
          <t>ヘルプデスク契約</t>
        </is>
      </c>
      <c r="I162" s="4" t="n">
        <v>5</v>
      </c>
      <c r="J162" s="4" t="n">
        <v>47100</v>
      </c>
      <c r="K162" s="4">
        <f>I162*J162</f>
        <v/>
      </c>
      <c r="L162" t="inlineStr">
        <is>
          <t>分納</t>
        </is>
      </c>
    </row>
    <row r="163">
      <c r="A163" t="inlineStr">
        <is>
          <t>SR007</t>
        </is>
      </c>
      <c r="B163" t="inlineStr">
        <is>
          <t>営業担当007</t>
        </is>
      </c>
      <c r="C163" t="inlineStr">
        <is>
          <t>第2営業部</t>
        </is>
      </c>
      <c r="D163" s="3" t="n">
        <v>45978</v>
      </c>
      <c r="E163" t="inlineStr">
        <is>
          <t>桜井メディカル有限会社</t>
        </is>
      </c>
      <c r="F163" t="inlineStr">
        <is>
          <t>東京都</t>
        </is>
      </c>
      <c r="G163" t="inlineStr">
        <is>
          <t>消耗品</t>
        </is>
      </c>
      <c r="H163" t="inlineStr">
        <is>
          <t>保守用バッテリー</t>
        </is>
      </c>
      <c r="I163" s="4" t="n">
        <v>8</v>
      </c>
      <c r="J163" s="4" t="n">
        <v>6430</v>
      </c>
      <c r="K163" s="4">
        <f>I163*J163</f>
        <v/>
      </c>
      <c r="L163" t="inlineStr"/>
    </row>
    <row r="164">
      <c r="A164" t="inlineStr">
        <is>
          <t>SR007</t>
        </is>
      </c>
      <c r="B164" t="inlineStr">
        <is>
          <t>営業担当007</t>
        </is>
      </c>
      <c r="C164" t="inlineStr">
        <is>
          <t>第2営業部</t>
        </is>
      </c>
      <c r="D164" s="3" t="n">
        <v>45980</v>
      </c>
      <c r="E164" t="inlineStr">
        <is>
          <t>日新サービス株式会社</t>
        </is>
      </c>
      <c r="F164" t="inlineStr">
        <is>
          <t>福岡県</t>
        </is>
      </c>
      <c r="G164" t="inlineStr">
        <is>
          <t>ソフトウェア</t>
        </is>
      </c>
      <c r="H164" t="inlineStr">
        <is>
          <t>在庫管理クラウド</t>
        </is>
      </c>
      <c r="I164" s="4" t="n">
        <v>5</v>
      </c>
      <c r="J164" s="4" t="n">
        <v>268100</v>
      </c>
      <c r="K164" s="4">
        <f>I164*J164</f>
        <v/>
      </c>
      <c r="L164" t="inlineStr">
        <is>
          <t>キャンペーン適用</t>
        </is>
      </c>
    </row>
    <row r="165">
      <c r="A165" t="inlineStr">
        <is>
          <t>SR007</t>
        </is>
      </c>
      <c r="B165" t="inlineStr">
        <is>
          <t>営業担当007</t>
        </is>
      </c>
      <c r="C165" t="inlineStr">
        <is>
          <t>第2営業部</t>
        </is>
      </c>
      <c r="D165" s="3" t="n">
        <v>46005</v>
      </c>
      <c r="E165" t="inlineStr">
        <is>
          <t>白峰化学(株)</t>
        </is>
      </c>
      <c r="F165" t="inlineStr">
        <is>
          <t>福岡県</t>
        </is>
      </c>
      <c r="G165" t="inlineStr">
        <is>
          <t>保守サービス</t>
        </is>
      </c>
      <c r="H165" t="inlineStr">
        <is>
          <t>オンサイト保守</t>
        </is>
      </c>
      <c r="I165" s="4" t="n">
        <v>3</v>
      </c>
      <c r="J165" s="4" t="n">
        <v>156200</v>
      </c>
      <c r="K165" s="4">
        <f>I165*J165</f>
        <v/>
      </c>
      <c r="L165" t="inlineStr"/>
    </row>
    <row r="166">
      <c r="A166" t="inlineStr">
        <is>
          <t>SR007</t>
        </is>
      </c>
      <c r="B166" t="inlineStr">
        <is>
          <t>営業担当007</t>
        </is>
      </c>
      <c r="C166" t="inlineStr">
        <is>
          <t>第2営業部</t>
        </is>
      </c>
      <c r="D166" s="3" t="n">
        <v>46007</v>
      </c>
      <c r="E166" t="inlineStr">
        <is>
          <t>日新サービス(株)</t>
        </is>
      </c>
      <c r="F166" t="inlineStr">
        <is>
          <t>大阪府</t>
        </is>
      </c>
      <c r="G166" t="inlineStr">
        <is>
          <t>導入支援</t>
        </is>
      </c>
      <c r="H166" t="inlineStr">
        <is>
          <t>操作研修パック</t>
        </is>
      </c>
      <c r="I166" s="4" t="n">
        <v>4</v>
      </c>
      <c r="J166" s="4" t="n">
        <v>45000</v>
      </c>
      <c r="K166" s="4">
        <f>I166*J166</f>
        <v/>
      </c>
      <c r="L166" t="inlineStr"/>
    </row>
    <row r="167">
      <c r="A167" t="inlineStr">
        <is>
          <t>SR007</t>
        </is>
      </c>
      <c r="B167" t="inlineStr">
        <is>
          <t>営業担当007</t>
        </is>
      </c>
      <c r="C167" t="inlineStr">
        <is>
          <t>第2営業部</t>
        </is>
      </c>
      <c r="D167" s="3" t="n">
        <v>46024</v>
      </c>
      <c r="E167" t="inlineStr">
        <is>
          <t>グリーンテック株式会社</t>
        </is>
      </c>
      <c r="F167" t="inlineStr">
        <is>
          <t>兵庫県</t>
        </is>
      </c>
      <c r="G167" t="inlineStr">
        <is>
          <t>ソフトウェア</t>
        </is>
      </c>
      <c r="H167" t="inlineStr">
        <is>
          <t>在庫管理クラウド</t>
        </is>
      </c>
      <c r="I167" s="4" t="n">
        <v>3</v>
      </c>
      <c r="J167" s="4" t="n">
        <v>361400</v>
      </c>
      <c r="K167" s="4">
        <f>I167*J167</f>
        <v/>
      </c>
      <c r="L167" t="inlineStr">
        <is>
          <t>キャンペーン適用</t>
        </is>
      </c>
    </row>
    <row r="168">
      <c r="A168" t="inlineStr">
        <is>
          <t>SR007</t>
        </is>
      </c>
      <c r="B168" t="inlineStr">
        <is>
          <t>営業担当007</t>
        </is>
      </c>
      <c r="C168" t="inlineStr">
        <is>
          <t>第2営業部</t>
        </is>
      </c>
      <c r="D168" s="3" t="n">
        <v>46033</v>
      </c>
      <c r="E168" t="inlineStr">
        <is>
          <t>ライトホーム株式会社</t>
        </is>
      </c>
      <c r="F168" t="inlineStr">
        <is>
          <t>大阪府</t>
        </is>
      </c>
      <c r="G168" t="inlineStr">
        <is>
          <t>ハードウェア</t>
        </is>
      </c>
      <c r="H168" t="inlineStr">
        <is>
          <t>ラベルプリンター</t>
        </is>
      </c>
      <c r="I168" s="4" t="n">
        <v>5</v>
      </c>
      <c r="J168" s="4" t="n">
        <v>70400</v>
      </c>
      <c r="K168" s="4">
        <f>I168*J168</f>
        <v/>
      </c>
      <c r="L168" t="inlineStr">
        <is>
          <t>値引き調整あり</t>
        </is>
      </c>
    </row>
    <row r="169">
      <c r="A169" t="inlineStr">
        <is>
          <t>SR007</t>
        </is>
      </c>
      <c r="B169" t="inlineStr">
        <is>
          <t>営業担当007</t>
        </is>
      </c>
      <c r="C169" t="inlineStr">
        <is>
          <t>第2営業部</t>
        </is>
      </c>
      <c r="D169" s="3" t="n">
        <v>46069</v>
      </c>
      <c r="E169" t="inlineStr">
        <is>
          <t>ライトホーム(株)</t>
        </is>
      </c>
      <c r="F169" t="inlineStr">
        <is>
          <t>宮城県</t>
        </is>
      </c>
      <c r="G169" t="inlineStr">
        <is>
          <t>保守サービス</t>
        </is>
      </c>
      <c r="H169" t="inlineStr">
        <is>
          <t>年間保守契約</t>
        </is>
      </c>
      <c r="I169" s="4" t="n">
        <v>5</v>
      </c>
      <c r="J169" s="4" t="n">
        <v>106600</v>
      </c>
      <c r="K169" s="4">
        <f>I169*J169</f>
        <v/>
      </c>
      <c r="L169" t="inlineStr">
        <is>
          <t>新規開拓</t>
        </is>
      </c>
    </row>
    <row r="170">
      <c r="A170" t="inlineStr">
        <is>
          <t>SR007</t>
        </is>
      </c>
      <c r="B170" t="inlineStr">
        <is>
          <t>営業担当007</t>
        </is>
      </c>
      <c r="C170" t="inlineStr">
        <is>
          <t>第2営業部</t>
        </is>
      </c>
      <c r="D170" s="3" t="n">
        <v>46076</v>
      </c>
      <c r="E170" t="inlineStr">
        <is>
          <t>オーシャン製作所(株)</t>
        </is>
      </c>
      <c r="F170" t="inlineStr">
        <is>
          <t>兵庫県</t>
        </is>
      </c>
      <c r="G170" t="inlineStr">
        <is>
          <t>消耗品</t>
        </is>
      </c>
      <c r="H170" t="inlineStr">
        <is>
          <t>保守用バッテリー</t>
        </is>
      </c>
      <c r="I170" s="4" t="n">
        <v>8</v>
      </c>
      <c r="J170" s="4" t="n">
        <v>16150</v>
      </c>
      <c r="K170" s="4">
        <f>I170*J170</f>
        <v/>
      </c>
      <c r="L170" t="inlineStr">
        <is>
          <t>キャンペーン適用</t>
        </is>
      </c>
    </row>
    <row r="171">
      <c r="A171" t="inlineStr">
        <is>
          <t>SR007</t>
        </is>
      </c>
      <c r="B171" t="inlineStr">
        <is>
          <t>営業担当007</t>
        </is>
      </c>
      <c r="C171" t="inlineStr">
        <is>
          <t>第2営業部</t>
        </is>
      </c>
      <c r="D171" s="3" t="n">
        <v>46085</v>
      </c>
      <c r="E171" t="inlineStr">
        <is>
          <t>中央設備有限会社</t>
        </is>
      </c>
      <c r="F171" t="inlineStr">
        <is>
          <t>京都府</t>
        </is>
      </c>
      <c r="G171" t="inlineStr">
        <is>
          <t>ハードウェア</t>
        </is>
      </c>
      <c r="H171" t="inlineStr">
        <is>
          <t>ネットワークカメラ</t>
        </is>
      </c>
      <c r="I171" s="4" t="n">
        <v>4</v>
      </c>
      <c r="J171" s="4" t="n">
        <v>47300</v>
      </c>
      <c r="K171" s="4">
        <f>I171*J171</f>
        <v/>
      </c>
      <c r="L171" t="inlineStr">
        <is>
          <t>キャンペーン適用</t>
        </is>
      </c>
    </row>
    <row r="172">
      <c r="A172" t="inlineStr">
        <is>
          <t>SR007</t>
        </is>
      </c>
      <c r="B172" t="inlineStr">
        <is>
          <t>営業担当007</t>
        </is>
      </c>
      <c r="C172" t="inlineStr">
        <is>
          <t>第2営業部</t>
        </is>
      </c>
      <c r="D172" s="3" t="n">
        <v>46095</v>
      </c>
      <c r="E172" t="inlineStr">
        <is>
          <t>中央設備(株)</t>
        </is>
      </c>
      <c r="F172" t="inlineStr">
        <is>
          <t>兵庫県</t>
        </is>
      </c>
      <c r="G172" t="inlineStr">
        <is>
          <t>導入支援</t>
        </is>
      </c>
      <c r="H172" t="inlineStr">
        <is>
          <t>操作研修パック</t>
        </is>
      </c>
      <c r="I172" s="4" t="n">
        <v>3</v>
      </c>
      <c r="J172" s="4" t="n">
        <v>39300</v>
      </c>
      <c r="K172" s="4">
        <f>I172*J172</f>
        <v/>
      </c>
      <c r="L172" t="inlineStr">
        <is>
          <t>大型案件</t>
        </is>
      </c>
    </row>
    <row r="173">
      <c r="A173" t="inlineStr">
        <is>
          <t>SR008</t>
        </is>
      </c>
      <c r="B173" t="inlineStr">
        <is>
          <t>営業担当008</t>
        </is>
      </c>
      <c r="C173" t="inlineStr">
        <is>
          <t>第3営業部</t>
        </is>
      </c>
      <c r="D173" s="3" t="n">
        <v>45760</v>
      </c>
      <c r="E173" t="inlineStr">
        <is>
          <t>ライトホーム株式会社</t>
        </is>
      </c>
      <c r="F173" t="inlineStr">
        <is>
          <t>東京都</t>
        </is>
      </c>
      <c r="G173" t="inlineStr">
        <is>
          <t>ハードウェア</t>
        </is>
      </c>
      <c r="H173" t="inlineStr">
        <is>
          <t>ラベルプリンター</t>
        </is>
      </c>
      <c r="I173" s="4" t="n">
        <v>2</v>
      </c>
      <c r="J173" s="4" t="n">
        <v>77200</v>
      </c>
      <c r="K173" s="4">
        <f>I173*J173</f>
        <v/>
      </c>
      <c r="L173" t="inlineStr"/>
    </row>
    <row r="174">
      <c r="A174" t="inlineStr">
        <is>
          <t>SR008</t>
        </is>
      </c>
      <c r="B174" t="inlineStr">
        <is>
          <t>営業担当008</t>
        </is>
      </c>
      <c r="C174" t="inlineStr">
        <is>
          <t>第3営業部</t>
        </is>
      </c>
      <c r="D174" s="3" t="n">
        <v>45762</v>
      </c>
      <c r="E174" t="inlineStr">
        <is>
          <t>北斗産業株式会社</t>
        </is>
      </c>
      <c r="F174" t="inlineStr">
        <is>
          <t>北海道</t>
        </is>
      </c>
      <c r="G174" t="inlineStr">
        <is>
          <t>保守サービス</t>
        </is>
      </c>
      <c r="H174" t="inlineStr">
        <is>
          <t>年間保守契約</t>
        </is>
      </c>
      <c r="I174" s="4" t="n">
        <v>1</v>
      </c>
      <c r="J174" s="4" t="n">
        <v>267600</v>
      </c>
      <c r="K174" s="4">
        <f>I174*J174</f>
        <v/>
      </c>
      <c r="L174" t="inlineStr">
        <is>
          <t>キャンペーン適用</t>
        </is>
      </c>
    </row>
    <row r="175">
      <c r="A175" t="inlineStr">
        <is>
          <t>SR008</t>
        </is>
      </c>
      <c r="B175" t="inlineStr">
        <is>
          <t>営業担当008</t>
        </is>
      </c>
      <c r="C175" t="inlineStr">
        <is>
          <t>第3営業部</t>
        </is>
      </c>
      <c r="D175" s="3" t="n">
        <v>45792</v>
      </c>
      <c r="E175" t="inlineStr">
        <is>
          <t>星和商会有限会社</t>
        </is>
      </c>
      <c r="F175" t="inlineStr">
        <is>
          <t>東京都</t>
        </is>
      </c>
      <c r="G175" t="inlineStr">
        <is>
          <t>導入支援</t>
        </is>
      </c>
      <c r="H175" t="inlineStr">
        <is>
          <t>操作研修パック</t>
        </is>
      </c>
      <c r="I175" s="4" t="n">
        <v>2</v>
      </c>
      <c r="J175" s="4" t="n">
        <v>95800</v>
      </c>
      <c r="K175" s="4">
        <f>I175*J175</f>
        <v/>
      </c>
      <c r="L175" t="inlineStr">
        <is>
          <t>分納</t>
        </is>
      </c>
    </row>
    <row r="176">
      <c r="A176" t="inlineStr">
        <is>
          <t>SR008</t>
        </is>
      </c>
      <c r="B176" t="inlineStr">
        <is>
          <t>営業担当008</t>
        </is>
      </c>
      <c r="C176" t="inlineStr">
        <is>
          <t>第3営業部</t>
        </is>
      </c>
      <c r="D176" s="3" t="n">
        <v>45802</v>
      </c>
      <c r="E176" t="inlineStr">
        <is>
          <t>未来通信(株)</t>
        </is>
      </c>
      <c r="F176" t="inlineStr">
        <is>
          <t>北海道</t>
        </is>
      </c>
      <c r="G176" t="inlineStr">
        <is>
          <t>ソフトウェア</t>
        </is>
      </c>
      <c r="H176" t="inlineStr">
        <is>
          <t>在庫管理クラウド</t>
        </is>
      </c>
      <c r="I176" s="4" t="n">
        <v>4</v>
      </c>
      <c r="J176" s="4" t="n">
        <v>356300</v>
      </c>
      <c r="K176" s="4">
        <f>I176*J176</f>
        <v/>
      </c>
      <c r="L176" t="inlineStr"/>
    </row>
    <row r="177">
      <c r="A177" t="inlineStr">
        <is>
          <t>SR008</t>
        </is>
      </c>
      <c r="B177" t="inlineStr">
        <is>
          <t>営業担当008</t>
        </is>
      </c>
      <c r="C177" t="inlineStr">
        <is>
          <t>第3営業部</t>
        </is>
      </c>
      <c r="D177" s="3" t="n">
        <v>45813</v>
      </c>
      <c r="E177" t="inlineStr">
        <is>
          <t>日新サービス有限会社</t>
        </is>
      </c>
      <c r="F177" t="inlineStr">
        <is>
          <t>愛知県</t>
        </is>
      </c>
      <c r="G177" t="inlineStr">
        <is>
          <t>消耗品</t>
        </is>
      </c>
      <c r="H177" t="inlineStr">
        <is>
          <t>交換用ヘッド</t>
        </is>
      </c>
      <c r="I177" s="4" t="n">
        <v>14</v>
      </c>
      <c r="J177" s="4" t="n">
        <v>39360</v>
      </c>
      <c r="K177" s="4">
        <f>I177*J177</f>
        <v/>
      </c>
      <c r="L177" t="inlineStr">
        <is>
          <t>新規開拓</t>
        </is>
      </c>
    </row>
    <row r="178">
      <c r="A178" t="inlineStr">
        <is>
          <t>SR008</t>
        </is>
      </c>
      <c r="B178" t="inlineStr">
        <is>
          <t>営業担当008</t>
        </is>
      </c>
      <c r="C178" t="inlineStr">
        <is>
          <t>第3営業部</t>
        </is>
      </c>
      <c r="D178" s="3" t="n">
        <v>45825</v>
      </c>
      <c r="E178" t="inlineStr">
        <is>
          <t>グリーンテック株式会社</t>
        </is>
      </c>
      <c r="F178" t="inlineStr">
        <is>
          <t>広島県</t>
        </is>
      </c>
      <c r="G178" t="inlineStr">
        <is>
          <t>ソフトウェア</t>
        </is>
      </c>
      <c r="H178" t="inlineStr">
        <is>
          <t>帳票自動化ツール</t>
        </is>
      </c>
      <c r="I178" s="4" t="n">
        <v>1</v>
      </c>
      <c r="J178" s="4" t="n">
        <v>356600</v>
      </c>
      <c r="K178" s="4">
        <f>I178*J178</f>
        <v/>
      </c>
      <c r="L178" t="inlineStr"/>
    </row>
    <row r="179">
      <c r="A179" t="inlineStr">
        <is>
          <t>SR008</t>
        </is>
      </c>
      <c r="B179" t="inlineStr">
        <is>
          <t>営業担当008</t>
        </is>
      </c>
      <c r="C179" t="inlineStr">
        <is>
          <t>第3営業部</t>
        </is>
      </c>
      <c r="D179" s="3" t="n">
        <v>45840</v>
      </c>
      <c r="E179" t="inlineStr">
        <is>
          <t>桜井メディカル有限会社</t>
        </is>
      </c>
      <c r="F179" t="inlineStr">
        <is>
          <t>広島県</t>
        </is>
      </c>
      <c r="G179" t="inlineStr">
        <is>
          <t>導入支援</t>
        </is>
      </c>
      <c r="H179" t="inlineStr">
        <is>
          <t>操作研修パック</t>
        </is>
      </c>
      <c r="I179" s="4" t="n">
        <v>5</v>
      </c>
      <c r="J179" s="4" t="n">
        <v>62500</v>
      </c>
      <c r="K179" s="4">
        <f>I179*J179</f>
        <v/>
      </c>
      <c r="L179" t="inlineStr">
        <is>
          <t>新規開拓</t>
        </is>
      </c>
    </row>
    <row r="180">
      <c r="A180" t="inlineStr">
        <is>
          <t>SR008</t>
        </is>
      </c>
      <c r="B180" t="inlineStr">
        <is>
          <t>営業担当008</t>
        </is>
      </c>
      <c r="C180" t="inlineStr">
        <is>
          <t>第3営業部</t>
        </is>
      </c>
      <c r="D180" s="3" t="n">
        <v>45841</v>
      </c>
      <c r="E180" t="inlineStr">
        <is>
          <t>日新サービス有限会社</t>
        </is>
      </c>
      <c r="F180" t="inlineStr">
        <is>
          <t>東京都</t>
        </is>
      </c>
      <c r="G180" t="inlineStr">
        <is>
          <t>導入支援</t>
        </is>
      </c>
      <c r="H180" t="inlineStr">
        <is>
          <t>初期設定支援</t>
        </is>
      </c>
      <c r="I180" s="4" t="n">
        <v>4</v>
      </c>
      <c r="J180" s="4" t="n">
        <v>65900</v>
      </c>
      <c r="K180" s="4">
        <f>I180*J180</f>
        <v/>
      </c>
      <c r="L180" t="inlineStr">
        <is>
          <t>新規開拓</t>
        </is>
      </c>
    </row>
    <row r="181">
      <c r="A181" t="inlineStr">
        <is>
          <t>SR008</t>
        </is>
      </c>
      <c r="B181" t="inlineStr">
        <is>
          <t>営業担当008</t>
        </is>
      </c>
      <c r="C181" t="inlineStr">
        <is>
          <t>第3営業部</t>
        </is>
      </c>
      <c r="D181" s="3" t="n">
        <v>45881</v>
      </c>
      <c r="E181" t="inlineStr">
        <is>
          <t>サンライズ建設(株)</t>
        </is>
      </c>
      <c r="F181" t="inlineStr">
        <is>
          <t>宮城県</t>
        </is>
      </c>
      <c r="G181" t="inlineStr">
        <is>
          <t>保守サービス</t>
        </is>
      </c>
      <c r="H181" t="inlineStr">
        <is>
          <t>ヘルプデスク契約</t>
        </is>
      </c>
      <c r="I181" s="4" t="n">
        <v>5</v>
      </c>
      <c r="J181" s="4" t="n">
        <v>41300</v>
      </c>
      <c r="K181" s="4">
        <f>I181*J181</f>
        <v/>
      </c>
      <c r="L181" t="inlineStr">
        <is>
          <t>新規開拓</t>
        </is>
      </c>
    </row>
    <row r="182">
      <c r="A182" t="inlineStr">
        <is>
          <t>SR008</t>
        </is>
      </c>
      <c r="B182" t="inlineStr">
        <is>
          <t>営業担当008</t>
        </is>
      </c>
      <c r="C182" t="inlineStr">
        <is>
          <t>第3営業部</t>
        </is>
      </c>
      <c r="D182" s="3" t="n">
        <v>45888</v>
      </c>
      <c r="E182" t="inlineStr">
        <is>
          <t>アーク電機有限会社</t>
        </is>
      </c>
      <c r="F182" t="inlineStr">
        <is>
          <t>宮城県</t>
        </is>
      </c>
      <c r="G182" t="inlineStr">
        <is>
          <t>導入支援</t>
        </is>
      </c>
      <c r="H182" t="inlineStr">
        <is>
          <t>データ移行支援</t>
        </is>
      </c>
      <c r="I182" s="4" t="n">
        <v>1</v>
      </c>
      <c r="J182" s="4" t="n">
        <v>245900</v>
      </c>
      <c r="K182" s="4">
        <f>I182*J182</f>
        <v/>
      </c>
      <c r="L182" t="inlineStr"/>
    </row>
    <row r="183">
      <c r="A183" t="inlineStr">
        <is>
          <t>SR008</t>
        </is>
      </c>
      <c r="B183" t="inlineStr">
        <is>
          <t>営業担当008</t>
        </is>
      </c>
      <c r="C183" t="inlineStr">
        <is>
          <t>第3営業部</t>
        </is>
      </c>
      <c r="D183" s="3" t="n">
        <v>45903</v>
      </c>
      <c r="E183" t="inlineStr">
        <is>
          <t>オーシャン製作所株式会社</t>
        </is>
      </c>
      <c r="F183" t="inlineStr">
        <is>
          <t>京都府</t>
        </is>
      </c>
      <c r="G183" t="inlineStr">
        <is>
          <t>導入支援</t>
        </is>
      </c>
      <c r="H183" t="inlineStr">
        <is>
          <t>データ移行支援</t>
        </is>
      </c>
      <c r="I183" s="4" t="n">
        <v>3</v>
      </c>
      <c r="J183" s="4" t="n">
        <v>348900</v>
      </c>
      <c r="K183" s="4">
        <f>I183*J183</f>
        <v/>
      </c>
      <c r="L183" t="inlineStr"/>
    </row>
    <row r="184">
      <c r="A184" t="inlineStr">
        <is>
          <t>SR008</t>
        </is>
      </c>
      <c r="B184" t="inlineStr">
        <is>
          <t>営業担当008</t>
        </is>
      </c>
      <c r="C184" t="inlineStr">
        <is>
          <t>第3営業部</t>
        </is>
      </c>
      <c r="D184" s="3" t="n">
        <v>45911</v>
      </c>
      <c r="E184" t="inlineStr">
        <is>
          <t>西日本機工有限会社</t>
        </is>
      </c>
      <c r="F184" t="inlineStr">
        <is>
          <t>広島県</t>
        </is>
      </c>
      <c r="G184" t="inlineStr">
        <is>
          <t>保守サービス</t>
        </is>
      </c>
      <c r="H184" t="inlineStr">
        <is>
          <t>年間保守契約</t>
        </is>
      </c>
      <c r="I184" s="4" t="n">
        <v>4</v>
      </c>
      <c r="J184" s="4" t="n">
        <v>103300</v>
      </c>
      <c r="K184" s="4">
        <f>I184*J184</f>
        <v/>
      </c>
      <c r="L184" t="inlineStr">
        <is>
          <t>大型案件</t>
        </is>
      </c>
    </row>
    <row r="185">
      <c r="A185" t="inlineStr">
        <is>
          <t>SR008</t>
        </is>
      </c>
      <c r="B185" t="inlineStr">
        <is>
          <t>営業担当008</t>
        </is>
      </c>
      <c r="C185" t="inlineStr">
        <is>
          <t>第3営業部</t>
        </is>
      </c>
      <c r="D185" s="3" t="n">
        <v>45941</v>
      </c>
      <c r="E185" t="inlineStr">
        <is>
          <t>みらい物流有限会社</t>
        </is>
      </c>
      <c r="F185" t="inlineStr">
        <is>
          <t>福岡県</t>
        </is>
      </c>
      <c r="G185" t="inlineStr">
        <is>
          <t>保守サービス</t>
        </is>
      </c>
      <c r="H185" t="inlineStr">
        <is>
          <t>オンサイト保守</t>
        </is>
      </c>
      <c r="I185" s="4" t="n">
        <v>4</v>
      </c>
      <c r="J185" s="4" t="n">
        <v>66400</v>
      </c>
      <c r="K185" s="4">
        <f>I185*J185</f>
        <v/>
      </c>
      <c r="L185" t="inlineStr"/>
    </row>
    <row r="186">
      <c r="A186" t="inlineStr">
        <is>
          <t>SR008</t>
        </is>
      </c>
      <c r="B186" t="inlineStr">
        <is>
          <t>営業担当008</t>
        </is>
      </c>
      <c r="C186" t="inlineStr">
        <is>
          <t>第3営業部</t>
        </is>
      </c>
      <c r="D186" s="3" t="n">
        <v>45944</v>
      </c>
      <c r="E186" t="inlineStr">
        <is>
          <t>星和商会(株)</t>
        </is>
      </c>
      <c r="F186" t="inlineStr">
        <is>
          <t>京都府</t>
        </is>
      </c>
      <c r="G186" t="inlineStr">
        <is>
          <t>ソフトウェア</t>
        </is>
      </c>
      <c r="H186" t="inlineStr">
        <is>
          <t>AIチャットボット</t>
        </is>
      </c>
      <c r="I186" s="4" t="n">
        <v>3</v>
      </c>
      <c r="J186" s="4" t="n">
        <v>860900</v>
      </c>
      <c r="K186" s="4">
        <f>I186*J186</f>
        <v/>
      </c>
      <c r="L186" t="inlineStr">
        <is>
          <t>新規開拓</t>
        </is>
      </c>
    </row>
    <row r="187">
      <c r="A187" t="inlineStr">
        <is>
          <t>SR008</t>
        </is>
      </c>
      <c r="B187" t="inlineStr">
        <is>
          <t>営業担当008</t>
        </is>
      </c>
      <c r="C187" t="inlineStr">
        <is>
          <t>第3営業部</t>
        </is>
      </c>
      <c r="D187" s="3" t="n">
        <v>45969</v>
      </c>
      <c r="E187" t="inlineStr">
        <is>
          <t>オーシャン製作所株式会社</t>
        </is>
      </c>
      <c r="F187" t="inlineStr">
        <is>
          <t>大阪府</t>
        </is>
      </c>
      <c r="G187" t="inlineStr">
        <is>
          <t>消耗品</t>
        </is>
      </c>
      <c r="H187" t="inlineStr">
        <is>
          <t>交換用ヘッド</t>
        </is>
      </c>
      <c r="I187" s="4" t="n">
        <v>2</v>
      </c>
      <c r="J187" s="4" t="n">
        <v>33730</v>
      </c>
      <c r="K187" s="4">
        <f>I187*J187</f>
        <v/>
      </c>
      <c r="L187" t="inlineStr">
        <is>
          <t>値引き調整あり</t>
        </is>
      </c>
    </row>
    <row r="188">
      <c r="A188" t="inlineStr">
        <is>
          <t>SR008</t>
        </is>
      </c>
      <c r="B188" t="inlineStr">
        <is>
          <t>営業担当008</t>
        </is>
      </c>
      <c r="C188" t="inlineStr">
        <is>
          <t>第3営業部</t>
        </is>
      </c>
      <c r="D188" s="3" t="n">
        <v>45971</v>
      </c>
      <c r="E188" t="inlineStr">
        <is>
          <t>九州エナジー(株)</t>
        </is>
      </c>
      <c r="F188" t="inlineStr">
        <is>
          <t>北海道</t>
        </is>
      </c>
      <c r="G188" t="inlineStr">
        <is>
          <t>ハードウェア</t>
        </is>
      </c>
      <c r="H188" t="inlineStr">
        <is>
          <t>産業用タブレット</t>
        </is>
      </c>
      <c r="I188" s="4" t="n">
        <v>4</v>
      </c>
      <c r="J188" s="4" t="n">
        <v>120000</v>
      </c>
      <c r="K188" s="4">
        <f>I188*J188</f>
        <v/>
      </c>
      <c r="L188" t="inlineStr">
        <is>
          <t>新規開拓</t>
        </is>
      </c>
    </row>
    <row r="189">
      <c r="A189" t="inlineStr">
        <is>
          <t>SR008</t>
        </is>
      </c>
      <c r="B189" t="inlineStr">
        <is>
          <t>営業担当008</t>
        </is>
      </c>
      <c r="C189" t="inlineStr">
        <is>
          <t>第3営業部</t>
        </is>
      </c>
      <c r="D189" s="3" t="n">
        <v>45992</v>
      </c>
      <c r="E189" t="inlineStr">
        <is>
          <t>福岡流通(株)</t>
        </is>
      </c>
      <c r="F189" t="inlineStr">
        <is>
          <t>福岡県</t>
        </is>
      </c>
      <c r="G189" t="inlineStr">
        <is>
          <t>ハードウェア</t>
        </is>
      </c>
      <c r="H189" t="inlineStr">
        <is>
          <t>ラベルプリンター</t>
        </is>
      </c>
      <c r="I189" s="4" t="n">
        <v>4</v>
      </c>
      <c r="J189" s="4" t="n">
        <v>47800</v>
      </c>
      <c r="K189" s="4">
        <f>I189*J189</f>
        <v/>
      </c>
      <c r="L189" t="inlineStr">
        <is>
          <t>大型案件</t>
        </is>
      </c>
    </row>
    <row r="190">
      <c r="A190" t="inlineStr">
        <is>
          <t>SR008</t>
        </is>
      </c>
      <c r="B190" t="inlineStr">
        <is>
          <t>営業担当008</t>
        </is>
      </c>
      <c r="C190" t="inlineStr">
        <is>
          <t>第3営業部</t>
        </is>
      </c>
      <c r="D190" s="3" t="n">
        <v>45998</v>
      </c>
      <c r="E190" t="inlineStr">
        <is>
          <t>福岡流通(株)</t>
        </is>
      </c>
      <c r="F190" t="inlineStr">
        <is>
          <t>福岡県</t>
        </is>
      </c>
      <c r="G190" t="inlineStr">
        <is>
          <t>ハードウェア</t>
        </is>
      </c>
      <c r="H190" t="inlineStr">
        <is>
          <t>産業用タブレット</t>
        </is>
      </c>
      <c r="I190" s="4" t="n">
        <v>2</v>
      </c>
      <c r="J190" s="4" t="n">
        <v>94200</v>
      </c>
      <c r="K190" s="4">
        <f>I190*J190</f>
        <v/>
      </c>
      <c r="L190" t="inlineStr">
        <is>
          <t>大型案件</t>
        </is>
      </c>
    </row>
    <row r="191">
      <c r="A191" t="inlineStr">
        <is>
          <t>SR008</t>
        </is>
      </c>
      <c r="B191" t="inlineStr">
        <is>
          <t>営業担当008</t>
        </is>
      </c>
      <c r="C191" t="inlineStr">
        <is>
          <t>第3営業部</t>
        </is>
      </c>
      <c r="D191" s="3" t="n">
        <v>46027</v>
      </c>
      <c r="E191" t="inlineStr">
        <is>
          <t>グリーンテック株式会社</t>
        </is>
      </c>
      <c r="F191" t="inlineStr">
        <is>
          <t>神奈川県</t>
        </is>
      </c>
      <c r="G191" t="inlineStr">
        <is>
          <t>ソフトウェア</t>
        </is>
      </c>
      <c r="H191" t="inlineStr">
        <is>
          <t>在庫管理クラウド</t>
        </is>
      </c>
      <c r="I191" s="4" t="n">
        <v>3</v>
      </c>
      <c r="J191" s="4" t="n">
        <v>433100</v>
      </c>
      <c r="K191" s="4">
        <f>I191*J191</f>
        <v/>
      </c>
      <c r="L191" t="inlineStr"/>
    </row>
    <row r="192">
      <c r="A192" t="inlineStr">
        <is>
          <t>SR008</t>
        </is>
      </c>
      <c r="B192" t="inlineStr">
        <is>
          <t>営業担当008</t>
        </is>
      </c>
      <c r="C192" t="inlineStr">
        <is>
          <t>第3営業部</t>
        </is>
      </c>
      <c r="D192" s="3" t="n">
        <v>46028</v>
      </c>
      <c r="E192" t="inlineStr">
        <is>
          <t>ライトホーム株式会社</t>
        </is>
      </c>
      <c r="F192" t="inlineStr">
        <is>
          <t>大阪府</t>
        </is>
      </c>
      <c r="G192" t="inlineStr">
        <is>
          <t>ハードウェア</t>
        </is>
      </c>
      <c r="H192" t="inlineStr">
        <is>
          <t>ネットワークカメラ</t>
        </is>
      </c>
      <c r="I192" s="4" t="n">
        <v>4</v>
      </c>
      <c r="J192" s="4" t="n">
        <v>69900</v>
      </c>
      <c r="K192" s="4">
        <f>I192*J192</f>
        <v/>
      </c>
      <c r="L192" t="inlineStr">
        <is>
          <t>新規開拓</t>
        </is>
      </c>
    </row>
    <row r="193">
      <c r="A193" t="inlineStr">
        <is>
          <t>SR008</t>
        </is>
      </c>
      <c r="B193" t="inlineStr">
        <is>
          <t>営業担当008</t>
        </is>
      </c>
      <c r="C193" t="inlineStr">
        <is>
          <t>第3営業部</t>
        </is>
      </c>
      <c r="D193" s="3" t="n">
        <v>46073</v>
      </c>
      <c r="E193" t="inlineStr">
        <is>
          <t>日新サービス株式会社</t>
        </is>
      </c>
      <c r="F193" t="inlineStr">
        <is>
          <t>福岡県</t>
        </is>
      </c>
      <c r="G193" t="inlineStr">
        <is>
          <t>ハードウェア</t>
        </is>
      </c>
      <c r="H193" t="inlineStr">
        <is>
          <t>小型ハンディ端末</t>
        </is>
      </c>
      <c r="I193" s="4" t="n">
        <v>4</v>
      </c>
      <c r="J193" s="4" t="n">
        <v>49400</v>
      </c>
      <c r="K193" s="4">
        <f>I193*J193</f>
        <v/>
      </c>
      <c r="L193" t="inlineStr">
        <is>
          <t>キャンペーン適用</t>
        </is>
      </c>
    </row>
    <row r="194">
      <c r="A194" t="inlineStr">
        <is>
          <t>SR008</t>
        </is>
      </c>
      <c r="B194" t="inlineStr">
        <is>
          <t>営業担当008</t>
        </is>
      </c>
      <c r="C194" t="inlineStr">
        <is>
          <t>第3営業部</t>
        </is>
      </c>
      <c r="D194" s="3" t="n">
        <v>46081</v>
      </c>
      <c r="E194" t="inlineStr">
        <is>
          <t>オーシャン製作所株式会社</t>
        </is>
      </c>
      <c r="F194" t="inlineStr">
        <is>
          <t>広島県</t>
        </is>
      </c>
      <c r="G194" t="inlineStr">
        <is>
          <t>ソフトウェア</t>
        </is>
      </c>
      <c r="H194" t="inlineStr">
        <is>
          <t>AIチャットボット</t>
        </is>
      </c>
      <c r="I194" s="4" t="n">
        <v>4</v>
      </c>
      <c r="J194" s="4" t="n">
        <v>767200</v>
      </c>
      <c r="K194" s="4">
        <f>I194*J194</f>
        <v/>
      </c>
      <c r="L194" t="inlineStr">
        <is>
          <t>リピート受注</t>
        </is>
      </c>
    </row>
    <row r="195">
      <c r="A195" t="inlineStr">
        <is>
          <t>SR008</t>
        </is>
      </c>
      <c r="B195" t="inlineStr">
        <is>
          <t>営業担当008</t>
        </is>
      </c>
      <c r="C195" t="inlineStr">
        <is>
          <t>第3営業部</t>
        </is>
      </c>
      <c r="D195" s="3" t="n">
        <v>46093</v>
      </c>
      <c r="E195" t="inlineStr">
        <is>
          <t>桜井メディカル(株)</t>
        </is>
      </c>
      <c r="F195" t="inlineStr">
        <is>
          <t>兵庫県</t>
        </is>
      </c>
      <c r="G195" t="inlineStr">
        <is>
          <t>保守サービス</t>
        </is>
      </c>
      <c r="H195" t="inlineStr">
        <is>
          <t>ヘルプデスク契約</t>
        </is>
      </c>
      <c r="I195" s="4" t="n">
        <v>4</v>
      </c>
      <c r="J195" s="4" t="n">
        <v>59900</v>
      </c>
      <c r="K195" s="4">
        <f>I195*J195</f>
        <v/>
      </c>
      <c r="L195" t="inlineStr">
        <is>
          <t>値引き調整あり</t>
        </is>
      </c>
    </row>
    <row r="196">
      <c r="A196" t="inlineStr">
        <is>
          <t>SR008</t>
        </is>
      </c>
      <c r="B196" t="inlineStr">
        <is>
          <t>営業担当008</t>
        </is>
      </c>
      <c r="C196" t="inlineStr">
        <is>
          <t>第3営業部</t>
        </is>
      </c>
      <c r="D196" s="3" t="n">
        <v>46107</v>
      </c>
      <c r="E196" t="inlineStr">
        <is>
          <t>未来通信有限会社</t>
        </is>
      </c>
      <c r="F196" t="inlineStr">
        <is>
          <t>東京都</t>
        </is>
      </c>
      <c r="G196" t="inlineStr">
        <is>
          <t>保守サービス</t>
        </is>
      </c>
      <c r="H196" t="inlineStr">
        <is>
          <t>ヘルプデスク契約</t>
        </is>
      </c>
      <c r="I196" s="4" t="n">
        <v>1</v>
      </c>
      <c r="J196" s="4" t="n">
        <v>67700</v>
      </c>
      <c r="K196" s="4">
        <f>I196*J196</f>
        <v/>
      </c>
      <c r="L196" t="inlineStr">
        <is>
          <t>分納</t>
        </is>
      </c>
    </row>
    <row r="197">
      <c r="A197" t="inlineStr">
        <is>
          <t>SR009</t>
        </is>
      </c>
      <c r="B197" t="inlineStr">
        <is>
          <t>営業担当009</t>
        </is>
      </c>
      <c r="C197" t="inlineStr">
        <is>
          <t>パートナー営業部</t>
        </is>
      </c>
      <c r="D197" s="3" t="n">
        <v>45755</v>
      </c>
      <c r="E197" t="inlineStr">
        <is>
          <t>サンライズ建設(株)</t>
        </is>
      </c>
      <c r="F197" t="inlineStr">
        <is>
          <t>愛知県</t>
        </is>
      </c>
      <c r="G197" t="inlineStr">
        <is>
          <t>保守サービス</t>
        </is>
      </c>
      <c r="H197" t="inlineStr">
        <is>
          <t>ヘルプデスク契約</t>
        </is>
      </c>
      <c r="I197" s="4" t="n">
        <v>5</v>
      </c>
      <c r="J197" s="4" t="n">
        <v>81100</v>
      </c>
      <c r="K197" s="4">
        <f>I197*J197</f>
        <v/>
      </c>
      <c r="L197" t="inlineStr">
        <is>
          <t>分納</t>
        </is>
      </c>
    </row>
    <row r="198">
      <c r="A198" t="inlineStr">
        <is>
          <t>SR009</t>
        </is>
      </c>
      <c r="B198" t="inlineStr">
        <is>
          <t>営業担当009</t>
        </is>
      </c>
      <c r="C198" t="inlineStr">
        <is>
          <t>パートナー営業部</t>
        </is>
      </c>
      <c r="D198" s="3" t="n">
        <v>45759</v>
      </c>
      <c r="E198" t="inlineStr">
        <is>
          <t>みらい物流有限会社</t>
        </is>
      </c>
      <c r="F198" t="inlineStr">
        <is>
          <t>京都府</t>
        </is>
      </c>
      <c r="G198" t="inlineStr">
        <is>
          <t>消耗品</t>
        </is>
      </c>
      <c r="H198" t="inlineStr">
        <is>
          <t>交換用ヘッド</t>
        </is>
      </c>
      <c r="I198" s="4" t="n">
        <v>9</v>
      </c>
      <c r="J198" s="4" t="n">
        <v>12830</v>
      </c>
      <c r="K198" s="4">
        <f>I198*J198</f>
        <v/>
      </c>
      <c r="L198" t="inlineStr">
        <is>
          <t>キャンペーン適用</t>
        </is>
      </c>
    </row>
    <row r="199">
      <c r="A199" t="inlineStr">
        <is>
          <t>SR009</t>
        </is>
      </c>
      <c r="B199" t="inlineStr">
        <is>
          <t>営業担当009</t>
        </is>
      </c>
      <c r="C199" t="inlineStr">
        <is>
          <t>パートナー営業部</t>
        </is>
      </c>
      <c r="D199" s="3" t="n">
        <v>45802</v>
      </c>
      <c r="E199" t="inlineStr">
        <is>
          <t>サンライズ建設(株)</t>
        </is>
      </c>
      <c r="F199" t="inlineStr">
        <is>
          <t>京都府</t>
        </is>
      </c>
      <c r="G199" t="inlineStr">
        <is>
          <t>消耗品</t>
        </is>
      </c>
      <c r="H199" t="inlineStr">
        <is>
          <t>保守用バッテリー</t>
        </is>
      </c>
      <c r="I199" s="4" t="n">
        <v>3</v>
      </c>
      <c r="J199" s="4" t="n">
        <v>9880</v>
      </c>
      <c r="K199" s="4">
        <f>I199*J199</f>
        <v/>
      </c>
      <c r="L199" t="inlineStr"/>
    </row>
    <row r="200">
      <c r="A200" t="inlineStr">
        <is>
          <t>SR009</t>
        </is>
      </c>
      <c r="B200" t="inlineStr">
        <is>
          <t>営業担当009</t>
        </is>
      </c>
      <c r="C200" t="inlineStr">
        <is>
          <t>パートナー営業部</t>
        </is>
      </c>
      <c r="D200" s="3" t="n">
        <v>45805</v>
      </c>
      <c r="E200" t="inlineStr">
        <is>
          <t>ネクストソリューション株式会社</t>
        </is>
      </c>
      <c r="F200" t="inlineStr">
        <is>
          <t>宮城県</t>
        </is>
      </c>
      <c r="G200" t="inlineStr">
        <is>
          <t>保守サービス</t>
        </is>
      </c>
      <c r="H200" t="inlineStr">
        <is>
          <t>オンサイト保守</t>
        </is>
      </c>
      <c r="I200" s="4" t="n">
        <v>1</v>
      </c>
      <c r="J200" s="4" t="n">
        <v>113100</v>
      </c>
      <c r="K200" s="4">
        <f>I200*J200</f>
        <v/>
      </c>
      <c r="L200" t="inlineStr"/>
    </row>
    <row r="201">
      <c r="A201" t="inlineStr">
        <is>
          <t>SR009</t>
        </is>
      </c>
      <c r="B201" t="inlineStr">
        <is>
          <t>営業担当009</t>
        </is>
      </c>
      <c r="C201" t="inlineStr">
        <is>
          <t>パートナー営業部</t>
        </is>
      </c>
      <c r="D201" s="3" t="n">
        <v>45820</v>
      </c>
      <c r="E201" t="inlineStr">
        <is>
          <t>桜井メディカル有限会社</t>
        </is>
      </c>
      <c r="F201" t="inlineStr">
        <is>
          <t>大阪府</t>
        </is>
      </c>
      <c r="G201" t="inlineStr">
        <is>
          <t>消耗品</t>
        </is>
      </c>
      <c r="H201" t="inlineStr">
        <is>
          <t>交換用ヘッド</t>
        </is>
      </c>
      <c r="I201" s="4" t="n">
        <v>13</v>
      </c>
      <c r="J201" s="4" t="n">
        <v>25610</v>
      </c>
      <c r="K201" s="4">
        <f>I201*J201</f>
        <v/>
      </c>
      <c r="L201" t="inlineStr"/>
    </row>
    <row r="202">
      <c r="A202" t="inlineStr">
        <is>
          <t>SR009</t>
        </is>
      </c>
      <c r="B202" t="inlineStr">
        <is>
          <t>営業担当009</t>
        </is>
      </c>
      <c r="C202" t="inlineStr">
        <is>
          <t>パートナー営業部</t>
        </is>
      </c>
      <c r="D202" s="3" t="n">
        <v>45836</v>
      </c>
      <c r="E202" t="inlineStr">
        <is>
          <t>未来通信株式会社</t>
        </is>
      </c>
      <c r="F202" t="inlineStr">
        <is>
          <t>広島県</t>
        </is>
      </c>
      <c r="G202" t="inlineStr">
        <is>
          <t>保守サービス</t>
        </is>
      </c>
      <c r="H202" t="inlineStr">
        <is>
          <t>ヘルプデスク契約</t>
        </is>
      </c>
      <c r="I202" s="4" t="n">
        <v>1</v>
      </c>
      <c r="J202" s="4" t="n">
        <v>108800</v>
      </c>
      <c r="K202" s="4">
        <f>I202*J202</f>
        <v/>
      </c>
      <c r="L202" t="inlineStr">
        <is>
          <t>値引き調整あり</t>
        </is>
      </c>
    </row>
    <row r="203">
      <c r="A203" t="inlineStr">
        <is>
          <t>SR009</t>
        </is>
      </c>
      <c r="B203" t="inlineStr">
        <is>
          <t>営業担当009</t>
        </is>
      </c>
      <c r="C203" t="inlineStr">
        <is>
          <t>パートナー営業部</t>
        </is>
      </c>
      <c r="D203" s="3" t="n">
        <v>45840</v>
      </c>
      <c r="E203" t="inlineStr">
        <is>
          <t>福岡流通有限会社</t>
        </is>
      </c>
      <c r="F203" t="inlineStr">
        <is>
          <t>北海道</t>
        </is>
      </c>
      <c r="G203" t="inlineStr">
        <is>
          <t>ハードウェア</t>
        </is>
      </c>
      <c r="H203" t="inlineStr">
        <is>
          <t>ネットワークカメラ</t>
        </is>
      </c>
      <c r="I203" s="4" t="n">
        <v>4</v>
      </c>
      <c r="J203" s="4" t="n">
        <v>42600</v>
      </c>
      <c r="K203" s="4">
        <f>I203*J203</f>
        <v/>
      </c>
      <c r="L203" t="inlineStr"/>
    </row>
    <row r="204">
      <c r="A204" t="inlineStr">
        <is>
          <t>SR009</t>
        </is>
      </c>
      <c r="B204" t="inlineStr">
        <is>
          <t>営業担当009</t>
        </is>
      </c>
      <c r="C204" t="inlineStr">
        <is>
          <t>パートナー営業部</t>
        </is>
      </c>
      <c r="D204" s="3" t="n">
        <v>45866</v>
      </c>
      <c r="E204" t="inlineStr">
        <is>
          <t>中央設備(株)</t>
        </is>
      </c>
      <c r="F204" t="inlineStr">
        <is>
          <t>大阪府</t>
        </is>
      </c>
      <c r="G204" t="inlineStr">
        <is>
          <t>ハードウェア</t>
        </is>
      </c>
      <c r="H204" t="inlineStr">
        <is>
          <t>ラベルプリンター</t>
        </is>
      </c>
      <c r="I204" s="4" t="n">
        <v>4</v>
      </c>
      <c r="J204" s="4" t="n">
        <v>84300</v>
      </c>
      <c r="K204" s="4">
        <f>I204*J204</f>
        <v/>
      </c>
      <c r="L204" t="inlineStr">
        <is>
          <t>値引き調整あり</t>
        </is>
      </c>
    </row>
    <row r="205">
      <c r="A205" t="inlineStr">
        <is>
          <t>SR009</t>
        </is>
      </c>
      <c r="B205" t="inlineStr">
        <is>
          <t>営業担当009</t>
        </is>
      </c>
      <c r="C205" t="inlineStr">
        <is>
          <t>パートナー営業部</t>
        </is>
      </c>
      <c r="D205" s="3" t="n">
        <v>45872</v>
      </c>
      <c r="E205" t="inlineStr">
        <is>
          <t>白峰化学株式会社</t>
        </is>
      </c>
      <c r="F205" t="inlineStr">
        <is>
          <t>神奈川県</t>
        </is>
      </c>
      <c r="G205" t="inlineStr">
        <is>
          <t>ハードウェア</t>
        </is>
      </c>
      <c r="H205" t="inlineStr">
        <is>
          <t>産業用タブレット</t>
        </is>
      </c>
      <c r="I205" s="4" t="n">
        <v>2</v>
      </c>
      <c r="J205" s="4" t="n">
        <v>72200</v>
      </c>
      <c r="K205" s="4">
        <f>I205*J205</f>
        <v/>
      </c>
      <c r="L205" t="inlineStr">
        <is>
          <t>新規開拓</t>
        </is>
      </c>
    </row>
    <row r="206">
      <c r="A206" t="inlineStr">
        <is>
          <t>SR009</t>
        </is>
      </c>
      <c r="B206" t="inlineStr">
        <is>
          <t>営業担当009</t>
        </is>
      </c>
      <c r="C206" t="inlineStr">
        <is>
          <t>パートナー営業部</t>
        </is>
      </c>
      <c r="D206" s="3" t="n">
        <v>45874</v>
      </c>
      <c r="E206" t="inlineStr">
        <is>
          <t>アーク電機株式会社</t>
        </is>
      </c>
      <c r="F206" t="inlineStr">
        <is>
          <t>愛知県</t>
        </is>
      </c>
      <c r="G206" t="inlineStr">
        <is>
          <t>導入支援</t>
        </is>
      </c>
      <c r="H206" t="inlineStr">
        <is>
          <t>データ移行支援</t>
        </is>
      </c>
      <c r="I206" s="4" t="n">
        <v>1</v>
      </c>
      <c r="J206" s="4" t="n">
        <v>249900</v>
      </c>
      <c r="K206" s="4">
        <f>I206*J206</f>
        <v/>
      </c>
      <c r="L206" t="inlineStr"/>
    </row>
    <row r="207">
      <c r="A207" t="inlineStr">
        <is>
          <t>SR009</t>
        </is>
      </c>
      <c r="B207" t="inlineStr">
        <is>
          <t>営業担当009</t>
        </is>
      </c>
      <c r="C207" t="inlineStr">
        <is>
          <t>パートナー営業部</t>
        </is>
      </c>
      <c r="D207" s="3" t="n">
        <v>45910</v>
      </c>
      <c r="E207" t="inlineStr">
        <is>
          <t>大和精機(株)</t>
        </is>
      </c>
      <c r="F207" t="inlineStr">
        <is>
          <t>京都府</t>
        </is>
      </c>
      <c r="G207" t="inlineStr">
        <is>
          <t>導入支援</t>
        </is>
      </c>
      <c r="H207" t="inlineStr">
        <is>
          <t>データ移行支援</t>
        </is>
      </c>
      <c r="I207" s="4" t="n">
        <v>1</v>
      </c>
      <c r="J207" s="4" t="n">
        <v>344900</v>
      </c>
      <c r="K207" s="4">
        <f>I207*J207</f>
        <v/>
      </c>
      <c r="L207" t="inlineStr">
        <is>
          <t>大型案件</t>
        </is>
      </c>
    </row>
    <row r="208">
      <c r="A208" t="inlineStr">
        <is>
          <t>SR009</t>
        </is>
      </c>
      <c r="B208" t="inlineStr">
        <is>
          <t>営業担当009</t>
        </is>
      </c>
      <c r="C208" t="inlineStr">
        <is>
          <t>パートナー営業部</t>
        </is>
      </c>
      <c r="D208" s="3" t="n">
        <v>45913</v>
      </c>
      <c r="E208" t="inlineStr">
        <is>
          <t>大和精機(株)</t>
        </is>
      </c>
      <c r="F208" t="inlineStr">
        <is>
          <t>愛知県</t>
        </is>
      </c>
      <c r="G208" t="inlineStr">
        <is>
          <t>導入支援</t>
        </is>
      </c>
      <c r="H208" t="inlineStr">
        <is>
          <t>初期設定支援</t>
        </is>
      </c>
      <c r="I208" s="4" t="n">
        <v>3</v>
      </c>
      <c r="J208" s="4" t="n">
        <v>95900</v>
      </c>
      <c r="K208" s="4">
        <f>I208*J208</f>
        <v/>
      </c>
      <c r="L208" t="inlineStr"/>
    </row>
    <row r="209">
      <c r="A209" t="inlineStr">
        <is>
          <t>SR009</t>
        </is>
      </c>
      <c r="B209" t="inlineStr">
        <is>
          <t>営業担当009</t>
        </is>
      </c>
      <c r="C209" t="inlineStr">
        <is>
          <t>パートナー営業部</t>
        </is>
      </c>
      <c r="D209" s="3" t="n">
        <v>45940</v>
      </c>
      <c r="E209" t="inlineStr">
        <is>
          <t>福岡流通株式会社</t>
        </is>
      </c>
      <c r="F209" t="inlineStr">
        <is>
          <t>北海道</t>
        </is>
      </c>
      <c r="G209" t="inlineStr">
        <is>
          <t>保守サービス</t>
        </is>
      </c>
      <c r="H209" t="inlineStr">
        <is>
          <t>年間保守契約</t>
        </is>
      </c>
      <c r="I209" s="4" t="n">
        <v>3</v>
      </c>
      <c r="J209" s="4" t="n">
        <v>238900</v>
      </c>
      <c r="K209" s="4">
        <f>I209*J209</f>
        <v/>
      </c>
      <c r="L209" t="inlineStr">
        <is>
          <t>キャンペーン適用</t>
        </is>
      </c>
    </row>
    <row r="210">
      <c r="A210" t="inlineStr">
        <is>
          <t>SR009</t>
        </is>
      </c>
      <c r="B210" t="inlineStr">
        <is>
          <t>営業担当009</t>
        </is>
      </c>
      <c r="C210" t="inlineStr">
        <is>
          <t>パートナー営業部</t>
        </is>
      </c>
      <c r="D210" s="3" t="n">
        <v>45941</v>
      </c>
      <c r="E210" t="inlineStr">
        <is>
          <t>中央設備有限会社</t>
        </is>
      </c>
      <c r="F210" t="inlineStr">
        <is>
          <t>北海道</t>
        </is>
      </c>
      <c r="G210" t="inlineStr">
        <is>
          <t>ハードウェア</t>
        </is>
      </c>
      <c r="H210" t="inlineStr">
        <is>
          <t>小型ハンディ端末</t>
        </is>
      </c>
      <c r="I210" s="4" t="n">
        <v>1</v>
      </c>
      <c r="J210" s="4" t="n">
        <v>74300</v>
      </c>
      <c r="K210" s="4">
        <f>I210*J210</f>
        <v/>
      </c>
      <c r="L210" t="inlineStr">
        <is>
          <t>分納</t>
        </is>
      </c>
    </row>
    <row r="211">
      <c r="A211" t="inlineStr">
        <is>
          <t>SR009</t>
        </is>
      </c>
      <c r="B211" t="inlineStr">
        <is>
          <t>営業担当009</t>
        </is>
      </c>
      <c r="C211" t="inlineStr">
        <is>
          <t>パートナー営業部</t>
        </is>
      </c>
      <c r="D211" s="3" t="n">
        <v>45984</v>
      </c>
      <c r="E211" t="inlineStr">
        <is>
          <t>グリーンテック有限会社</t>
        </is>
      </c>
      <c r="F211" t="inlineStr">
        <is>
          <t>広島県</t>
        </is>
      </c>
      <c r="G211" t="inlineStr">
        <is>
          <t>導入支援</t>
        </is>
      </c>
      <c r="H211" t="inlineStr">
        <is>
          <t>操作研修パック</t>
        </is>
      </c>
      <c r="I211" s="4" t="n">
        <v>1</v>
      </c>
      <c r="J211" s="4" t="n">
        <v>46200</v>
      </c>
      <c r="K211" s="4">
        <f>I211*J211</f>
        <v/>
      </c>
      <c r="L211" t="inlineStr"/>
    </row>
    <row r="212">
      <c r="A212" t="inlineStr">
        <is>
          <t>SR009</t>
        </is>
      </c>
      <c r="B212" t="inlineStr">
        <is>
          <t>営業担当009</t>
        </is>
      </c>
      <c r="C212" t="inlineStr">
        <is>
          <t>パートナー営業部</t>
        </is>
      </c>
      <c r="D212" s="3" t="n">
        <v>45985</v>
      </c>
      <c r="E212" t="inlineStr">
        <is>
          <t>白峰化学(株)</t>
        </is>
      </c>
      <c r="F212" t="inlineStr">
        <is>
          <t>北海道</t>
        </is>
      </c>
      <c r="G212" t="inlineStr">
        <is>
          <t>ハードウェア</t>
        </is>
      </c>
      <c r="H212" t="inlineStr">
        <is>
          <t>ネットワークカメラ</t>
        </is>
      </c>
      <c r="I212" s="4" t="n">
        <v>4</v>
      </c>
      <c r="J212" s="4" t="n">
        <v>61600</v>
      </c>
      <c r="K212" s="4">
        <f>I212*J212</f>
        <v/>
      </c>
      <c r="L212" t="inlineStr">
        <is>
          <t>値引き調整あり</t>
        </is>
      </c>
    </row>
    <row r="213">
      <c r="A213" t="inlineStr">
        <is>
          <t>SR009</t>
        </is>
      </c>
      <c r="B213" t="inlineStr">
        <is>
          <t>営業担当009</t>
        </is>
      </c>
      <c r="C213" t="inlineStr">
        <is>
          <t>パートナー営業部</t>
        </is>
      </c>
      <c r="D213" s="3" t="n">
        <v>46000</v>
      </c>
      <c r="E213" t="inlineStr">
        <is>
          <t>みらい物流有限会社</t>
        </is>
      </c>
      <c r="F213" t="inlineStr">
        <is>
          <t>宮城県</t>
        </is>
      </c>
      <c r="G213" t="inlineStr">
        <is>
          <t>ソフトウェア</t>
        </is>
      </c>
      <c r="H213" t="inlineStr">
        <is>
          <t>AIチャットボット</t>
        </is>
      </c>
      <c r="I213" s="4" t="n">
        <v>5</v>
      </c>
      <c r="J213" s="4" t="n">
        <v>397800</v>
      </c>
      <c r="K213" s="4">
        <f>I213*J213</f>
        <v/>
      </c>
      <c r="L213" t="inlineStr">
        <is>
          <t>値引き調整あり</t>
        </is>
      </c>
    </row>
    <row r="214">
      <c r="A214" t="inlineStr">
        <is>
          <t>SR009</t>
        </is>
      </c>
      <c r="B214" t="inlineStr">
        <is>
          <t>営業担当009</t>
        </is>
      </c>
      <c r="C214" t="inlineStr">
        <is>
          <t>パートナー営業部</t>
        </is>
      </c>
      <c r="D214" s="3" t="n">
        <v>46000</v>
      </c>
      <c r="E214" t="inlineStr">
        <is>
          <t>東洋フーズ株式会社</t>
        </is>
      </c>
      <c r="F214" t="inlineStr">
        <is>
          <t>京都府</t>
        </is>
      </c>
      <c r="G214" t="inlineStr">
        <is>
          <t>消耗品</t>
        </is>
      </c>
      <c r="H214" t="inlineStr">
        <is>
          <t>交換用ヘッド</t>
        </is>
      </c>
      <c r="I214" s="4" t="n">
        <v>7</v>
      </c>
      <c r="J214" s="4" t="n">
        <v>16550</v>
      </c>
      <c r="K214" s="4">
        <f>I214*J214</f>
        <v/>
      </c>
      <c r="L214" t="inlineStr">
        <is>
          <t>リピート受注</t>
        </is>
      </c>
    </row>
    <row r="215">
      <c r="A215" t="inlineStr">
        <is>
          <t>SR009</t>
        </is>
      </c>
      <c r="B215" t="inlineStr">
        <is>
          <t>営業担当009</t>
        </is>
      </c>
      <c r="C215" t="inlineStr">
        <is>
          <t>パートナー営業部</t>
        </is>
      </c>
      <c r="D215" s="3" t="n">
        <v>46030</v>
      </c>
      <c r="E215" t="inlineStr">
        <is>
          <t>サンライズ建設株式会社</t>
        </is>
      </c>
      <c r="F215" t="inlineStr">
        <is>
          <t>東京都</t>
        </is>
      </c>
      <c r="G215" t="inlineStr">
        <is>
          <t>ハードウェア</t>
        </is>
      </c>
      <c r="H215" t="inlineStr">
        <is>
          <t>ネットワークカメラ</t>
        </is>
      </c>
      <c r="I215" s="4" t="n">
        <v>5</v>
      </c>
      <c r="J215" s="4" t="n">
        <v>70800</v>
      </c>
      <c r="K215" s="4">
        <f>I215*J215</f>
        <v/>
      </c>
      <c r="L215" t="inlineStr"/>
    </row>
    <row r="216">
      <c r="A216" t="inlineStr">
        <is>
          <t>SR009</t>
        </is>
      </c>
      <c r="B216" t="inlineStr">
        <is>
          <t>営業担当009</t>
        </is>
      </c>
      <c r="C216" t="inlineStr">
        <is>
          <t>パートナー営業部</t>
        </is>
      </c>
      <c r="D216" s="3" t="n">
        <v>46032</v>
      </c>
      <c r="E216" t="inlineStr">
        <is>
          <t>オーシャン製作所株式会社</t>
        </is>
      </c>
      <c r="F216" t="inlineStr">
        <is>
          <t>大阪府</t>
        </is>
      </c>
      <c r="G216" t="inlineStr">
        <is>
          <t>保守サービス</t>
        </is>
      </c>
      <c r="H216" t="inlineStr">
        <is>
          <t>ヘルプデスク契約</t>
        </is>
      </c>
      <c r="I216" s="4" t="n">
        <v>3</v>
      </c>
      <c r="J216" s="4" t="n">
        <v>67300</v>
      </c>
      <c r="K216" s="4">
        <f>I216*J216</f>
        <v/>
      </c>
      <c r="L216" t="inlineStr">
        <is>
          <t>分納</t>
        </is>
      </c>
    </row>
    <row r="217">
      <c r="A217" t="inlineStr">
        <is>
          <t>SR009</t>
        </is>
      </c>
      <c r="B217" t="inlineStr">
        <is>
          <t>営業担当009</t>
        </is>
      </c>
      <c r="C217" t="inlineStr">
        <is>
          <t>パートナー営業部</t>
        </is>
      </c>
      <c r="D217" s="3" t="n">
        <v>46057</v>
      </c>
      <c r="E217" t="inlineStr">
        <is>
          <t>ネクストソリューション有限会社</t>
        </is>
      </c>
      <c r="F217" t="inlineStr">
        <is>
          <t>京都府</t>
        </is>
      </c>
      <c r="G217" t="inlineStr">
        <is>
          <t>ソフトウェア</t>
        </is>
      </c>
      <c r="H217" t="inlineStr">
        <is>
          <t>営業支援SaaS</t>
        </is>
      </c>
      <c r="I217" s="4" t="n">
        <v>2</v>
      </c>
      <c r="J217" s="4" t="n">
        <v>239300</v>
      </c>
      <c r="K217" s="4">
        <f>I217*J217</f>
        <v/>
      </c>
      <c r="L217" t="inlineStr">
        <is>
          <t>キャンペーン適用</t>
        </is>
      </c>
    </row>
    <row r="218">
      <c r="A218" t="inlineStr">
        <is>
          <t>SR009</t>
        </is>
      </c>
      <c r="B218" t="inlineStr">
        <is>
          <t>営業担当009</t>
        </is>
      </c>
      <c r="C218" t="inlineStr">
        <is>
          <t>パートナー営業部</t>
        </is>
      </c>
      <c r="D218" s="3" t="n">
        <v>46073</v>
      </c>
      <c r="E218" t="inlineStr">
        <is>
          <t>アーク電機株式会社</t>
        </is>
      </c>
      <c r="F218" t="inlineStr">
        <is>
          <t>広島県</t>
        </is>
      </c>
      <c r="G218" t="inlineStr">
        <is>
          <t>保守サービス</t>
        </is>
      </c>
      <c r="H218" t="inlineStr">
        <is>
          <t>オンサイト保守</t>
        </is>
      </c>
      <c r="I218" s="4" t="n">
        <v>1</v>
      </c>
      <c r="J218" s="4" t="n">
        <v>112200</v>
      </c>
      <c r="K218" s="4">
        <f>I218*J218</f>
        <v/>
      </c>
      <c r="L218" t="inlineStr">
        <is>
          <t>キャンペーン適用</t>
        </is>
      </c>
    </row>
    <row r="219">
      <c r="A219" t="inlineStr">
        <is>
          <t>SR009</t>
        </is>
      </c>
      <c r="B219" t="inlineStr">
        <is>
          <t>営業担当009</t>
        </is>
      </c>
      <c r="C219" t="inlineStr">
        <is>
          <t>パートナー営業部</t>
        </is>
      </c>
      <c r="D219" s="3" t="n">
        <v>46082</v>
      </c>
      <c r="E219" t="inlineStr">
        <is>
          <t>ライトホーム(株)</t>
        </is>
      </c>
      <c r="F219" t="inlineStr">
        <is>
          <t>愛知県</t>
        </is>
      </c>
      <c r="G219" t="inlineStr">
        <is>
          <t>消耗品</t>
        </is>
      </c>
      <c r="H219" t="inlineStr">
        <is>
          <t>保守用バッテリー</t>
        </is>
      </c>
      <c r="I219" s="4" t="n">
        <v>3</v>
      </c>
      <c r="J219" s="4" t="n">
        <v>7550</v>
      </c>
      <c r="K219" s="4">
        <f>I219*J219</f>
        <v/>
      </c>
      <c r="L219" t="inlineStr">
        <is>
          <t>値引き調整あり</t>
        </is>
      </c>
    </row>
    <row r="220">
      <c r="A220" t="inlineStr">
        <is>
          <t>SR009</t>
        </is>
      </c>
      <c r="B220" t="inlineStr">
        <is>
          <t>営業担当009</t>
        </is>
      </c>
      <c r="C220" t="inlineStr">
        <is>
          <t>パートナー営業部</t>
        </is>
      </c>
      <c r="D220" s="3" t="n">
        <v>46090</v>
      </c>
      <c r="E220" t="inlineStr">
        <is>
          <t>北斗産業株式会社</t>
        </is>
      </c>
      <c r="F220" t="inlineStr">
        <is>
          <t>宮城県</t>
        </is>
      </c>
      <c r="G220" t="inlineStr">
        <is>
          <t>保守サービス</t>
        </is>
      </c>
      <c r="H220" t="inlineStr">
        <is>
          <t>ヘルプデスク契約</t>
        </is>
      </c>
      <c r="I220" s="4" t="n">
        <v>2</v>
      </c>
      <c r="J220" s="4" t="n">
        <v>39100</v>
      </c>
      <c r="K220" s="4">
        <f>I220*J220</f>
        <v/>
      </c>
      <c r="L220" t="inlineStr"/>
    </row>
    <row r="221">
      <c r="A221" t="inlineStr">
        <is>
          <t>SR010</t>
        </is>
      </c>
      <c r="B221" t="inlineStr">
        <is>
          <t>営業担当010</t>
        </is>
      </c>
      <c r="C221" t="inlineStr">
        <is>
          <t>インサイドセールス部</t>
        </is>
      </c>
      <c r="D221" s="3" t="n">
        <v>45774</v>
      </c>
      <c r="E221" t="inlineStr">
        <is>
          <t>中央設備有限会社</t>
        </is>
      </c>
      <c r="F221" t="inlineStr">
        <is>
          <t>福岡県</t>
        </is>
      </c>
      <c r="G221" t="inlineStr">
        <is>
          <t>保守サービス</t>
        </is>
      </c>
      <c r="H221" t="inlineStr">
        <is>
          <t>年間保守契約</t>
        </is>
      </c>
      <c r="I221" s="4" t="n">
        <v>2</v>
      </c>
      <c r="J221" s="4" t="n">
        <v>192100</v>
      </c>
      <c r="K221" s="4">
        <f>I221*J221</f>
        <v/>
      </c>
      <c r="L221" t="inlineStr">
        <is>
          <t>大型案件</t>
        </is>
      </c>
    </row>
    <row r="222">
      <c r="A222" t="inlineStr">
        <is>
          <t>SR010</t>
        </is>
      </c>
      <c r="B222" t="inlineStr">
        <is>
          <t>営業担当010</t>
        </is>
      </c>
      <c r="C222" t="inlineStr">
        <is>
          <t>インサイドセールス部</t>
        </is>
      </c>
      <c r="D222" s="3" t="n">
        <v>45775</v>
      </c>
      <c r="E222" t="inlineStr">
        <is>
          <t>ライトホーム有限会社</t>
        </is>
      </c>
      <c r="F222" t="inlineStr">
        <is>
          <t>広島県</t>
        </is>
      </c>
      <c r="G222" t="inlineStr">
        <is>
          <t>ソフトウェア</t>
        </is>
      </c>
      <c r="H222" t="inlineStr">
        <is>
          <t>営業支援SaaS</t>
        </is>
      </c>
      <c r="I222" s="4" t="n">
        <v>1</v>
      </c>
      <c r="J222" s="4" t="n">
        <v>216600</v>
      </c>
      <c r="K222" s="4">
        <f>I222*J222</f>
        <v/>
      </c>
      <c r="L222" t="inlineStr">
        <is>
          <t>新規開拓</t>
        </is>
      </c>
    </row>
    <row r="223">
      <c r="A223" t="inlineStr">
        <is>
          <t>SR010</t>
        </is>
      </c>
      <c r="B223" t="inlineStr">
        <is>
          <t>営業担当010</t>
        </is>
      </c>
      <c r="C223" t="inlineStr">
        <is>
          <t>インサイドセールス部</t>
        </is>
      </c>
      <c r="D223" s="3" t="n">
        <v>45789</v>
      </c>
      <c r="E223" t="inlineStr">
        <is>
          <t>日新サービス有限会社</t>
        </is>
      </c>
      <c r="F223" t="inlineStr">
        <is>
          <t>東京都</t>
        </is>
      </c>
      <c r="G223" t="inlineStr">
        <is>
          <t>消耗品</t>
        </is>
      </c>
      <c r="H223" t="inlineStr">
        <is>
          <t>ラベルロール</t>
        </is>
      </c>
      <c r="I223" s="4" t="n">
        <v>11</v>
      </c>
      <c r="J223" s="4" t="n">
        <v>11410</v>
      </c>
      <c r="K223" s="4">
        <f>I223*J223</f>
        <v/>
      </c>
      <c r="L223" t="inlineStr">
        <is>
          <t>新規開拓</t>
        </is>
      </c>
    </row>
    <row r="224">
      <c r="A224" t="inlineStr">
        <is>
          <t>SR010</t>
        </is>
      </c>
      <c r="B224" t="inlineStr">
        <is>
          <t>営業担当010</t>
        </is>
      </c>
      <c r="C224" t="inlineStr">
        <is>
          <t>インサイドセールス部</t>
        </is>
      </c>
      <c r="D224" s="3" t="n">
        <v>45789</v>
      </c>
      <c r="E224" t="inlineStr">
        <is>
          <t>大和精機(株)</t>
        </is>
      </c>
      <c r="F224" t="inlineStr">
        <is>
          <t>大阪府</t>
        </is>
      </c>
      <c r="G224" t="inlineStr">
        <is>
          <t>保守サービス</t>
        </is>
      </c>
      <c r="H224" t="inlineStr">
        <is>
          <t>年間保守契約</t>
        </is>
      </c>
      <c r="I224" s="4" t="n">
        <v>5</v>
      </c>
      <c r="J224" s="4" t="n">
        <v>172400</v>
      </c>
      <c r="K224" s="4">
        <f>I224*J224</f>
        <v/>
      </c>
      <c r="L224" t="inlineStr"/>
    </row>
    <row r="225">
      <c r="A225" t="inlineStr">
        <is>
          <t>SR010</t>
        </is>
      </c>
      <c r="B225" t="inlineStr">
        <is>
          <t>営業担当010</t>
        </is>
      </c>
      <c r="C225" t="inlineStr">
        <is>
          <t>インサイドセールス部</t>
        </is>
      </c>
      <c r="D225" s="3" t="n">
        <v>45820</v>
      </c>
      <c r="E225" t="inlineStr">
        <is>
          <t>白峰化学株式会社</t>
        </is>
      </c>
      <c r="F225" t="inlineStr">
        <is>
          <t>兵庫県</t>
        </is>
      </c>
      <c r="G225" t="inlineStr">
        <is>
          <t>ハードウェア</t>
        </is>
      </c>
      <c r="H225" t="inlineStr">
        <is>
          <t>ラベルプリンター</t>
        </is>
      </c>
      <c r="I225" s="4" t="n">
        <v>4</v>
      </c>
      <c r="J225" s="4" t="n">
        <v>54000</v>
      </c>
      <c r="K225" s="4">
        <f>I225*J225</f>
        <v/>
      </c>
      <c r="L225" t="inlineStr">
        <is>
          <t>リピート受注</t>
        </is>
      </c>
    </row>
    <row r="226">
      <c r="A226" t="inlineStr">
        <is>
          <t>SR010</t>
        </is>
      </c>
      <c r="B226" t="inlineStr">
        <is>
          <t>営業担当010</t>
        </is>
      </c>
      <c r="C226" t="inlineStr">
        <is>
          <t>インサイドセールス部</t>
        </is>
      </c>
      <c r="D226" s="3" t="n">
        <v>45829</v>
      </c>
      <c r="E226" t="inlineStr">
        <is>
          <t>サンライズ建設有限会社</t>
        </is>
      </c>
      <c r="F226" t="inlineStr">
        <is>
          <t>京都府</t>
        </is>
      </c>
      <c r="G226" t="inlineStr">
        <is>
          <t>ソフトウェア</t>
        </is>
      </c>
      <c r="H226" t="inlineStr">
        <is>
          <t>営業支援SaaS</t>
        </is>
      </c>
      <c r="I226" s="4" t="n">
        <v>5</v>
      </c>
      <c r="J226" s="4" t="n">
        <v>357800</v>
      </c>
      <c r="K226" s="4">
        <f>I226*J226</f>
        <v/>
      </c>
      <c r="L226" t="inlineStr"/>
    </row>
    <row r="227">
      <c r="A227" t="inlineStr">
        <is>
          <t>SR010</t>
        </is>
      </c>
      <c r="B227" t="inlineStr">
        <is>
          <t>営業担当010</t>
        </is>
      </c>
      <c r="C227" t="inlineStr">
        <is>
          <t>インサイドセールス部</t>
        </is>
      </c>
      <c r="D227" s="3" t="n">
        <v>45844</v>
      </c>
      <c r="E227" t="inlineStr">
        <is>
          <t>ライトホーム有限会社</t>
        </is>
      </c>
      <c r="F227" t="inlineStr">
        <is>
          <t>兵庫県</t>
        </is>
      </c>
      <c r="G227" t="inlineStr">
        <is>
          <t>保守サービス</t>
        </is>
      </c>
      <c r="H227" t="inlineStr">
        <is>
          <t>ヘルプデスク契約</t>
        </is>
      </c>
      <c r="I227" s="4" t="n">
        <v>1</v>
      </c>
      <c r="J227" s="4" t="n">
        <v>38900</v>
      </c>
      <c r="K227" s="4">
        <f>I227*J227</f>
        <v/>
      </c>
      <c r="L227" t="inlineStr"/>
    </row>
    <row r="228">
      <c r="A228" t="inlineStr">
        <is>
          <t>SR010</t>
        </is>
      </c>
      <c r="B228" t="inlineStr">
        <is>
          <t>営業担当010</t>
        </is>
      </c>
      <c r="C228" t="inlineStr">
        <is>
          <t>インサイドセールス部</t>
        </is>
      </c>
      <c r="D228" s="3" t="n">
        <v>45846</v>
      </c>
      <c r="E228" t="inlineStr">
        <is>
          <t>中央設備株式会社</t>
        </is>
      </c>
      <c r="F228" t="inlineStr">
        <is>
          <t>福岡県</t>
        </is>
      </c>
      <c r="G228" t="inlineStr">
        <is>
          <t>導入支援</t>
        </is>
      </c>
      <c r="H228" t="inlineStr">
        <is>
          <t>操作研修パック</t>
        </is>
      </c>
      <c r="I228" s="4" t="n">
        <v>4</v>
      </c>
      <c r="J228" s="4" t="n">
        <v>145000</v>
      </c>
      <c r="K228" s="4">
        <f>I228*J228</f>
        <v/>
      </c>
      <c r="L228" t="inlineStr"/>
    </row>
    <row r="229">
      <c r="A229" t="inlineStr">
        <is>
          <t>SR010</t>
        </is>
      </c>
      <c r="B229" t="inlineStr">
        <is>
          <t>営業担当010</t>
        </is>
      </c>
      <c r="C229" t="inlineStr">
        <is>
          <t>インサイドセールス部</t>
        </is>
      </c>
      <c r="D229" s="3" t="n">
        <v>45871</v>
      </c>
      <c r="E229" t="inlineStr">
        <is>
          <t>星和商会(株)</t>
        </is>
      </c>
      <c r="F229" t="inlineStr">
        <is>
          <t>愛知県</t>
        </is>
      </c>
      <c r="G229" t="inlineStr">
        <is>
          <t>消耗品</t>
        </is>
      </c>
      <c r="H229" t="inlineStr">
        <is>
          <t>保守用バッテリー</t>
        </is>
      </c>
      <c r="I229" s="4" t="n">
        <v>10</v>
      </c>
      <c r="J229" s="4" t="n">
        <v>6420</v>
      </c>
      <c r="K229" s="4">
        <f>I229*J229</f>
        <v/>
      </c>
      <c r="L229" t="inlineStr">
        <is>
          <t>分納</t>
        </is>
      </c>
    </row>
    <row r="230">
      <c r="A230" t="inlineStr">
        <is>
          <t>SR010</t>
        </is>
      </c>
      <c r="B230" t="inlineStr">
        <is>
          <t>営業担当010</t>
        </is>
      </c>
      <c r="C230" t="inlineStr">
        <is>
          <t>インサイドセールス部</t>
        </is>
      </c>
      <c r="D230" s="3" t="n">
        <v>45878</v>
      </c>
      <c r="E230" t="inlineStr">
        <is>
          <t>未来通信有限会社</t>
        </is>
      </c>
      <c r="F230" t="inlineStr">
        <is>
          <t>広島県</t>
        </is>
      </c>
      <c r="G230" t="inlineStr">
        <is>
          <t>ハードウェア</t>
        </is>
      </c>
      <c r="H230" t="inlineStr">
        <is>
          <t>ラベルプリンター</t>
        </is>
      </c>
      <c r="I230" s="4" t="n">
        <v>4</v>
      </c>
      <c r="J230" s="4" t="n">
        <v>48200</v>
      </c>
      <c r="K230" s="4">
        <f>I230*J230</f>
        <v/>
      </c>
      <c r="L230" t="inlineStr"/>
    </row>
    <row r="231">
      <c r="A231" t="inlineStr">
        <is>
          <t>SR010</t>
        </is>
      </c>
      <c r="B231" t="inlineStr">
        <is>
          <t>営業担当010</t>
        </is>
      </c>
      <c r="C231" t="inlineStr">
        <is>
          <t>インサイドセールス部</t>
        </is>
      </c>
      <c r="D231" s="3" t="n">
        <v>45905</v>
      </c>
      <c r="E231" t="inlineStr">
        <is>
          <t>みらい物流(株)</t>
        </is>
      </c>
      <c r="F231" t="inlineStr">
        <is>
          <t>福岡県</t>
        </is>
      </c>
      <c r="G231" t="inlineStr">
        <is>
          <t>導入支援</t>
        </is>
      </c>
      <c r="H231" t="inlineStr">
        <is>
          <t>初期設定支援</t>
        </is>
      </c>
      <c r="I231" s="4" t="n">
        <v>3</v>
      </c>
      <c r="J231" s="4" t="n">
        <v>186700</v>
      </c>
      <c r="K231" s="4">
        <f>I231*J231</f>
        <v/>
      </c>
      <c r="L231" t="inlineStr">
        <is>
          <t>新規開拓</t>
        </is>
      </c>
    </row>
    <row r="232">
      <c r="A232" t="inlineStr">
        <is>
          <t>SR010</t>
        </is>
      </c>
      <c r="B232" t="inlineStr">
        <is>
          <t>営業担当010</t>
        </is>
      </c>
      <c r="C232" t="inlineStr">
        <is>
          <t>インサイドセールス部</t>
        </is>
      </c>
      <c r="D232" s="3" t="n">
        <v>45921</v>
      </c>
      <c r="E232" t="inlineStr">
        <is>
          <t>九州エナジー(株)</t>
        </is>
      </c>
      <c r="F232" t="inlineStr">
        <is>
          <t>神奈川県</t>
        </is>
      </c>
      <c r="G232" t="inlineStr">
        <is>
          <t>導入支援</t>
        </is>
      </c>
      <c r="H232" t="inlineStr">
        <is>
          <t>初期設定支援</t>
        </is>
      </c>
      <c r="I232" s="4" t="n">
        <v>4</v>
      </c>
      <c r="J232" s="4" t="n">
        <v>110900</v>
      </c>
      <c r="K232" s="4">
        <f>I232*J232</f>
        <v/>
      </c>
      <c r="L232" t="inlineStr">
        <is>
          <t>分納</t>
        </is>
      </c>
    </row>
    <row r="233">
      <c r="A233" t="inlineStr">
        <is>
          <t>SR010</t>
        </is>
      </c>
      <c r="B233" t="inlineStr">
        <is>
          <t>営業担当010</t>
        </is>
      </c>
      <c r="C233" t="inlineStr">
        <is>
          <t>インサイドセールス部</t>
        </is>
      </c>
      <c r="D233" s="3" t="n">
        <v>45933</v>
      </c>
      <c r="E233" t="inlineStr">
        <is>
          <t>北斗産業株式会社</t>
        </is>
      </c>
      <c r="F233" t="inlineStr">
        <is>
          <t>広島県</t>
        </is>
      </c>
      <c r="G233" t="inlineStr">
        <is>
          <t>導入支援</t>
        </is>
      </c>
      <c r="H233" t="inlineStr">
        <is>
          <t>データ移行支援</t>
        </is>
      </c>
      <c r="I233" s="4" t="n">
        <v>4</v>
      </c>
      <c r="J233" s="4" t="n">
        <v>163500</v>
      </c>
      <c r="K233" s="4">
        <f>I233*J233</f>
        <v/>
      </c>
      <c r="L233" t="inlineStr">
        <is>
          <t>新規開拓</t>
        </is>
      </c>
    </row>
    <row r="234">
      <c r="A234" t="inlineStr">
        <is>
          <t>SR010</t>
        </is>
      </c>
      <c r="B234" t="inlineStr">
        <is>
          <t>営業担当010</t>
        </is>
      </c>
      <c r="C234" t="inlineStr">
        <is>
          <t>インサイドセールス部</t>
        </is>
      </c>
      <c r="D234" s="3" t="n">
        <v>45953</v>
      </c>
      <c r="E234" t="inlineStr">
        <is>
          <t>みらい物流有限会社</t>
        </is>
      </c>
      <c r="F234" t="inlineStr">
        <is>
          <t>京都府</t>
        </is>
      </c>
      <c r="G234" t="inlineStr">
        <is>
          <t>保守サービス</t>
        </is>
      </c>
      <c r="H234" t="inlineStr">
        <is>
          <t>オンサイト保守</t>
        </is>
      </c>
      <c r="I234" s="4" t="n">
        <v>2</v>
      </c>
      <c r="J234" s="4" t="n">
        <v>170600</v>
      </c>
      <c r="K234" s="4">
        <f>I234*J234</f>
        <v/>
      </c>
      <c r="L234" t="inlineStr"/>
    </row>
    <row r="235">
      <c r="A235" t="inlineStr">
        <is>
          <t>SR010</t>
        </is>
      </c>
      <c r="B235" t="inlineStr">
        <is>
          <t>営業担当010</t>
        </is>
      </c>
      <c r="C235" t="inlineStr">
        <is>
          <t>インサイドセールス部</t>
        </is>
      </c>
      <c r="D235" s="3" t="n">
        <v>45981</v>
      </c>
      <c r="E235" t="inlineStr">
        <is>
          <t>グリーンテック(株)</t>
        </is>
      </c>
      <c r="F235" t="inlineStr">
        <is>
          <t>北海道</t>
        </is>
      </c>
      <c r="G235" t="inlineStr">
        <is>
          <t>保守サービス</t>
        </is>
      </c>
      <c r="H235" t="inlineStr">
        <is>
          <t>オンサイト保守</t>
        </is>
      </c>
      <c r="I235" s="4" t="n">
        <v>2</v>
      </c>
      <c r="J235" s="4" t="n">
        <v>115800</v>
      </c>
      <c r="K235" s="4">
        <f>I235*J235</f>
        <v/>
      </c>
      <c r="L235" t="inlineStr">
        <is>
          <t>値引き調整あり</t>
        </is>
      </c>
    </row>
    <row r="236">
      <c r="A236" t="inlineStr">
        <is>
          <t>SR010</t>
        </is>
      </c>
      <c r="B236" t="inlineStr">
        <is>
          <t>営業担当010</t>
        </is>
      </c>
      <c r="C236" t="inlineStr">
        <is>
          <t>インサイドセールス部</t>
        </is>
      </c>
      <c r="D236" s="3" t="n">
        <v>45987</v>
      </c>
      <c r="E236" t="inlineStr">
        <is>
          <t>福岡流通有限会社</t>
        </is>
      </c>
      <c r="F236" t="inlineStr">
        <is>
          <t>愛知県</t>
        </is>
      </c>
      <c r="G236" t="inlineStr">
        <is>
          <t>ソフトウェア</t>
        </is>
      </c>
      <c r="H236" t="inlineStr">
        <is>
          <t>営業支援SaaS</t>
        </is>
      </c>
      <c r="I236" s="4" t="n">
        <v>2</v>
      </c>
      <c r="J236" s="4" t="n">
        <v>216900</v>
      </c>
      <c r="K236" s="4">
        <f>I236*J236</f>
        <v/>
      </c>
      <c r="L236" t="inlineStr">
        <is>
          <t>分納</t>
        </is>
      </c>
    </row>
    <row r="237">
      <c r="A237" t="inlineStr">
        <is>
          <t>SR010</t>
        </is>
      </c>
      <c r="B237" t="inlineStr">
        <is>
          <t>営業担当010</t>
        </is>
      </c>
      <c r="C237" t="inlineStr">
        <is>
          <t>インサイドセールス部</t>
        </is>
      </c>
      <c r="D237" s="3" t="n">
        <v>45992</v>
      </c>
      <c r="E237" t="inlineStr">
        <is>
          <t>福岡流通有限会社</t>
        </is>
      </c>
      <c r="F237" t="inlineStr">
        <is>
          <t>兵庫県</t>
        </is>
      </c>
      <c r="G237" t="inlineStr">
        <is>
          <t>保守サービス</t>
        </is>
      </c>
      <c r="H237" t="inlineStr">
        <is>
          <t>オンサイト保守</t>
        </is>
      </c>
      <c r="I237" s="4" t="n">
        <v>5</v>
      </c>
      <c r="J237" s="4" t="n">
        <v>66500</v>
      </c>
      <c r="K237" s="4">
        <f>I237*J237</f>
        <v/>
      </c>
      <c r="L237" t="inlineStr"/>
    </row>
    <row r="238">
      <c r="A238" t="inlineStr">
        <is>
          <t>SR010</t>
        </is>
      </c>
      <c r="B238" t="inlineStr">
        <is>
          <t>営業担当010</t>
        </is>
      </c>
      <c r="C238" t="inlineStr">
        <is>
          <t>インサイドセールス部</t>
        </is>
      </c>
      <c r="D238" s="3" t="n">
        <v>46009</v>
      </c>
      <c r="E238" t="inlineStr">
        <is>
          <t>中央設備(株)</t>
        </is>
      </c>
      <c r="F238" t="inlineStr">
        <is>
          <t>愛知県</t>
        </is>
      </c>
      <c r="G238" t="inlineStr">
        <is>
          <t>導入支援</t>
        </is>
      </c>
      <c r="H238" t="inlineStr">
        <is>
          <t>初期設定支援</t>
        </is>
      </c>
      <c r="I238" s="4" t="n">
        <v>3</v>
      </c>
      <c r="J238" s="4" t="n">
        <v>142000</v>
      </c>
      <c r="K238" s="4">
        <f>I238*J238</f>
        <v/>
      </c>
      <c r="L238" t="inlineStr">
        <is>
          <t>大型案件</t>
        </is>
      </c>
    </row>
    <row r="239">
      <c r="A239" t="inlineStr">
        <is>
          <t>SR010</t>
        </is>
      </c>
      <c r="B239" t="inlineStr">
        <is>
          <t>営業担当010</t>
        </is>
      </c>
      <c r="C239" t="inlineStr">
        <is>
          <t>インサイドセールス部</t>
        </is>
      </c>
      <c r="D239" s="3" t="n">
        <v>46025</v>
      </c>
      <c r="E239" t="inlineStr">
        <is>
          <t>サンライズ建設(株)</t>
        </is>
      </c>
      <c r="F239" t="inlineStr">
        <is>
          <t>広島県</t>
        </is>
      </c>
      <c r="G239" t="inlineStr">
        <is>
          <t>消耗品</t>
        </is>
      </c>
      <c r="H239" t="inlineStr">
        <is>
          <t>保守用バッテリー</t>
        </is>
      </c>
      <c r="I239" s="4" t="n">
        <v>13</v>
      </c>
      <c r="J239" s="4" t="n">
        <v>14180</v>
      </c>
      <c r="K239" s="4">
        <f>I239*J239</f>
        <v/>
      </c>
      <c r="L239" t="inlineStr"/>
    </row>
    <row r="240">
      <c r="A240" t="inlineStr">
        <is>
          <t>SR010</t>
        </is>
      </c>
      <c r="B240" t="inlineStr">
        <is>
          <t>営業担当010</t>
        </is>
      </c>
      <c r="C240" t="inlineStr">
        <is>
          <t>インサイドセールス部</t>
        </is>
      </c>
      <c r="D240" s="3" t="n">
        <v>46027</v>
      </c>
      <c r="E240" t="inlineStr">
        <is>
          <t>中央設備株式会社</t>
        </is>
      </c>
      <c r="F240" t="inlineStr">
        <is>
          <t>神奈川県</t>
        </is>
      </c>
      <c r="G240" t="inlineStr">
        <is>
          <t>導入支援</t>
        </is>
      </c>
      <c r="H240" t="inlineStr">
        <is>
          <t>操作研修パック</t>
        </is>
      </c>
      <c r="I240" s="4" t="n">
        <v>4</v>
      </c>
      <c r="J240" s="4" t="n">
        <v>80800</v>
      </c>
      <c r="K240" s="4">
        <f>I240*J240</f>
        <v/>
      </c>
      <c r="L240" t="inlineStr"/>
    </row>
    <row r="241">
      <c r="A241" t="inlineStr">
        <is>
          <t>SR010</t>
        </is>
      </c>
      <c r="B241" t="inlineStr">
        <is>
          <t>営業担当010</t>
        </is>
      </c>
      <c r="C241" t="inlineStr">
        <is>
          <t>インサイドセールス部</t>
        </is>
      </c>
      <c r="D241" s="3" t="n">
        <v>46058</v>
      </c>
      <c r="E241" t="inlineStr">
        <is>
          <t>オーシャン製作所有限会社</t>
        </is>
      </c>
      <c r="F241" t="inlineStr">
        <is>
          <t>大阪府</t>
        </is>
      </c>
      <c r="G241" t="inlineStr">
        <is>
          <t>導入支援</t>
        </is>
      </c>
      <c r="H241" t="inlineStr">
        <is>
          <t>データ移行支援</t>
        </is>
      </c>
      <c r="I241" s="4" t="n">
        <v>5</v>
      </c>
      <c r="J241" s="4" t="n">
        <v>221100</v>
      </c>
      <c r="K241" s="4">
        <f>I241*J241</f>
        <v/>
      </c>
      <c r="L241" t="inlineStr"/>
    </row>
    <row r="242">
      <c r="A242" t="inlineStr">
        <is>
          <t>SR010</t>
        </is>
      </c>
      <c r="B242" t="inlineStr">
        <is>
          <t>営業担当010</t>
        </is>
      </c>
      <c r="C242" t="inlineStr">
        <is>
          <t>インサイドセールス部</t>
        </is>
      </c>
      <c r="D242" s="3" t="n">
        <v>46080</v>
      </c>
      <c r="E242" t="inlineStr">
        <is>
          <t>オーシャン製作所有限会社</t>
        </is>
      </c>
      <c r="F242" t="inlineStr">
        <is>
          <t>北海道</t>
        </is>
      </c>
      <c r="G242" t="inlineStr">
        <is>
          <t>ハードウェア</t>
        </is>
      </c>
      <c r="H242" t="inlineStr">
        <is>
          <t>小型ハンディ端末</t>
        </is>
      </c>
      <c r="I242" s="4" t="n">
        <v>4</v>
      </c>
      <c r="J242" s="4" t="n">
        <v>97700</v>
      </c>
      <c r="K242" s="4">
        <f>I242*J242</f>
        <v/>
      </c>
      <c r="L242" t="inlineStr">
        <is>
          <t>分納</t>
        </is>
      </c>
    </row>
    <row r="243">
      <c r="A243" t="inlineStr">
        <is>
          <t>SR010</t>
        </is>
      </c>
      <c r="B243" t="inlineStr">
        <is>
          <t>営業担当010</t>
        </is>
      </c>
      <c r="C243" t="inlineStr">
        <is>
          <t>インサイドセールス部</t>
        </is>
      </c>
      <c r="D243" s="3" t="n">
        <v>46097</v>
      </c>
      <c r="E243" t="inlineStr">
        <is>
          <t>サンライズ建設(株)</t>
        </is>
      </c>
      <c r="F243" t="inlineStr">
        <is>
          <t>東京都</t>
        </is>
      </c>
      <c r="G243" t="inlineStr">
        <is>
          <t>ソフトウェア</t>
        </is>
      </c>
      <c r="H243" t="inlineStr">
        <is>
          <t>AIチャットボット</t>
        </is>
      </c>
      <c r="I243" s="4" t="n">
        <v>5</v>
      </c>
      <c r="J243" s="4" t="n">
        <v>624500</v>
      </c>
      <c r="K243" s="4">
        <f>I243*J243</f>
        <v/>
      </c>
      <c r="L243" t="inlineStr">
        <is>
          <t>大型案件</t>
        </is>
      </c>
    </row>
    <row r="244">
      <c r="A244" t="inlineStr">
        <is>
          <t>SR010</t>
        </is>
      </c>
      <c r="B244" t="inlineStr">
        <is>
          <t>営業担当010</t>
        </is>
      </c>
      <c r="C244" t="inlineStr">
        <is>
          <t>インサイドセールス部</t>
        </is>
      </c>
      <c r="D244" s="3" t="n">
        <v>46108</v>
      </c>
      <c r="E244" t="inlineStr">
        <is>
          <t>九州エナジー有限会社</t>
        </is>
      </c>
      <c r="F244" t="inlineStr">
        <is>
          <t>兵庫県</t>
        </is>
      </c>
      <c r="G244" t="inlineStr">
        <is>
          <t>ハードウェア</t>
        </is>
      </c>
      <c r="H244" t="inlineStr">
        <is>
          <t>小型ハンディ端末</t>
        </is>
      </c>
      <c r="I244" s="4" t="n">
        <v>4</v>
      </c>
      <c r="J244" s="4" t="n">
        <v>96400</v>
      </c>
      <c r="K244" s="4">
        <f>I244*J244</f>
        <v/>
      </c>
      <c r="L244" t="inlineStr"/>
    </row>
    <row r="245">
      <c r="A245" t="inlineStr">
        <is>
          <t>SR011</t>
        </is>
      </c>
      <c r="B245" t="inlineStr">
        <is>
          <t>営業担当011</t>
        </is>
      </c>
      <c r="C245" t="inlineStr">
        <is>
          <t>第1営業部</t>
        </is>
      </c>
      <c r="D245" s="3" t="n">
        <v>45754</v>
      </c>
      <c r="E245" t="inlineStr">
        <is>
          <t>青葉商事(株)</t>
        </is>
      </c>
      <c r="F245" t="inlineStr">
        <is>
          <t>北海道</t>
        </is>
      </c>
      <c r="G245" t="inlineStr">
        <is>
          <t>導入支援</t>
        </is>
      </c>
      <c r="H245" t="inlineStr">
        <is>
          <t>初期設定支援</t>
        </is>
      </c>
      <c r="I245" s="4" t="n">
        <v>4</v>
      </c>
      <c r="J245" s="4" t="n">
        <v>191400</v>
      </c>
      <c r="K245" s="4">
        <f>I245*J245</f>
        <v/>
      </c>
      <c r="L245" t="inlineStr">
        <is>
          <t>大型案件</t>
        </is>
      </c>
    </row>
    <row r="246">
      <c r="A246" t="inlineStr">
        <is>
          <t>SR011</t>
        </is>
      </c>
      <c r="B246" t="inlineStr">
        <is>
          <t>営業担当011</t>
        </is>
      </c>
      <c r="C246" t="inlineStr">
        <is>
          <t>第1営業部</t>
        </is>
      </c>
      <c r="D246" s="3" t="n">
        <v>45754</v>
      </c>
      <c r="E246" t="inlineStr">
        <is>
          <t>星和商会(株)</t>
        </is>
      </c>
      <c r="F246" t="inlineStr">
        <is>
          <t>東京都</t>
        </is>
      </c>
      <c r="G246" t="inlineStr">
        <is>
          <t>ソフトウェア</t>
        </is>
      </c>
      <c r="H246" t="inlineStr">
        <is>
          <t>帳票自動化ツール</t>
        </is>
      </c>
      <c r="I246" s="4" t="n">
        <v>4</v>
      </c>
      <c r="J246" s="4" t="n">
        <v>394700</v>
      </c>
      <c r="K246" s="4">
        <f>I246*J246</f>
        <v/>
      </c>
      <c r="L246" t="inlineStr">
        <is>
          <t>分納</t>
        </is>
      </c>
    </row>
    <row r="247">
      <c r="A247" t="inlineStr">
        <is>
          <t>SR011</t>
        </is>
      </c>
      <c r="B247" t="inlineStr">
        <is>
          <t>営業担当011</t>
        </is>
      </c>
      <c r="C247" t="inlineStr">
        <is>
          <t>第1営業部</t>
        </is>
      </c>
      <c r="D247" s="3" t="n">
        <v>45787</v>
      </c>
      <c r="E247" t="inlineStr">
        <is>
          <t>九州エナジー株式会社</t>
        </is>
      </c>
      <c r="F247" t="inlineStr">
        <is>
          <t>大阪府</t>
        </is>
      </c>
      <c r="G247" t="inlineStr">
        <is>
          <t>導入支援</t>
        </is>
      </c>
      <c r="H247" t="inlineStr">
        <is>
          <t>初期設定支援</t>
        </is>
      </c>
      <c r="I247" s="4" t="n">
        <v>3</v>
      </c>
      <c r="J247" s="4" t="n">
        <v>198900</v>
      </c>
      <c r="K247" s="4">
        <f>I247*J247</f>
        <v/>
      </c>
      <c r="L247" t="inlineStr">
        <is>
          <t>新規開拓</t>
        </is>
      </c>
    </row>
    <row r="248">
      <c r="A248" t="inlineStr">
        <is>
          <t>SR011</t>
        </is>
      </c>
      <c r="B248" t="inlineStr">
        <is>
          <t>営業担当011</t>
        </is>
      </c>
      <c r="C248" t="inlineStr">
        <is>
          <t>第1営業部</t>
        </is>
      </c>
      <c r="D248" s="3" t="n">
        <v>45791</v>
      </c>
      <c r="E248" t="inlineStr">
        <is>
          <t>大和精機有限会社</t>
        </is>
      </c>
      <c r="F248" t="inlineStr">
        <is>
          <t>広島県</t>
        </is>
      </c>
      <c r="G248" t="inlineStr">
        <is>
          <t>ソフトウェア</t>
        </is>
      </c>
      <c r="H248" t="inlineStr">
        <is>
          <t>営業支援SaaS</t>
        </is>
      </c>
      <c r="I248" s="4" t="n">
        <v>5</v>
      </c>
      <c r="J248" s="4" t="n">
        <v>204900</v>
      </c>
      <c r="K248" s="4">
        <f>I248*J248</f>
        <v/>
      </c>
      <c r="L248" t="inlineStr">
        <is>
          <t>値引き調整あり</t>
        </is>
      </c>
    </row>
    <row r="249">
      <c r="A249" t="inlineStr">
        <is>
          <t>SR011</t>
        </is>
      </c>
      <c r="B249" t="inlineStr">
        <is>
          <t>営業担当011</t>
        </is>
      </c>
      <c r="C249" t="inlineStr">
        <is>
          <t>第1営業部</t>
        </is>
      </c>
      <c r="D249" s="3" t="n">
        <v>45819</v>
      </c>
      <c r="E249" t="inlineStr">
        <is>
          <t>ネクストソリューション有限会社</t>
        </is>
      </c>
      <c r="F249" t="inlineStr">
        <is>
          <t>宮城県</t>
        </is>
      </c>
      <c r="G249" t="inlineStr">
        <is>
          <t>保守サービス</t>
        </is>
      </c>
      <c r="H249" t="inlineStr">
        <is>
          <t>年間保守契約</t>
        </is>
      </c>
      <c r="I249" s="4" t="n">
        <v>4</v>
      </c>
      <c r="J249" s="4" t="n">
        <v>278300</v>
      </c>
      <c r="K249" s="4">
        <f>I249*J249</f>
        <v/>
      </c>
      <c r="L249" t="inlineStr">
        <is>
          <t>新規開拓</t>
        </is>
      </c>
    </row>
    <row r="250">
      <c r="A250" t="inlineStr">
        <is>
          <t>SR011</t>
        </is>
      </c>
      <c r="B250" t="inlineStr">
        <is>
          <t>営業担当011</t>
        </is>
      </c>
      <c r="C250" t="inlineStr">
        <is>
          <t>第1営業部</t>
        </is>
      </c>
      <c r="D250" s="3" t="n">
        <v>45833</v>
      </c>
      <c r="E250" t="inlineStr">
        <is>
          <t>日新サービス(株)</t>
        </is>
      </c>
      <c r="F250" t="inlineStr">
        <is>
          <t>東京都</t>
        </is>
      </c>
      <c r="G250" t="inlineStr">
        <is>
          <t>導入支援</t>
        </is>
      </c>
      <c r="H250" t="inlineStr">
        <is>
          <t>初期設定支援</t>
        </is>
      </c>
      <c r="I250" s="4" t="n">
        <v>5</v>
      </c>
      <c r="J250" s="4" t="n">
        <v>165000</v>
      </c>
      <c r="K250" s="4">
        <f>I250*J250</f>
        <v/>
      </c>
      <c r="L250" t="inlineStr">
        <is>
          <t>大型案件</t>
        </is>
      </c>
    </row>
    <row r="251">
      <c r="A251" t="inlineStr">
        <is>
          <t>SR011</t>
        </is>
      </c>
      <c r="B251" t="inlineStr">
        <is>
          <t>営業担当011</t>
        </is>
      </c>
      <c r="C251" t="inlineStr">
        <is>
          <t>第1営業部</t>
        </is>
      </c>
      <c r="D251" s="3" t="n">
        <v>45850</v>
      </c>
      <c r="E251" t="inlineStr">
        <is>
          <t>九州エナジー(株)</t>
        </is>
      </c>
      <c r="F251" t="inlineStr">
        <is>
          <t>大阪府</t>
        </is>
      </c>
      <c r="G251" t="inlineStr">
        <is>
          <t>導入支援</t>
        </is>
      </c>
      <c r="H251" t="inlineStr">
        <is>
          <t>操作研修パック</t>
        </is>
      </c>
      <c r="I251" s="4" t="n">
        <v>4</v>
      </c>
      <c r="J251" s="4" t="n">
        <v>142600</v>
      </c>
      <c r="K251" s="4">
        <f>I251*J251</f>
        <v/>
      </c>
      <c r="L251" t="inlineStr">
        <is>
          <t>リピート受注</t>
        </is>
      </c>
    </row>
    <row r="252">
      <c r="A252" t="inlineStr">
        <is>
          <t>SR011</t>
        </is>
      </c>
      <c r="B252" t="inlineStr">
        <is>
          <t>営業担当011</t>
        </is>
      </c>
      <c r="C252" t="inlineStr">
        <is>
          <t>第1営業部</t>
        </is>
      </c>
      <c r="D252" s="3" t="n">
        <v>45856</v>
      </c>
      <c r="E252" t="inlineStr">
        <is>
          <t>福岡流通有限会社</t>
        </is>
      </c>
      <c r="F252" t="inlineStr">
        <is>
          <t>神奈川県</t>
        </is>
      </c>
      <c r="G252" t="inlineStr">
        <is>
          <t>消耗品</t>
        </is>
      </c>
      <c r="H252" t="inlineStr">
        <is>
          <t>保守用バッテリー</t>
        </is>
      </c>
      <c r="I252" s="4" t="n">
        <v>4</v>
      </c>
      <c r="J252" s="4" t="n">
        <v>10840</v>
      </c>
      <c r="K252" s="4">
        <f>I252*J252</f>
        <v/>
      </c>
      <c r="L252" t="inlineStr">
        <is>
          <t>リピート受注</t>
        </is>
      </c>
    </row>
    <row r="253">
      <c r="A253" t="inlineStr">
        <is>
          <t>SR011</t>
        </is>
      </c>
      <c r="B253" t="inlineStr">
        <is>
          <t>営業担当011</t>
        </is>
      </c>
      <c r="C253" t="inlineStr">
        <is>
          <t>第1営業部</t>
        </is>
      </c>
      <c r="D253" s="3" t="n">
        <v>45887</v>
      </c>
      <c r="E253" t="inlineStr">
        <is>
          <t>サンライズ建設株式会社</t>
        </is>
      </c>
      <c r="F253" t="inlineStr">
        <is>
          <t>神奈川県</t>
        </is>
      </c>
      <c r="G253" t="inlineStr">
        <is>
          <t>保守サービス</t>
        </is>
      </c>
      <c r="H253" t="inlineStr">
        <is>
          <t>ヘルプデスク契約</t>
        </is>
      </c>
      <c r="I253" s="4" t="n">
        <v>2</v>
      </c>
      <c r="J253" s="4" t="n">
        <v>106600</v>
      </c>
      <c r="K253" s="4">
        <f>I253*J253</f>
        <v/>
      </c>
      <c r="L253" t="inlineStr">
        <is>
          <t>分納</t>
        </is>
      </c>
    </row>
    <row r="254">
      <c r="A254" t="inlineStr">
        <is>
          <t>SR011</t>
        </is>
      </c>
      <c r="B254" t="inlineStr">
        <is>
          <t>営業担当011</t>
        </is>
      </c>
      <c r="C254" t="inlineStr">
        <is>
          <t>第1営業部</t>
        </is>
      </c>
      <c r="D254" s="3" t="n">
        <v>45896</v>
      </c>
      <c r="E254" t="inlineStr">
        <is>
          <t>ライトホーム有限会社</t>
        </is>
      </c>
      <c r="F254" t="inlineStr">
        <is>
          <t>兵庫県</t>
        </is>
      </c>
      <c r="G254" t="inlineStr">
        <is>
          <t>ソフトウェア</t>
        </is>
      </c>
      <c r="H254" t="inlineStr">
        <is>
          <t>営業支援SaaS</t>
        </is>
      </c>
      <c r="I254" s="4" t="n">
        <v>1</v>
      </c>
      <c r="J254" s="4" t="n">
        <v>281300</v>
      </c>
      <c r="K254" s="4">
        <f>I254*J254</f>
        <v/>
      </c>
      <c r="L254" t="inlineStr">
        <is>
          <t>新規開拓</t>
        </is>
      </c>
    </row>
    <row r="255">
      <c r="A255" t="inlineStr">
        <is>
          <t>SR011</t>
        </is>
      </c>
      <c r="B255" t="inlineStr">
        <is>
          <t>営業担当011</t>
        </is>
      </c>
      <c r="C255" t="inlineStr">
        <is>
          <t>第1営業部</t>
        </is>
      </c>
      <c r="D255" s="3" t="n">
        <v>45911</v>
      </c>
      <c r="E255" t="inlineStr">
        <is>
          <t>ネクストソリューション(株)</t>
        </is>
      </c>
      <c r="F255" t="inlineStr">
        <is>
          <t>京都府</t>
        </is>
      </c>
      <c r="G255" t="inlineStr">
        <is>
          <t>保守サービス</t>
        </is>
      </c>
      <c r="H255" t="inlineStr">
        <is>
          <t>オンサイト保守</t>
        </is>
      </c>
      <c r="I255" s="4" t="n">
        <v>1</v>
      </c>
      <c r="J255" s="4" t="n">
        <v>157400</v>
      </c>
      <c r="K255" s="4">
        <f>I255*J255</f>
        <v/>
      </c>
      <c r="L255" t="inlineStr">
        <is>
          <t>値引き調整あり</t>
        </is>
      </c>
    </row>
    <row r="256">
      <c r="A256" t="inlineStr">
        <is>
          <t>SR011</t>
        </is>
      </c>
      <c r="B256" t="inlineStr">
        <is>
          <t>営業担当011</t>
        </is>
      </c>
      <c r="C256" t="inlineStr">
        <is>
          <t>第1営業部</t>
        </is>
      </c>
      <c r="D256" s="3" t="n">
        <v>45926</v>
      </c>
      <c r="E256" t="inlineStr">
        <is>
          <t>オーシャン製作所有限会社</t>
        </is>
      </c>
      <c r="F256" t="inlineStr">
        <is>
          <t>北海道</t>
        </is>
      </c>
      <c r="G256" t="inlineStr">
        <is>
          <t>ハードウェア</t>
        </is>
      </c>
      <c r="H256" t="inlineStr">
        <is>
          <t>小型ハンディ端末</t>
        </is>
      </c>
      <c r="I256" s="4" t="n">
        <v>5</v>
      </c>
      <c r="J256" s="4" t="n">
        <v>97100</v>
      </c>
      <c r="K256" s="4">
        <f>I256*J256</f>
        <v/>
      </c>
      <c r="L256" t="inlineStr">
        <is>
          <t>キャンペーン適用</t>
        </is>
      </c>
    </row>
    <row r="257">
      <c r="A257" t="inlineStr">
        <is>
          <t>SR011</t>
        </is>
      </c>
      <c r="B257" t="inlineStr">
        <is>
          <t>営業担当011</t>
        </is>
      </c>
      <c r="C257" t="inlineStr">
        <is>
          <t>第1営業部</t>
        </is>
      </c>
      <c r="D257" s="3" t="n">
        <v>45943</v>
      </c>
      <c r="E257" t="inlineStr">
        <is>
          <t>日新サービス(株)</t>
        </is>
      </c>
      <c r="F257" t="inlineStr">
        <is>
          <t>福岡県</t>
        </is>
      </c>
      <c r="G257" t="inlineStr">
        <is>
          <t>保守サービス</t>
        </is>
      </c>
      <c r="H257" t="inlineStr">
        <is>
          <t>年間保守契約</t>
        </is>
      </c>
      <c r="I257" s="4" t="n">
        <v>3</v>
      </c>
      <c r="J257" s="4" t="n">
        <v>92300</v>
      </c>
      <c r="K257" s="4">
        <f>I257*J257</f>
        <v/>
      </c>
      <c r="L257" t="inlineStr">
        <is>
          <t>新規開拓</t>
        </is>
      </c>
    </row>
    <row r="258">
      <c r="A258" t="inlineStr">
        <is>
          <t>SR011</t>
        </is>
      </c>
      <c r="B258" t="inlineStr">
        <is>
          <t>営業担当011</t>
        </is>
      </c>
      <c r="C258" t="inlineStr">
        <is>
          <t>第1営業部</t>
        </is>
      </c>
      <c r="D258" s="3" t="n">
        <v>45947</v>
      </c>
      <c r="E258" t="inlineStr">
        <is>
          <t>北斗産業株式会社</t>
        </is>
      </c>
      <c r="F258" t="inlineStr">
        <is>
          <t>東京都</t>
        </is>
      </c>
      <c r="G258" t="inlineStr">
        <is>
          <t>ハードウェア</t>
        </is>
      </c>
      <c r="H258" t="inlineStr">
        <is>
          <t>ラベルプリンター</t>
        </is>
      </c>
      <c r="I258" s="4" t="n">
        <v>4</v>
      </c>
      <c r="J258" s="4" t="n">
        <v>64500</v>
      </c>
      <c r="K258" s="4">
        <f>I258*J258</f>
        <v/>
      </c>
      <c r="L258" t="inlineStr">
        <is>
          <t>分納</t>
        </is>
      </c>
    </row>
    <row r="259">
      <c r="A259" t="inlineStr">
        <is>
          <t>SR011</t>
        </is>
      </c>
      <c r="B259" t="inlineStr">
        <is>
          <t>営業担当011</t>
        </is>
      </c>
      <c r="C259" t="inlineStr">
        <is>
          <t>第1営業部</t>
        </is>
      </c>
      <c r="D259" s="3" t="n">
        <v>45966</v>
      </c>
      <c r="E259" t="inlineStr">
        <is>
          <t>ライトホーム有限会社</t>
        </is>
      </c>
      <c r="F259" t="inlineStr">
        <is>
          <t>福岡県</t>
        </is>
      </c>
      <c r="G259" t="inlineStr">
        <is>
          <t>保守サービス</t>
        </is>
      </c>
      <c r="H259" t="inlineStr">
        <is>
          <t>ヘルプデスク契約</t>
        </is>
      </c>
      <c r="I259" s="4" t="n">
        <v>3</v>
      </c>
      <c r="J259" s="4" t="n">
        <v>52600</v>
      </c>
      <c r="K259" s="4">
        <f>I259*J259</f>
        <v/>
      </c>
      <c r="L259" t="inlineStr">
        <is>
          <t>キャンペーン適用</t>
        </is>
      </c>
    </row>
    <row r="260">
      <c r="A260" t="inlineStr">
        <is>
          <t>SR011</t>
        </is>
      </c>
      <c r="B260" t="inlineStr">
        <is>
          <t>営業担当011</t>
        </is>
      </c>
      <c r="C260" t="inlineStr">
        <is>
          <t>第1営業部</t>
        </is>
      </c>
      <c r="D260" s="3" t="n">
        <v>45976</v>
      </c>
      <c r="E260" t="inlineStr">
        <is>
          <t>未来通信有限会社</t>
        </is>
      </c>
      <c r="F260" t="inlineStr">
        <is>
          <t>広島県</t>
        </is>
      </c>
      <c r="G260" t="inlineStr">
        <is>
          <t>ハードウェア</t>
        </is>
      </c>
      <c r="H260" t="inlineStr">
        <is>
          <t>小型ハンディ端末</t>
        </is>
      </c>
      <c r="I260" s="4" t="n">
        <v>5</v>
      </c>
      <c r="J260" s="4" t="n">
        <v>72700</v>
      </c>
      <c r="K260" s="4">
        <f>I260*J260</f>
        <v/>
      </c>
      <c r="L260" t="inlineStr">
        <is>
          <t>値引き調整あり</t>
        </is>
      </c>
    </row>
    <row r="261">
      <c r="A261" t="inlineStr">
        <is>
          <t>SR011</t>
        </is>
      </c>
      <c r="B261" t="inlineStr">
        <is>
          <t>営業担当011</t>
        </is>
      </c>
      <c r="C261" t="inlineStr">
        <is>
          <t>第1営業部</t>
        </is>
      </c>
      <c r="D261" s="3" t="n">
        <v>46011</v>
      </c>
      <c r="E261" t="inlineStr">
        <is>
          <t>サンライズ建設有限会社</t>
        </is>
      </c>
      <c r="F261" t="inlineStr">
        <is>
          <t>北海道</t>
        </is>
      </c>
      <c r="G261" t="inlineStr">
        <is>
          <t>消耗品</t>
        </is>
      </c>
      <c r="H261" t="inlineStr">
        <is>
          <t>交換用ヘッド</t>
        </is>
      </c>
      <c r="I261" s="4" t="n">
        <v>9</v>
      </c>
      <c r="J261" s="4" t="n">
        <v>32060</v>
      </c>
      <c r="K261" s="4">
        <f>I261*J261</f>
        <v/>
      </c>
      <c r="L261" t="inlineStr">
        <is>
          <t>リピート受注</t>
        </is>
      </c>
    </row>
    <row r="262">
      <c r="A262" t="inlineStr">
        <is>
          <t>SR011</t>
        </is>
      </c>
      <c r="B262" t="inlineStr">
        <is>
          <t>営業担当011</t>
        </is>
      </c>
      <c r="C262" t="inlineStr">
        <is>
          <t>第1営業部</t>
        </is>
      </c>
      <c r="D262" s="3" t="n">
        <v>46014</v>
      </c>
      <c r="E262" t="inlineStr">
        <is>
          <t>未来通信株式会社</t>
        </is>
      </c>
      <c r="F262" t="inlineStr">
        <is>
          <t>大阪府</t>
        </is>
      </c>
      <c r="G262" t="inlineStr">
        <is>
          <t>消耗品</t>
        </is>
      </c>
      <c r="H262" t="inlineStr">
        <is>
          <t>交換用ヘッド</t>
        </is>
      </c>
      <c r="I262" s="4" t="n">
        <v>10</v>
      </c>
      <c r="J262" s="4" t="n">
        <v>21800</v>
      </c>
      <c r="K262" s="4">
        <f>I262*J262</f>
        <v/>
      </c>
      <c r="L262" t="inlineStr">
        <is>
          <t>大型案件</t>
        </is>
      </c>
    </row>
    <row r="263">
      <c r="A263" t="inlineStr">
        <is>
          <t>SR011</t>
        </is>
      </c>
      <c r="B263" t="inlineStr">
        <is>
          <t>営業担当011</t>
        </is>
      </c>
      <c r="C263" t="inlineStr">
        <is>
          <t>第1営業部</t>
        </is>
      </c>
      <c r="D263" s="3" t="n">
        <v>46024</v>
      </c>
      <c r="E263" t="inlineStr">
        <is>
          <t>大和精機株式会社</t>
        </is>
      </c>
      <c r="F263" t="inlineStr">
        <is>
          <t>愛知県</t>
        </is>
      </c>
      <c r="G263" t="inlineStr">
        <is>
          <t>ソフトウェア</t>
        </is>
      </c>
      <c r="H263" t="inlineStr">
        <is>
          <t>在庫管理クラウド</t>
        </is>
      </c>
      <c r="I263" s="4" t="n">
        <v>4</v>
      </c>
      <c r="J263" s="4" t="n">
        <v>315200</v>
      </c>
      <c r="K263" s="4">
        <f>I263*J263</f>
        <v/>
      </c>
      <c r="L263" t="inlineStr">
        <is>
          <t>分納</t>
        </is>
      </c>
    </row>
    <row r="264">
      <c r="A264" t="inlineStr">
        <is>
          <t>SR011</t>
        </is>
      </c>
      <c r="B264" t="inlineStr">
        <is>
          <t>営業担当011</t>
        </is>
      </c>
      <c r="C264" t="inlineStr">
        <is>
          <t>第1営業部</t>
        </is>
      </c>
      <c r="D264" s="3" t="n">
        <v>46038</v>
      </c>
      <c r="E264" t="inlineStr">
        <is>
          <t>青葉商事(株)</t>
        </is>
      </c>
      <c r="F264" t="inlineStr">
        <is>
          <t>北海道</t>
        </is>
      </c>
      <c r="G264" t="inlineStr">
        <is>
          <t>ソフトウェア</t>
        </is>
      </c>
      <c r="H264" t="inlineStr">
        <is>
          <t>AIチャットボット</t>
        </is>
      </c>
      <c r="I264" s="4" t="n">
        <v>5</v>
      </c>
      <c r="J264" s="4" t="n">
        <v>502000</v>
      </c>
      <c r="K264" s="4">
        <f>I264*J264</f>
        <v/>
      </c>
      <c r="L264" t="inlineStr"/>
    </row>
    <row r="265">
      <c r="A265" t="inlineStr">
        <is>
          <t>SR011</t>
        </is>
      </c>
      <c r="B265" t="inlineStr">
        <is>
          <t>営業担当011</t>
        </is>
      </c>
      <c r="C265" t="inlineStr">
        <is>
          <t>第1営業部</t>
        </is>
      </c>
      <c r="D265" s="3" t="n">
        <v>46057</v>
      </c>
      <c r="E265" t="inlineStr">
        <is>
          <t>グリーンテック株式会社</t>
        </is>
      </c>
      <c r="F265" t="inlineStr">
        <is>
          <t>京都府</t>
        </is>
      </c>
      <c r="G265" t="inlineStr">
        <is>
          <t>ハードウェア</t>
        </is>
      </c>
      <c r="H265" t="inlineStr">
        <is>
          <t>ネットワークカメラ</t>
        </is>
      </c>
      <c r="I265" s="4" t="n">
        <v>4</v>
      </c>
      <c r="J265" s="4" t="n">
        <v>72800</v>
      </c>
      <c r="K265" s="4">
        <f>I265*J265</f>
        <v/>
      </c>
      <c r="L265" t="inlineStr">
        <is>
          <t>大型案件</t>
        </is>
      </c>
    </row>
    <row r="266">
      <c r="A266" t="inlineStr">
        <is>
          <t>SR011</t>
        </is>
      </c>
      <c r="B266" t="inlineStr">
        <is>
          <t>営業担当011</t>
        </is>
      </c>
      <c r="C266" t="inlineStr">
        <is>
          <t>第1営業部</t>
        </is>
      </c>
      <c r="D266" s="3" t="n">
        <v>46073</v>
      </c>
      <c r="E266" t="inlineStr">
        <is>
          <t>ネクストソリューション(株)</t>
        </is>
      </c>
      <c r="F266" t="inlineStr">
        <is>
          <t>兵庫県</t>
        </is>
      </c>
      <c r="G266" t="inlineStr">
        <is>
          <t>消耗品</t>
        </is>
      </c>
      <c r="H266" t="inlineStr">
        <is>
          <t>ラベルロール</t>
        </is>
      </c>
      <c r="I266" s="4" t="n">
        <v>12</v>
      </c>
      <c r="J266" s="4" t="n">
        <v>3250</v>
      </c>
      <c r="K266" s="4">
        <f>I266*J266</f>
        <v/>
      </c>
      <c r="L266" t="inlineStr">
        <is>
          <t>分納</t>
        </is>
      </c>
    </row>
    <row r="267">
      <c r="A267" t="inlineStr">
        <is>
          <t>SR011</t>
        </is>
      </c>
      <c r="B267" t="inlineStr">
        <is>
          <t>営業担当011</t>
        </is>
      </c>
      <c r="C267" t="inlineStr">
        <is>
          <t>第1営業部</t>
        </is>
      </c>
      <c r="D267" s="3" t="n">
        <v>46087</v>
      </c>
      <c r="E267" t="inlineStr">
        <is>
          <t>大和精機有限会社</t>
        </is>
      </c>
      <c r="F267" t="inlineStr">
        <is>
          <t>兵庫県</t>
        </is>
      </c>
      <c r="G267" t="inlineStr">
        <is>
          <t>導入支援</t>
        </is>
      </c>
      <c r="H267" t="inlineStr">
        <is>
          <t>初期設定支援</t>
        </is>
      </c>
      <c r="I267" s="4" t="n">
        <v>2</v>
      </c>
      <c r="J267" s="4" t="n">
        <v>56400</v>
      </c>
      <c r="K267" s="4">
        <f>I267*J267</f>
        <v/>
      </c>
      <c r="L267" t="inlineStr"/>
    </row>
    <row r="268">
      <c r="A268" t="inlineStr">
        <is>
          <t>SR011</t>
        </is>
      </c>
      <c r="B268" t="inlineStr">
        <is>
          <t>営業担当011</t>
        </is>
      </c>
      <c r="C268" t="inlineStr">
        <is>
          <t>第1営業部</t>
        </is>
      </c>
      <c r="D268" s="3" t="n">
        <v>46106</v>
      </c>
      <c r="E268" t="inlineStr">
        <is>
          <t>サンライズ建設(株)</t>
        </is>
      </c>
      <c r="F268" t="inlineStr">
        <is>
          <t>神奈川県</t>
        </is>
      </c>
      <c r="G268" t="inlineStr">
        <is>
          <t>ソフトウェア</t>
        </is>
      </c>
      <c r="H268" t="inlineStr">
        <is>
          <t>在庫管理クラウド</t>
        </is>
      </c>
      <c r="I268" s="4" t="n">
        <v>5</v>
      </c>
      <c r="J268" s="4" t="n">
        <v>275100</v>
      </c>
      <c r="K268" s="4">
        <f>I268*J268</f>
        <v/>
      </c>
      <c r="L268" t="inlineStr">
        <is>
          <t>値引き調整あり</t>
        </is>
      </c>
    </row>
    <row r="269">
      <c r="A269" t="inlineStr">
        <is>
          <t>SR012</t>
        </is>
      </c>
      <c r="B269" t="inlineStr">
        <is>
          <t>営業担当012</t>
        </is>
      </c>
      <c r="C269" t="inlineStr">
        <is>
          <t>第2営業部</t>
        </is>
      </c>
      <c r="D269" s="3" t="n">
        <v>45750</v>
      </c>
      <c r="E269" t="inlineStr">
        <is>
          <t>星和商会株式会社</t>
        </is>
      </c>
      <c r="F269" t="inlineStr">
        <is>
          <t>東京都</t>
        </is>
      </c>
      <c r="G269" t="inlineStr">
        <is>
          <t>消耗品</t>
        </is>
      </c>
      <c r="H269" t="inlineStr">
        <is>
          <t>交換用ヘッド</t>
        </is>
      </c>
      <c r="I269" s="4" t="n">
        <v>4</v>
      </c>
      <c r="J269" s="4" t="n">
        <v>35450</v>
      </c>
      <c r="K269" s="4">
        <f>I269*J269</f>
        <v/>
      </c>
      <c r="L269" t="inlineStr">
        <is>
          <t>値引き調整あり</t>
        </is>
      </c>
    </row>
    <row r="270">
      <c r="A270" t="inlineStr">
        <is>
          <t>SR012</t>
        </is>
      </c>
      <c r="B270" t="inlineStr">
        <is>
          <t>営業担当012</t>
        </is>
      </c>
      <c r="C270" t="inlineStr">
        <is>
          <t>第2営業部</t>
        </is>
      </c>
      <c r="D270" s="3" t="n">
        <v>45771</v>
      </c>
      <c r="E270" t="inlineStr">
        <is>
          <t>北斗産業株式会社</t>
        </is>
      </c>
      <c r="F270" t="inlineStr">
        <is>
          <t>宮城県</t>
        </is>
      </c>
      <c r="G270" t="inlineStr">
        <is>
          <t>ハードウェア</t>
        </is>
      </c>
      <c r="H270" t="inlineStr">
        <is>
          <t>産業用タブレット</t>
        </is>
      </c>
      <c r="I270" s="4" t="n">
        <v>4</v>
      </c>
      <c r="J270" s="4" t="n">
        <v>118700</v>
      </c>
      <c r="K270" s="4">
        <f>I270*J270</f>
        <v/>
      </c>
      <c r="L270" t="inlineStr"/>
    </row>
    <row r="271">
      <c r="A271" t="inlineStr">
        <is>
          <t>SR012</t>
        </is>
      </c>
      <c r="B271" t="inlineStr">
        <is>
          <t>営業担当012</t>
        </is>
      </c>
      <c r="C271" t="inlineStr">
        <is>
          <t>第2営業部</t>
        </is>
      </c>
      <c r="D271" s="3" t="n">
        <v>45782</v>
      </c>
      <c r="E271" t="inlineStr">
        <is>
          <t>西日本機工(株)</t>
        </is>
      </c>
      <c r="F271" t="inlineStr">
        <is>
          <t>京都府</t>
        </is>
      </c>
      <c r="G271" t="inlineStr">
        <is>
          <t>導入支援</t>
        </is>
      </c>
      <c r="H271" t="inlineStr">
        <is>
          <t>初期設定支援</t>
        </is>
      </c>
      <c r="I271" s="4" t="n">
        <v>2</v>
      </c>
      <c r="J271" s="4" t="n">
        <v>196800</v>
      </c>
      <c r="K271" s="4">
        <f>I271*J271</f>
        <v/>
      </c>
      <c r="L271" t="inlineStr">
        <is>
          <t>分納</t>
        </is>
      </c>
    </row>
    <row r="272">
      <c r="A272" t="inlineStr">
        <is>
          <t>SR012</t>
        </is>
      </c>
      <c r="B272" t="inlineStr">
        <is>
          <t>営業担当012</t>
        </is>
      </c>
      <c r="C272" t="inlineStr">
        <is>
          <t>第2営業部</t>
        </is>
      </c>
      <c r="D272" s="3" t="n">
        <v>45801</v>
      </c>
      <c r="E272" t="inlineStr">
        <is>
          <t>サンライズ建設株式会社</t>
        </is>
      </c>
      <c r="F272" t="inlineStr">
        <is>
          <t>東京都</t>
        </is>
      </c>
      <c r="G272" t="inlineStr">
        <is>
          <t>保守サービス</t>
        </is>
      </c>
      <c r="H272" t="inlineStr">
        <is>
          <t>ヘルプデスク契約</t>
        </is>
      </c>
      <c r="I272" s="4" t="n">
        <v>5</v>
      </c>
      <c r="J272" s="4" t="n">
        <v>46900</v>
      </c>
      <c r="K272" s="4">
        <f>I272*J272</f>
        <v/>
      </c>
      <c r="L272" t="inlineStr">
        <is>
          <t>新規開拓</t>
        </is>
      </c>
    </row>
    <row r="273">
      <c r="A273" t="inlineStr">
        <is>
          <t>SR012</t>
        </is>
      </c>
      <c r="B273" t="inlineStr">
        <is>
          <t>営業担当012</t>
        </is>
      </c>
      <c r="C273" t="inlineStr">
        <is>
          <t>第2営業部</t>
        </is>
      </c>
      <c r="D273" s="3" t="n">
        <v>45811</v>
      </c>
      <c r="E273" t="inlineStr">
        <is>
          <t>大和精機(株)</t>
        </is>
      </c>
      <c r="F273" t="inlineStr">
        <is>
          <t>東京都</t>
        </is>
      </c>
      <c r="G273" t="inlineStr">
        <is>
          <t>導入支援</t>
        </is>
      </c>
      <c r="H273" t="inlineStr">
        <is>
          <t>初期設定支援</t>
        </is>
      </c>
      <c r="I273" s="4" t="n">
        <v>5</v>
      </c>
      <c r="J273" s="4" t="n">
        <v>135000</v>
      </c>
      <c r="K273" s="4">
        <f>I273*J273</f>
        <v/>
      </c>
      <c r="L273" t="inlineStr">
        <is>
          <t>分納</t>
        </is>
      </c>
    </row>
    <row r="274">
      <c r="A274" t="inlineStr">
        <is>
          <t>SR012</t>
        </is>
      </c>
      <c r="B274" t="inlineStr">
        <is>
          <t>営業担当012</t>
        </is>
      </c>
      <c r="C274" t="inlineStr">
        <is>
          <t>第2営業部</t>
        </is>
      </c>
      <c r="D274" s="3" t="n">
        <v>45818</v>
      </c>
      <c r="E274" t="inlineStr">
        <is>
          <t>白峰化学有限会社</t>
        </is>
      </c>
      <c r="F274" t="inlineStr">
        <is>
          <t>京都府</t>
        </is>
      </c>
      <c r="G274" t="inlineStr">
        <is>
          <t>消耗品</t>
        </is>
      </c>
      <c r="H274" t="inlineStr">
        <is>
          <t>保守用バッテリー</t>
        </is>
      </c>
      <c r="I274" s="4" t="n">
        <v>15</v>
      </c>
      <c r="J274" s="4" t="n">
        <v>8540</v>
      </c>
      <c r="K274" s="4">
        <f>I274*J274</f>
        <v/>
      </c>
      <c r="L274" t="inlineStr">
        <is>
          <t>値引き調整あり</t>
        </is>
      </c>
    </row>
    <row r="275">
      <c r="A275" t="inlineStr">
        <is>
          <t>SR012</t>
        </is>
      </c>
      <c r="B275" t="inlineStr">
        <is>
          <t>営業担当012</t>
        </is>
      </c>
      <c r="C275" t="inlineStr">
        <is>
          <t>第2営業部</t>
        </is>
      </c>
      <c r="D275" s="3" t="n">
        <v>45853</v>
      </c>
      <c r="E275" t="inlineStr">
        <is>
          <t>未来通信株式会社</t>
        </is>
      </c>
      <c r="F275" t="inlineStr">
        <is>
          <t>大阪府</t>
        </is>
      </c>
      <c r="G275" t="inlineStr">
        <is>
          <t>保守サービス</t>
        </is>
      </c>
      <c r="H275" t="inlineStr">
        <is>
          <t>年間保守契約</t>
        </is>
      </c>
      <c r="I275" s="4" t="n">
        <v>4</v>
      </c>
      <c r="J275" s="4" t="n">
        <v>165300</v>
      </c>
      <c r="K275" s="4">
        <f>I275*J275</f>
        <v/>
      </c>
      <c r="L275" t="inlineStr"/>
    </row>
    <row r="276">
      <c r="A276" t="inlineStr">
        <is>
          <t>SR012</t>
        </is>
      </c>
      <c r="B276" t="inlineStr">
        <is>
          <t>営業担当012</t>
        </is>
      </c>
      <c r="C276" t="inlineStr">
        <is>
          <t>第2営業部</t>
        </is>
      </c>
      <c r="D276" s="3" t="n">
        <v>45857</v>
      </c>
      <c r="E276" t="inlineStr">
        <is>
          <t>北斗産業有限会社</t>
        </is>
      </c>
      <c r="F276" t="inlineStr">
        <is>
          <t>広島県</t>
        </is>
      </c>
      <c r="G276" t="inlineStr">
        <is>
          <t>保守サービス</t>
        </is>
      </c>
      <c r="H276" t="inlineStr">
        <is>
          <t>ヘルプデスク契約</t>
        </is>
      </c>
      <c r="I276" s="4" t="n">
        <v>1</v>
      </c>
      <c r="J276" s="4" t="n">
        <v>76500</v>
      </c>
      <c r="K276" s="4">
        <f>I276*J276</f>
        <v/>
      </c>
      <c r="L276" t="inlineStr">
        <is>
          <t>リピート受注</t>
        </is>
      </c>
    </row>
    <row r="277">
      <c r="A277" t="inlineStr">
        <is>
          <t>SR012</t>
        </is>
      </c>
      <c r="B277" t="inlineStr">
        <is>
          <t>営業担当012</t>
        </is>
      </c>
      <c r="C277" t="inlineStr">
        <is>
          <t>第2営業部</t>
        </is>
      </c>
      <c r="D277" s="3" t="n">
        <v>45870</v>
      </c>
      <c r="E277" t="inlineStr">
        <is>
          <t>オーシャン製作所(株)</t>
        </is>
      </c>
      <c r="F277" t="inlineStr">
        <is>
          <t>兵庫県</t>
        </is>
      </c>
      <c r="G277" t="inlineStr">
        <is>
          <t>ハードウェア</t>
        </is>
      </c>
      <c r="H277" t="inlineStr">
        <is>
          <t>小型ハンディ端末</t>
        </is>
      </c>
      <c r="I277" s="4" t="n">
        <v>5</v>
      </c>
      <c r="J277" s="4" t="n">
        <v>86500</v>
      </c>
      <c r="K277" s="4">
        <f>I277*J277</f>
        <v/>
      </c>
      <c r="L277" t="inlineStr">
        <is>
          <t>キャンペーン適用</t>
        </is>
      </c>
    </row>
    <row r="278">
      <c r="A278" t="inlineStr">
        <is>
          <t>SR012</t>
        </is>
      </c>
      <c r="B278" t="inlineStr">
        <is>
          <t>営業担当012</t>
        </is>
      </c>
      <c r="C278" t="inlineStr">
        <is>
          <t>第2営業部</t>
        </is>
      </c>
      <c r="D278" s="3" t="n">
        <v>45896</v>
      </c>
      <c r="E278" t="inlineStr">
        <is>
          <t>青葉商事有限会社</t>
        </is>
      </c>
      <c r="F278" t="inlineStr">
        <is>
          <t>愛知県</t>
        </is>
      </c>
      <c r="G278" t="inlineStr">
        <is>
          <t>消耗品</t>
        </is>
      </c>
      <c r="H278" t="inlineStr">
        <is>
          <t>ラベルロール</t>
        </is>
      </c>
      <c r="I278" s="4" t="n">
        <v>1</v>
      </c>
      <c r="J278" s="4" t="n">
        <v>10870</v>
      </c>
      <c r="K278" s="4">
        <f>I278*J278</f>
        <v/>
      </c>
      <c r="L278" t="inlineStr">
        <is>
          <t>新規開拓</t>
        </is>
      </c>
    </row>
    <row r="279">
      <c r="A279" t="inlineStr">
        <is>
          <t>SR012</t>
        </is>
      </c>
      <c r="B279" t="inlineStr">
        <is>
          <t>営業担当012</t>
        </is>
      </c>
      <c r="C279" t="inlineStr">
        <is>
          <t>第2営業部</t>
        </is>
      </c>
      <c r="D279" s="3" t="n">
        <v>45917</v>
      </c>
      <c r="E279" t="inlineStr">
        <is>
          <t>オーシャン製作所株式会社</t>
        </is>
      </c>
      <c r="F279" t="inlineStr">
        <is>
          <t>宮城県</t>
        </is>
      </c>
      <c r="G279" t="inlineStr">
        <is>
          <t>ソフトウェア</t>
        </is>
      </c>
      <c r="H279" t="inlineStr">
        <is>
          <t>営業支援SaaS</t>
        </is>
      </c>
      <c r="I279" s="4" t="n">
        <v>2</v>
      </c>
      <c r="J279" s="4" t="n">
        <v>315500</v>
      </c>
      <c r="K279" s="4">
        <f>I279*J279</f>
        <v/>
      </c>
      <c r="L279" t="inlineStr">
        <is>
          <t>新規開拓</t>
        </is>
      </c>
    </row>
    <row r="280">
      <c r="A280" t="inlineStr">
        <is>
          <t>SR012</t>
        </is>
      </c>
      <c r="B280" t="inlineStr">
        <is>
          <t>営業担当012</t>
        </is>
      </c>
      <c r="C280" t="inlineStr">
        <is>
          <t>第2営業部</t>
        </is>
      </c>
      <c r="D280" s="3" t="n">
        <v>45923</v>
      </c>
      <c r="E280" t="inlineStr">
        <is>
          <t>みらい物流有限会社</t>
        </is>
      </c>
      <c r="F280" t="inlineStr">
        <is>
          <t>東京都</t>
        </is>
      </c>
      <c r="G280" t="inlineStr">
        <is>
          <t>ソフトウェア</t>
        </is>
      </c>
      <c r="H280" t="inlineStr">
        <is>
          <t>AIチャットボット</t>
        </is>
      </c>
      <c r="I280" s="4" t="n">
        <v>1</v>
      </c>
      <c r="J280" s="4" t="n">
        <v>485100</v>
      </c>
      <c r="K280" s="4">
        <f>I280*J280</f>
        <v/>
      </c>
      <c r="L280" t="inlineStr">
        <is>
          <t>キャンペーン適用</t>
        </is>
      </c>
    </row>
    <row r="281">
      <c r="A281" t="inlineStr">
        <is>
          <t>SR012</t>
        </is>
      </c>
      <c r="B281" t="inlineStr">
        <is>
          <t>営業担当012</t>
        </is>
      </c>
      <c r="C281" t="inlineStr">
        <is>
          <t>第2営業部</t>
        </is>
      </c>
      <c r="D281" s="3" t="n">
        <v>45936</v>
      </c>
      <c r="E281" t="inlineStr">
        <is>
          <t>グリーンテック有限会社</t>
        </is>
      </c>
      <c r="F281" t="inlineStr">
        <is>
          <t>宮城県</t>
        </is>
      </c>
      <c r="G281" t="inlineStr">
        <is>
          <t>保守サービス</t>
        </is>
      </c>
      <c r="H281" t="inlineStr">
        <is>
          <t>オンサイト保守</t>
        </is>
      </c>
      <c r="I281" s="4" t="n">
        <v>4</v>
      </c>
      <c r="J281" s="4" t="n">
        <v>117300</v>
      </c>
      <c r="K281" s="4">
        <f>I281*J281</f>
        <v/>
      </c>
      <c r="L281" t="inlineStr">
        <is>
          <t>キャンペーン適用</t>
        </is>
      </c>
    </row>
    <row r="282">
      <c r="A282" t="inlineStr">
        <is>
          <t>SR012</t>
        </is>
      </c>
      <c r="B282" t="inlineStr">
        <is>
          <t>営業担当012</t>
        </is>
      </c>
      <c r="C282" t="inlineStr">
        <is>
          <t>第2営業部</t>
        </is>
      </c>
      <c r="D282" s="3" t="n">
        <v>45938</v>
      </c>
      <c r="E282" t="inlineStr">
        <is>
          <t>青葉商事(株)</t>
        </is>
      </c>
      <c r="F282" t="inlineStr">
        <is>
          <t>宮城県</t>
        </is>
      </c>
      <c r="G282" t="inlineStr">
        <is>
          <t>ハードウェア</t>
        </is>
      </c>
      <c r="H282" t="inlineStr">
        <is>
          <t>ネットワークカメラ</t>
        </is>
      </c>
      <c r="I282" s="4" t="n">
        <v>3</v>
      </c>
      <c r="J282" s="4" t="n">
        <v>57700</v>
      </c>
      <c r="K282" s="4">
        <f>I282*J282</f>
        <v/>
      </c>
      <c r="L282" t="inlineStr">
        <is>
          <t>リピート受注</t>
        </is>
      </c>
    </row>
    <row r="283">
      <c r="A283" t="inlineStr">
        <is>
          <t>SR012</t>
        </is>
      </c>
      <c r="B283" t="inlineStr">
        <is>
          <t>営業担当012</t>
        </is>
      </c>
      <c r="C283" t="inlineStr">
        <is>
          <t>第2営業部</t>
        </is>
      </c>
      <c r="D283" s="3" t="n">
        <v>45964</v>
      </c>
      <c r="E283" t="inlineStr">
        <is>
          <t>九州エナジー株式会社</t>
        </is>
      </c>
      <c r="F283" t="inlineStr">
        <is>
          <t>北海道</t>
        </is>
      </c>
      <c r="G283" t="inlineStr">
        <is>
          <t>ソフトウェア</t>
        </is>
      </c>
      <c r="H283" t="inlineStr">
        <is>
          <t>営業支援SaaS</t>
        </is>
      </c>
      <c r="I283" s="4" t="n">
        <v>5</v>
      </c>
      <c r="J283" s="4" t="n">
        <v>280900</v>
      </c>
      <c r="K283" s="4">
        <f>I283*J283</f>
        <v/>
      </c>
      <c r="L283" t="inlineStr">
        <is>
          <t>値引き調整あり</t>
        </is>
      </c>
    </row>
    <row r="284">
      <c r="A284" t="inlineStr">
        <is>
          <t>SR012</t>
        </is>
      </c>
      <c r="B284" t="inlineStr">
        <is>
          <t>営業担当012</t>
        </is>
      </c>
      <c r="C284" t="inlineStr">
        <is>
          <t>第2営業部</t>
        </is>
      </c>
      <c r="D284" s="3" t="n">
        <v>45980</v>
      </c>
      <c r="E284" t="inlineStr">
        <is>
          <t>星和商会株式会社</t>
        </is>
      </c>
      <c r="F284" t="inlineStr">
        <is>
          <t>神奈川県</t>
        </is>
      </c>
      <c r="G284" t="inlineStr">
        <is>
          <t>保守サービス</t>
        </is>
      </c>
      <c r="H284" t="inlineStr">
        <is>
          <t>ヘルプデスク契約</t>
        </is>
      </c>
      <c r="I284" s="4" t="n">
        <v>2</v>
      </c>
      <c r="J284" s="4" t="n">
        <v>42300</v>
      </c>
      <c r="K284" s="4">
        <f>I284*J284</f>
        <v/>
      </c>
      <c r="L284" t="inlineStr"/>
    </row>
    <row r="285">
      <c r="A285" t="inlineStr">
        <is>
          <t>SR012</t>
        </is>
      </c>
      <c r="B285" t="inlineStr">
        <is>
          <t>営業担当012</t>
        </is>
      </c>
      <c r="C285" t="inlineStr">
        <is>
          <t>第2営業部</t>
        </is>
      </c>
      <c r="D285" s="3" t="n">
        <v>45996</v>
      </c>
      <c r="E285" t="inlineStr">
        <is>
          <t>桜井メディカル株式会社</t>
        </is>
      </c>
      <c r="F285" t="inlineStr">
        <is>
          <t>東京都</t>
        </is>
      </c>
      <c r="G285" t="inlineStr">
        <is>
          <t>保守サービス</t>
        </is>
      </c>
      <c r="H285" t="inlineStr">
        <is>
          <t>オンサイト保守</t>
        </is>
      </c>
      <c r="I285" s="4" t="n">
        <v>5</v>
      </c>
      <c r="J285" s="4" t="n">
        <v>126800</v>
      </c>
      <c r="K285" s="4">
        <f>I285*J285</f>
        <v/>
      </c>
      <c r="L285" t="inlineStr">
        <is>
          <t>値引き調整あり</t>
        </is>
      </c>
    </row>
    <row r="286">
      <c r="A286" t="inlineStr">
        <is>
          <t>SR012</t>
        </is>
      </c>
      <c r="B286" t="inlineStr">
        <is>
          <t>営業担当012</t>
        </is>
      </c>
      <c r="C286" t="inlineStr">
        <is>
          <t>第2営業部</t>
        </is>
      </c>
      <c r="D286" s="3" t="n">
        <v>46006</v>
      </c>
      <c r="E286" t="inlineStr">
        <is>
          <t>サンライズ建設株式会社</t>
        </is>
      </c>
      <c r="F286" t="inlineStr">
        <is>
          <t>宮城県</t>
        </is>
      </c>
      <c r="G286" t="inlineStr">
        <is>
          <t>消耗品</t>
        </is>
      </c>
      <c r="H286" t="inlineStr">
        <is>
          <t>交換用ヘッド</t>
        </is>
      </c>
      <c r="I286" s="4" t="n">
        <v>13</v>
      </c>
      <c r="J286" s="4" t="n">
        <v>24730</v>
      </c>
      <c r="K286" s="4">
        <f>I286*J286</f>
        <v/>
      </c>
      <c r="L286" t="inlineStr"/>
    </row>
    <row r="287">
      <c r="A287" t="inlineStr">
        <is>
          <t>SR012</t>
        </is>
      </c>
      <c r="B287" t="inlineStr">
        <is>
          <t>営業担当012</t>
        </is>
      </c>
      <c r="C287" t="inlineStr">
        <is>
          <t>第2営業部</t>
        </is>
      </c>
      <c r="D287" s="3" t="n">
        <v>46035</v>
      </c>
      <c r="E287" t="inlineStr">
        <is>
          <t>桜井メディカル株式会社</t>
        </is>
      </c>
      <c r="F287" t="inlineStr">
        <is>
          <t>広島県</t>
        </is>
      </c>
      <c r="G287" t="inlineStr">
        <is>
          <t>保守サービス</t>
        </is>
      </c>
      <c r="H287" t="inlineStr">
        <is>
          <t>年間保守契約</t>
        </is>
      </c>
      <c r="I287" s="4" t="n">
        <v>3</v>
      </c>
      <c r="J287" s="4" t="n">
        <v>137200</v>
      </c>
      <c r="K287" s="4">
        <f>I287*J287</f>
        <v/>
      </c>
      <c r="L287" t="inlineStr"/>
    </row>
    <row r="288">
      <c r="A288" t="inlineStr">
        <is>
          <t>SR012</t>
        </is>
      </c>
      <c r="B288" t="inlineStr">
        <is>
          <t>営業担当012</t>
        </is>
      </c>
      <c r="C288" t="inlineStr">
        <is>
          <t>第2営業部</t>
        </is>
      </c>
      <c r="D288" s="3" t="n">
        <v>46043</v>
      </c>
      <c r="E288" t="inlineStr">
        <is>
          <t>サンライズ建設(株)</t>
        </is>
      </c>
      <c r="F288" t="inlineStr">
        <is>
          <t>兵庫県</t>
        </is>
      </c>
      <c r="G288" t="inlineStr">
        <is>
          <t>ハードウェア</t>
        </is>
      </c>
      <c r="H288" t="inlineStr">
        <is>
          <t>小型ハンディ端末</t>
        </is>
      </c>
      <c r="I288" s="4" t="n">
        <v>2</v>
      </c>
      <c r="J288" s="4" t="n">
        <v>93900</v>
      </c>
      <c r="K288" s="4">
        <f>I288*J288</f>
        <v/>
      </c>
      <c r="L288" t="inlineStr"/>
    </row>
    <row r="289">
      <c r="A289" t="inlineStr">
        <is>
          <t>SR012</t>
        </is>
      </c>
      <c r="B289" t="inlineStr">
        <is>
          <t>営業担当012</t>
        </is>
      </c>
      <c r="C289" t="inlineStr">
        <is>
          <t>第2営業部</t>
        </is>
      </c>
      <c r="D289" s="3" t="n">
        <v>46055</v>
      </c>
      <c r="E289" t="inlineStr">
        <is>
          <t>アーク電機有限会社</t>
        </is>
      </c>
      <c r="F289" t="inlineStr">
        <is>
          <t>東京都</t>
        </is>
      </c>
      <c r="G289" t="inlineStr">
        <is>
          <t>ハードウェア</t>
        </is>
      </c>
      <c r="H289" t="inlineStr">
        <is>
          <t>小型ハンディ端末</t>
        </is>
      </c>
      <c r="I289" s="4" t="n">
        <v>1</v>
      </c>
      <c r="J289" s="4" t="n">
        <v>55300</v>
      </c>
      <c r="K289" s="4">
        <f>I289*J289</f>
        <v/>
      </c>
      <c r="L289" t="inlineStr"/>
    </row>
    <row r="290">
      <c r="A290" t="inlineStr">
        <is>
          <t>SR012</t>
        </is>
      </c>
      <c r="B290" t="inlineStr">
        <is>
          <t>営業担当012</t>
        </is>
      </c>
      <c r="C290" t="inlineStr">
        <is>
          <t>第2営業部</t>
        </is>
      </c>
      <c r="D290" s="3" t="n">
        <v>46068</v>
      </c>
      <c r="E290" t="inlineStr">
        <is>
          <t>ライトホーム(株)</t>
        </is>
      </c>
      <c r="F290" t="inlineStr">
        <is>
          <t>宮城県</t>
        </is>
      </c>
      <c r="G290" t="inlineStr">
        <is>
          <t>消耗品</t>
        </is>
      </c>
      <c r="H290" t="inlineStr">
        <is>
          <t>保守用バッテリー</t>
        </is>
      </c>
      <c r="I290" s="4" t="n">
        <v>13</v>
      </c>
      <c r="J290" s="4" t="n">
        <v>16800</v>
      </c>
      <c r="K290" s="4">
        <f>I290*J290</f>
        <v/>
      </c>
      <c r="L290" t="inlineStr">
        <is>
          <t>大型案件</t>
        </is>
      </c>
    </row>
    <row r="291">
      <c r="A291" t="inlineStr">
        <is>
          <t>SR012</t>
        </is>
      </c>
      <c r="B291" t="inlineStr">
        <is>
          <t>営業担当012</t>
        </is>
      </c>
      <c r="C291" t="inlineStr">
        <is>
          <t>第2営業部</t>
        </is>
      </c>
      <c r="D291" s="3" t="n">
        <v>46096</v>
      </c>
      <c r="E291" t="inlineStr">
        <is>
          <t>ライトホーム有限会社</t>
        </is>
      </c>
      <c r="F291" t="inlineStr">
        <is>
          <t>東京都</t>
        </is>
      </c>
      <c r="G291" t="inlineStr">
        <is>
          <t>ハードウェア</t>
        </is>
      </c>
      <c r="H291" t="inlineStr">
        <is>
          <t>産業用タブレット</t>
        </is>
      </c>
      <c r="I291" s="4" t="n">
        <v>4</v>
      </c>
      <c r="J291" s="4" t="n">
        <v>112900</v>
      </c>
      <c r="K291" s="4">
        <f>I291*J291</f>
        <v/>
      </c>
      <c r="L291" t="inlineStr">
        <is>
          <t>大型案件</t>
        </is>
      </c>
    </row>
    <row r="292">
      <c r="A292" t="inlineStr">
        <is>
          <t>SR012</t>
        </is>
      </c>
      <c r="B292" t="inlineStr">
        <is>
          <t>営業担当012</t>
        </is>
      </c>
      <c r="C292" t="inlineStr">
        <is>
          <t>第2営業部</t>
        </is>
      </c>
      <c r="D292" s="3" t="n">
        <v>46106</v>
      </c>
      <c r="E292" t="inlineStr">
        <is>
          <t>桜井メディカル有限会社</t>
        </is>
      </c>
      <c r="F292" t="inlineStr">
        <is>
          <t>兵庫県</t>
        </is>
      </c>
      <c r="G292" t="inlineStr">
        <is>
          <t>ソフトウェア</t>
        </is>
      </c>
      <c r="H292" t="inlineStr">
        <is>
          <t>AIチャットボット</t>
        </is>
      </c>
      <c r="I292" s="4" t="n">
        <v>5</v>
      </c>
      <c r="J292" s="4" t="n">
        <v>826500</v>
      </c>
      <c r="K292" s="4">
        <f>I292*J292</f>
        <v/>
      </c>
      <c r="L292" t="inlineStr">
        <is>
          <t>新規開拓</t>
        </is>
      </c>
    </row>
    <row r="293">
      <c r="A293" t="inlineStr">
        <is>
          <t>SR013</t>
        </is>
      </c>
      <c r="B293" t="inlineStr">
        <is>
          <t>営業担当013</t>
        </is>
      </c>
      <c r="C293" t="inlineStr">
        <is>
          <t>第3営業部</t>
        </is>
      </c>
      <c r="D293" s="3" t="n">
        <v>45754</v>
      </c>
      <c r="E293" t="inlineStr">
        <is>
          <t>福岡流通(株)</t>
        </is>
      </c>
      <c r="F293" t="inlineStr">
        <is>
          <t>宮城県</t>
        </is>
      </c>
      <c r="G293" t="inlineStr">
        <is>
          <t>ソフトウェア</t>
        </is>
      </c>
      <c r="H293" t="inlineStr">
        <is>
          <t>営業支援SaaS</t>
        </is>
      </c>
      <c r="I293" s="4" t="n">
        <v>2</v>
      </c>
      <c r="J293" s="4" t="n">
        <v>126600</v>
      </c>
      <c r="K293" s="4">
        <f>I293*J293</f>
        <v/>
      </c>
      <c r="L293" t="inlineStr">
        <is>
          <t>リピート受注</t>
        </is>
      </c>
    </row>
    <row r="294">
      <c r="A294" t="inlineStr">
        <is>
          <t>SR013</t>
        </is>
      </c>
      <c r="B294" t="inlineStr">
        <is>
          <t>営業担当013</t>
        </is>
      </c>
      <c r="C294" t="inlineStr">
        <is>
          <t>第3営業部</t>
        </is>
      </c>
      <c r="D294" s="3" t="n">
        <v>45765</v>
      </c>
      <c r="E294" t="inlineStr">
        <is>
          <t>東洋フーズ株式会社</t>
        </is>
      </c>
      <c r="F294" t="inlineStr">
        <is>
          <t>福岡県</t>
        </is>
      </c>
      <c r="G294" t="inlineStr">
        <is>
          <t>消耗品</t>
        </is>
      </c>
      <c r="H294" t="inlineStr">
        <is>
          <t>保守用バッテリー</t>
        </is>
      </c>
      <c r="I294" s="4" t="n">
        <v>4</v>
      </c>
      <c r="J294" s="4" t="n">
        <v>17590</v>
      </c>
      <c r="K294" s="4">
        <f>I294*J294</f>
        <v/>
      </c>
      <c r="L294" t="inlineStr">
        <is>
          <t>新規開拓</t>
        </is>
      </c>
    </row>
    <row r="295">
      <c r="A295" t="inlineStr">
        <is>
          <t>SR013</t>
        </is>
      </c>
      <c r="B295" t="inlineStr">
        <is>
          <t>営業担当013</t>
        </is>
      </c>
      <c r="C295" t="inlineStr">
        <is>
          <t>第3営業部</t>
        </is>
      </c>
      <c r="D295" s="3" t="n">
        <v>45795</v>
      </c>
      <c r="E295" t="inlineStr">
        <is>
          <t>星和商会有限会社</t>
        </is>
      </c>
      <c r="F295" t="inlineStr">
        <is>
          <t>宮城県</t>
        </is>
      </c>
      <c r="G295" t="inlineStr">
        <is>
          <t>保守サービス</t>
        </is>
      </c>
      <c r="H295" t="inlineStr">
        <is>
          <t>年間保守契約</t>
        </is>
      </c>
      <c r="I295" s="4" t="n">
        <v>2</v>
      </c>
      <c r="J295" s="4" t="n">
        <v>195100</v>
      </c>
      <c r="K295" s="4">
        <f>I295*J295</f>
        <v/>
      </c>
      <c r="L295" t="inlineStr">
        <is>
          <t>大型案件</t>
        </is>
      </c>
    </row>
    <row r="296">
      <c r="A296" t="inlineStr">
        <is>
          <t>SR013</t>
        </is>
      </c>
      <c r="B296" t="inlineStr">
        <is>
          <t>営業担当013</t>
        </is>
      </c>
      <c r="C296" t="inlineStr">
        <is>
          <t>第3営業部</t>
        </is>
      </c>
      <c r="D296" s="3" t="n">
        <v>45796</v>
      </c>
      <c r="E296" t="inlineStr">
        <is>
          <t>ライトホーム有限会社</t>
        </is>
      </c>
      <c r="F296" t="inlineStr">
        <is>
          <t>北海道</t>
        </is>
      </c>
      <c r="G296" t="inlineStr">
        <is>
          <t>ハードウェア</t>
        </is>
      </c>
      <c r="H296" t="inlineStr">
        <is>
          <t>ラベルプリンター</t>
        </is>
      </c>
      <c r="I296" s="4" t="n">
        <v>2</v>
      </c>
      <c r="J296" s="4" t="n">
        <v>71800</v>
      </c>
      <c r="K296" s="4">
        <f>I296*J296</f>
        <v/>
      </c>
      <c r="L296" t="inlineStr">
        <is>
          <t>値引き調整あり</t>
        </is>
      </c>
    </row>
    <row r="297">
      <c r="A297" t="inlineStr">
        <is>
          <t>SR013</t>
        </is>
      </c>
      <c r="B297" t="inlineStr">
        <is>
          <t>営業担当013</t>
        </is>
      </c>
      <c r="C297" t="inlineStr">
        <is>
          <t>第3営業部</t>
        </is>
      </c>
      <c r="D297" s="3" t="n">
        <v>45816</v>
      </c>
      <c r="E297" t="inlineStr">
        <is>
          <t>アーク電機(株)</t>
        </is>
      </c>
      <c r="F297" t="inlineStr">
        <is>
          <t>神奈川県</t>
        </is>
      </c>
      <c r="G297" t="inlineStr">
        <is>
          <t>ソフトウェア</t>
        </is>
      </c>
      <c r="H297" t="inlineStr">
        <is>
          <t>営業支援SaaS</t>
        </is>
      </c>
      <c r="I297" s="4" t="n">
        <v>4</v>
      </c>
      <c r="J297" s="4" t="n">
        <v>347600</v>
      </c>
      <c r="K297" s="4">
        <f>I297*J297</f>
        <v/>
      </c>
      <c r="L297" t="inlineStr">
        <is>
          <t>分納</t>
        </is>
      </c>
    </row>
    <row r="298">
      <c r="A298" t="inlineStr">
        <is>
          <t>SR013</t>
        </is>
      </c>
      <c r="B298" t="inlineStr">
        <is>
          <t>営業担当013</t>
        </is>
      </c>
      <c r="C298" t="inlineStr">
        <is>
          <t>第3営業部</t>
        </is>
      </c>
      <c r="D298" s="3" t="n">
        <v>45821</v>
      </c>
      <c r="E298" t="inlineStr">
        <is>
          <t>星和商会株式会社</t>
        </is>
      </c>
      <c r="F298" t="inlineStr">
        <is>
          <t>広島県</t>
        </is>
      </c>
      <c r="G298" t="inlineStr">
        <is>
          <t>消耗品</t>
        </is>
      </c>
      <c r="H298" t="inlineStr">
        <is>
          <t>交換用ヘッド</t>
        </is>
      </c>
      <c r="I298" s="4" t="n">
        <v>11</v>
      </c>
      <c r="J298" s="4" t="n">
        <v>25820</v>
      </c>
      <c r="K298" s="4">
        <f>I298*J298</f>
        <v/>
      </c>
      <c r="L298" t="inlineStr">
        <is>
          <t>リピート受注</t>
        </is>
      </c>
    </row>
    <row r="299">
      <c r="A299" t="inlineStr">
        <is>
          <t>SR013</t>
        </is>
      </c>
      <c r="B299" t="inlineStr">
        <is>
          <t>営業担当013</t>
        </is>
      </c>
      <c r="C299" t="inlineStr">
        <is>
          <t>第3営業部</t>
        </is>
      </c>
      <c r="D299" s="3" t="n">
        <v>45840</v>
      </c>
      <c r="E299" t="inlineStr">
        <is>
          <t>福岡流通有限会社</t>
        </is>
      </c>
      <c r="F299" t="inlineStr">
        <is>
          <t>宮城県</t>
        </is>
      </c>
      <c r="G299" t="inlineStr">
        <is>
          <t>消耗品</t>
        </is>
      </c>
      <c r="H299" t="inlineStr">
        <is>
          <t>保守用バッテリー</t>
        </is>
      </c>
      <c r="I299" s="4" t="n">
        <v>12</v>
      </c>
      <c r="J299" s="4" t="n">
        <v>14320</v>
      </c>
      <c r="K299" s="4">
        <f>I299*J299</f>
        <v/>
      </c>
      <c r="L299" t="inlineStr">
        <is>
          <t>キャンペーン適用</t>
        </is>
      </c>
    </row>
    <row r="300">
      <c r="A300" t="inlineStr">
        <is>
          <t>SR013</t>
        </is>
      </c>
      <c r="B300" t="inlineStr">
        <is>
          <t>営業担当013</t>
        </is>
      </c>
      <c r="C300" t="inlineStr">
        <is>
          <t>第3営業部</t>
        </is>
      </c>
      <c r="D300" s="3" t="n">
        <v>45863</v>
      </c>
      <c r="E300" t="inlineStr">
        <is>
          <t>ネクストソリューション有限会社</t>
        </is>
      </c>
      <c r="F300" t="inlineStr">
        <is>
          <t>広島県</t>
        </is>
      </c>
      <c r="G300" t="inlineStr">
        <is>
          <t>導入支援</t>
        </is>
      </c>
      <c r="H300" t="inlineStr">
        <is>
          <t>初期設定支援</t>
        </is>
      </c>
      <c r="I300" s="4" t="n">
        <v>3</v>
      </c>
      <c r="J300" s="4" t="n">
        <v>84600</v>
      </c>
      <c r="K300" s="4">
        <f>I300*J300</f>
        <v/>
      </c>
      <c r="L300" t="inlineStr"/>
    </row>
    <row r="301">
      <c r="A301" t="inlineStr">
        <is>
          <t>SR013</t>
        </is>
      </c>
      <c r="B301" t="inlineStr">
        <is>
          <t>営業担当013</t>
        </is>
      </c>
      <c r="C301" t="inlineStr">
        <is>
          <t>第3営業部</t>
        </is>
      </c>
      <c r="D301" s="3" t="n">
        <v>45874</v>
      </c>
      <c r="E301" t="inlineStr">
        <is>
          <t>サンライズ建設(株)</t>
        </is>
      </c>
      <c r="F301" t="inlineStr">
        <is>
          <t>福岡県</t>
        </is>
      </c>
      <c r="G301" t="inlineStr">
        <is>
          <t>消耗品</t>
        </is>
      </c>
      <c r="H301" t="inlineStr">
        <is>
          <t>保守用バッテリー</t>
        </is>
      </c>
      <c r="I301" s="4" t="n">
        <v>4</v>
      </c>
      <c r="J301" s="4" t="n">
        <v>10410</v>
      </c>
      <c r="K301" s="4">
        <f>I301*J301</f>
        <v/>
      </c>
      <c r="L301" t="inlineStr">
        <is>
          <t>リピート受注</t>
        </is>
      </c>
    </row>
    <row r="302">
      <c r="A302" t="inlineStr">
        <is>
          <t>SR013</t>
        </is>
      </c>
      <c r="B302" t="inlineStr">
        <is>
          <t>営業担当013</t>
        </is>
      </c>
      <c r="C302" t="inlineStr">
        <is>
          <t>第3営業部</t>
        </is>
      </c>
      <c r="D302" s="3" t="n">
        <v>45893</v>
      </c>
      <c r="E302" t="inlineStr">
        <is>
          <t>九州エナジー(株)</t>
        </is>
      </c>
      <c r="F302" t="inlineStr">
        <is>
          <t>福岡県</t>
        </is>
      </c>
      <c r="G302" t="inlineStr">
        <is>
          <t>消耗品</t>
        </is>
      </c>
      <c r="H302" t="inlineStr">
        <is>
          <t>交換用ヘッド</t>
        </is>
      </c>
      <c r="I302" s="4" t="n">
        <v>1</v>
      </c>
      <c r="J302" s="4" t="n">
        <v>33460</v>
      </c>
      <c r="K302" s="4">
        <f>I302*J302</f>
        <v/>
      </c>
      <c r="L302" t="inlineStr"/>
    </row>
    <row r="303">
      <c r="A303" t="inlineStr">
        <is>
          <t>SR013</t>
        </is>
      </c>
      <c r="B303" t="inlineStr">
        <is>
          <t>営業担当013</t>
        </is>
      </c>
      <c r="C303" t="inlineStr">
        <is>
          <t>第3営業部</t>
        </is>
      </c>
      <c r="D303" s="3" t="n">
        <v>45927</v>
      </c>
      <c r="E303" t="inlineStr">
        <is>
          <t>みらい物流有限会社</t>
        </is>
      </c>
      <c r="F303" t="inlineStr">
        <is>
          <t>東京都</t>
        </is>
      </c>
      <c r="G303" t="inlineStr">
        <is>
          <t>ソフトウェア</t>
        </is>
      </c>
      <c r="H303" t="inlineStr">
        <is>
          <t>AIチャットボット</t>
        </is>
      </c>
      <c r="I303" s="4" t="n">
        <v>2</v>
      </c>
      <c r="J303" s="4" t="n">
        <v>766600</v>
      </c>
      <c r="K303" s="4">
        <f>I303*J303</f>
        <v/>
      </c>
      <c r="L303" t="inlineStr">
        <is>
          <t>大型案件</t>
        </is>
      </c>
    </row>
    <row r="304">
      <c r="A304" t="inlineStr">
        <is>
          <t>SR013</t>
        </is>
      </c>
      <c r="B304" t="inlineStr">
        <is>
          <t>営業担当013</t>
        </is>
      </c>
      <c r="C304" t="inlineStr">
        <is>
          <t>第3営業部</t>
        </is>
      </c>
      <c r="D304" s="3" t="n">
        <v>45928</v>
      </c>
      <c r="E304" t="inlineStr">
        <is>
          <t>グリーンテック(株)</t>
        </is>
      </c>
      <c r="F304" t="inlineStr">
        <is>
          <t>東京都</t>
        </is>
      </c>
      <c r="G304" t="inlineStr">
        <is>
          <t>消耗品</t>
        </is>
      </c>
      <c r="H304" t="inlineStr">
        <is>
          <t>保守用バッテリー</t>
        </is>
      </c>
      <c r="I304" s="4" t="n">
        <v>7</v>
      </c>
      <c r="J304" s="4" t="n">
        <v>17210</v>
      </c>
      <c r="K304" s="4">
        <f>I304*J304</f>
        <v/>
      </c>
      <c r="L304" t="inlineStr">
        <is>
          <t>値引き調整あり</t>
        </is>
      </c>
    </row>
    <row r="305">
      <c r="A305" t="inlineStr">
        <is>
          <t>SR013</t>
        </is>
      </c>
      <c r="B305" t="inlineStr">
        <is>
          <t>営業担当013</t>
        </is>
      </c>
      <c r="C305" t="inlineStr">
        <is>
          <t>第3営業部</t>
        </is>
      </c>
      <c r="D305" s="3" t="n">
        <v>45933</v>
      </c>
      <c r="E305" t="inlineStr">
        <is>
          <t>グリーンテック株式会社</t>
        </is>
      </c>
      <c r="F305" t="inlineStr">
        <is>
          <t>愛知県</t>
        </is>
      </c>
      <c r="G305" t="inlineStr">
        <is>
          <t>消耗品</t>
        </is>
      </c>
      <c r="H305" t="inlineStr">
        <is>
          <t>保守用バッテリー</t>
        </is>
      </c>
      <c r="I305" s="4" t="n">
        <v>6</v>
      </c>
      <c r="J305" s="4" t="n">
        <v>7030</v>
      </c>
      <c r="K305" s="4">
        <f>I305*J305</f>
        <v/>
      </c>
      <c r="L305" t="inlineStr">
        <is>
          <t>分納</t>
        </is>
      </c>
    </row>
    <row r="306">
      <c r="A306" t="inlineStr">
        <is>
          <t>SR013</t>
        </is>
      </c>
      <c r="B306" t="inlineStr">
        <is>
          <t>営業担当013</t>
        </is>
      </c>
      <c r="C306" t="inlineStr">
        <is>
          <t>第3営業部</t>
        </is>
      </c>
      <c r="D306" s="3" t="n">
        <v>45935</v>
      </c>
      <c r="E306" t="inlineStr">
        <is>
          <t>日新サービス株式会社</t>
        </is>
      </c>
      <c r="F306" t="inlineStr">
        <is>
          <t>神奈川県</t>
        </is>
      </c>
      <c r="G306" t="inlineStr">
        <is>
          <t>ハードウェア</t>
        </is>
      </c>
      <c r="H306" t="inlineStr">
        <is>
          <t>ラベルプリンター</t>
        </is>
      </c>
      <c r="I306" s="4" t="n">
        <v>1</v>
      </c>
      <c r="J306" s="4" t="n">
        <v>85200</v>
      </c>
      <c r="K306" s="4">
        <f>I306*J306</f>
        <v/>
      </c>
      <c r="L306" t="inlineStr">
        <is>
          <t>分納</t>
        </is>
      </c>
    </row>
    <row r="307">
      <c r="A307" t="inlineStr">
        <is>
          <t>SR013</t>
        </is>
      </c>
      <c r="B307" t="inlineStr">
        <is>
          <t>営業担当013</t>
        </is>
      </c>
      <c r="C307" t="inlineStr">
        <is>
          <t>第3営業部</t>
        </is>
      </c>
      <c r="D307" s="3" t="n">
        <v>45983</v>
      </c>
      <c r="E307" t="inlineStr">
        <is>
          <t>ネクストソリューション株式会社</t>
        </is>
      </c>
      <c r="F307" t="inlineStr">
        <is>
          <t>東京都</t>
        </is>
      </c>
      <c r="G307" t="inlineStr">
        <is>
          <t>消耗品</t>
        </is>
      </c>
      <c r="H307" t="inlineStr">
        <is>
          <t>交換用ヘッド</t>
        </is>
      </c>
      <c r="I307" s="4" t="n">
        <v>7</v>
      </c>
      <c r="J307" s="4" t="n">
        <v>12480</v>
      </c>
      <c r="K307" s="4">
        <f>I307*J307</f>
        <v/>
      </c>
      <c r="L307" t="inlineStr"/>
    </row>
    <row r="308">
      <c r="A308" t="inlineStr">
        <is>
          <t>SR013</t>
        </is>
      </c>
      <c r="B308" t="inlineStr">
        <is>
          <t>営業担当013</t>
        </is>
      </c>
      <c r="C308" t="inlineStr">
        <is>
          <t>第3営業部</t>
        </is>
      </c>
      <c r="D308" s="3" t="n">
        <v>45989</v>
      </c>
      <c r="E308" t="inlineStr">
        <is>
          <t>福岡流通株式会社</t>
        </is>
      </c>
      <c r="F308" t="inlineStr">
        <is>
          <t>京都府</t>
        </is>
      </c>
      <c r="G308" t="inlineStr">
        <is>
          <t>ハードウェア</t>
        </is>
      </c>
      <c r="H308" t="inlineStr">
        <is>
          <t>産業用タブレット</t>
        </is>
      </c>
      <c r="I308" s="4" t="n">
        <v>3</v>
      </c>
      <c r="J308" s="4" t="n">
        <v>106600</v>
      </c>
      <c r="K308" s="4">
        <f>I308*J308</f>
        <v/>
      </c>
      <c r="L308" t="inlineStr"/>
    </row>
    <row r="309">
      <c r="A309" t="inlineStr">
        <is>
          <t>SR013</t>
        </is>
      </c>
      <c r="B309" t="inlineStr">
        <is>
          <t>営業担当013</t>
        </is>
      </c>
      <c r="C309" t="inlineStr">
        <is>
          <t>第3営業部</t>
        </is>
      </c>
      <c r="D309" s="3" t="n">
        <v>46008</v>
      </c>
      <c r="E309" t="inlineStr">
        <is>
          <t>未来通信有限会社</t>
        </is>
      </c>
      <c r="F309" t="inlineStr">
        <is>
          <t>神奈川県</t>
        </is>
      </c>
      <c r="G309" t="inlineStr">
        <is>
          <t>ソフトウェア</t>
        </is>
      </c>
      <c r="H309" t="inlineStr">
        <is>
          <t>AIチャットボット</t>
        </is>
      </c>
      <c r="I309" s="4" t="n">
        <v>2</v>
      </c>
      <c r="J309" s="4" t="n">
        <v>337600</v>
      </c>
      <c r="K309" s="4">
        <f>I309*J309</f>
        <v/>
      </c>
      <c r="L309" t="inlineStr"/>
    </row>
    <row r="310">
      <c r="A310" t="inlineStr">
        <is>
          <t>SR013</t>
        </is>
      </c>
      <c r="B310" t="inlineStr">
        <is>
          <t>営業担当013</t>
        </is>
      </c>
      <c r="C310" t="inlineStr">
        <is>
          <t>第3営業部</t>
        </is>
      </c>
      <c r="D310" s="3" t="n">
        <v>46019</v>
      </c>
      <c r="E310" t="inlineStr">
        <is>
          <t>みらい物流株式会社</t>
        </is>
      </c>
      <c r="F310" t="inlineStr">
        <is>
          <t>兵庫県</t>
        </is>
      </c>
      <c r="G310" t="inlineStr">
        <is>
          <t>消耗品</t>
        </is>
      </c>
      <c r="H310" t="inlineStr">
        <is>
          <t>ラベルロール</t>
        </is>
      </c>
      <c r="I310" s="4" t="n">
        <v>8</v>
      </c>
      <c r="J310" s="4" t="n">
        <v>6470</v>
      </c>
      <c r="K310" s="4">
        <f>I310*J310</f>
        <v/>
      </c>
      <c r="L310" t="inlineStr">
        <is>
          <t>新規開拓</t>
        </is>
      </c>
    </row>
    <row r="311">
      <c r="A311" t="inlineStr">
        <is>
          <t>SR013</t>
        </is>
      </c>
      <c r="B311" t="inlineStr">
        <is>
          <t>営業担当013</t>
        </is>
      </c>
      <c r="C311" t="inlineStr">
        <is>
          <t>第3営業部</t>
        </is>
      </c>
      <c r="D311" s="3" t="n">
        <v>46032</v>
      </c>
      <c r="E311" t="inlineStr">
        <is>
          <t>青葉商事株式会社</t>
        </is>
      </c>
      <c r="F311" t="inlineStr">
        <is>
          <t>愛知県</t>
        </is>
      </c>
      <c r="G311" t="inlineStr">
        <is>
          <t>ソフトウェア</t>
        </is>
      </c>
      <c r="H311" t="inlineStr">
        <is>
          <t>AIチャットボット</t>
        </is>
      </c>
      <c r="I311" s="4" t="n">
        <v>2</v>
      </c>
      <c r="J311" s="4" t="n">
        <v>819800</v>
      </c>
      <c r="K311" s="4">
        <f>I311*J311</f>
        <v/>
      </c>
      <c r="L311" t="inlineStr">
        <is>
          <t>大型案件</t>
        </is>
      </c>
    </row>
    <row r="312">
      <c r="A312" t="inlineStr">
        <is>
          <t>SR013</t>
        </is>
      </c>
      <c r="B312" t="inlineStr">
        <is>
          <t>営業担当013</t>
        </is>
      </c>
      <c r="C312" t="inlineStr">
        <is>
          <t>第3営業部</t>
        </is>
      </c>
      <c r="D312" s="3" t="n">
        <v>46039</v>
      </c>
      <c r="E312" t="inlineStr">
        <is>
          <t>グリーンテック株式会社</t>
        </is>
      </c>
      <c r="F312" t="inlineStr">
        <is>
          <t>愛知県</t>
        </is>
      </c>
      <c r="G312" t="inlineStr">
        <is>
          <t>消耗品</t>
        </is>
      </c>
      <c r="H312" t="inlineStr">
        <is>
          <t>交換用ヘッド</t>
        </is>
      </c>
      <c r="I312" s="4" t="n">
        <v>5</v>
      </c>
      <c r="J312" s="4" t="n">
        <v>26510</v>
      </c>
      <c r="K312" s="4">
        <f>I312*J312</f>
        <v/>
      </c>
      <c r="L312" t="inlineStr">
        <is>
          <t>リピート受注</t>
        </is>
      </c>
    </row>
    <row r="313">
      <c r="A313" t="inlineStr">
        <is>
          <t>SR013</t>
        </is>
      </c>
      <c r="B313" t="inlineStr">
        <is>
          <t>営業担当013</t>
        </is>
      </c>
      <c r="C313" t="inlineStr">
        <is>
          <t>第3営業部</t>
        </is>
      </c>
      <c r="D313" s="3" t="n">
        <v>46066</v>
      </c>
      <c r="E313" t="inlineStr">
        <is>
          <t>桜井メディカル有限会社</t>
        </is>
      </c>
      <c r="F313" t="inlineStr">
        <is>
          <t>北海道</t>
        </is>
      </c>
      <c r="G313" t="inlineStr">
        <is>
          <t>保守サービス</t>
        </is>
      </c>
      <c r="H313" t="inlineStr">
        <is>
          <t>オンサイト保守</t>
        </is>
      </c>
      <c r="I313" s="4" t="n">
        <v>4</v>
      </c>
      <c r="J313" s="4" t="n">
        <v>149200</v>
      </c>
      <c r="K313" s="4">
        <f>I313*J313</f>
        <v/>
      </c>
      <c r="L313" t="inlineStr">
        <is>
          <t>新規開拓</t>
        </is>
      </c>
    </row>
    <row r="314">
      <c r="A314" t="inlineStr">
        <is>
          <t>SR013</t>
        </is>
      </c>
      <c r="B314" t="inlineStr">
        <is>
          <t>営業担当013</t>
        </is>
      </c>
      <c r="C314" t="inlineStr">
        <is>
          <t>第3営業部</t>
        </is>
      </c>
      <c r="D314" s="3" t="n">
        <v>46079</v>
      </c>
      <c r="E314" t="inlineStr">
        <is>
          <t>日新サービス株式会社</t>
        </is>
      </c>
      <c r="F314" t="inlineStr">
        <is>
          <t>北海道</t>
        </is>
      </c>
      <c r="G314" t="inlineStr">
        <is>
          <t>導入支援</t>
        </is>
      </c>
      <c r="H314" t="inlineStr">
        <is>
          <t>データ移行支援</t>
        </is>
      </c>
      <c r="I314" s="4" t="n">
        <v>5</v>
      </c>
      <c r="J314" s="4" t="n">
        <v>179600</v>
      </c>
      <c r="K314" s="4">
        <f>I314*J314</f>
        <v/>
      </c>
      <c r="L314" t="inlineStr">
        <is>
          <t>大型案件</t>
        </is>
      </c>
    </row>
    <row r="315">
      <c r="A315" t="inlineStr">
        <is>
          <t>SR013</t>
        </is>
      </c>
      <c r="B315" t="inlineStr">
        <is>
          <t>営業担当013</t>
        </is>
      </c>
      <c r="C315" t="inlineStr">
        <is>
          <t>第3営業部</t>
        </is>
      </c>
      <c r="D315" s="3" t="n">
        <v>46091</v>
      </c>
      <c r="E315" t="inlineStr">
        <is>
          <t>みらい物流有限会社</t>
        </is>
      </c>
      <c r="F315" t="inlineStr">
        <is>
          <t>東京都</t>
        </is>
      </c>
      <c r="G315" t="inlineStr">
        <is>
          <t>ソフトウェア</t>
        </is>
      </c>
      <c r="H315" t="inlineStr">
        <is>
          <t>AIチャットボット</t>
        </is>
      </c>
      <c r="I315" s="4" t="n">
        <v>4</v>
      </c>
      <c r="J315" s="4" t="n">
        <v>558900</v>
      </c>
      <c r="K315" s="4">
        <f>I315*J315</f>
        <v/>
      </c>
      <c r="L315" t="inlineStr">
        <is>
          <t>値引き調整あり</t>
        </is>
      </c>
    </row>
    <row r="316">
      <c r="A316" t="inlineStr">
        <is>
          <t>SR013</t>
        </is>
      </c>
      <c r="B316" t="inlineStr">
        <is>
          <t>営業担当013</t>
        </is>
      </c>
      <c r="C316" t="inlineStr">
        <is>
          <t>第3営業部</t>
        </is>
      </c>
      <c r="D316" s="3" t="n">
        <v>46091</v>
      </c>
      <c r="E316" t="inlineStr">
        <is>
          <t>未来通信(株)</t>
        </is>
      </c>
      <c r="F316" t="inlineStr">
        <is>
          <t>京都府</t>
        </is>
      </c>
      <c r="G316" t="inlineStr">
        <is>
          <t>導入支援</t>
        </is>
      </c>
      <c r="H316" t="inlineStr">
        <is>
          <t>データ移行支援</t>
        </is>
      </c>
      <c r="I316" s="4" t="n">
        <v>1</v>
      </c>
      <c r="J316" s="4" t="n">
        <v>272300</v>
      </c>
      <c r="K316" s="4">
        <f>I316*J316</f>
        <v/>
      </c>
      <c r="L316" t="inlineStr">
        <is>
          <t>新規開拓</t>
        </is>
      </c>
    </row>
    <row r="317">
      <c r="A317" t="inlineStr">
        <is>
          <t>SR014</t>
        </is>
      </c>
      <c r="B317" t="inlineStr">
        <is>
          <t>営業担当014</t>
        </is>
      </c>
      <c r="C317" t="inlineStr">
        <is>
          <t>パートナー営業部</t>
        </is>
      </c>
      <c r="D317" s="3" t="n">
        <v>45751</v>
      </c>
      <c r="E317" t="inlineStr">
        <is>
          <t>青葉商事株式会社</t>
        </is>
      </c>
      <c r="F317" t="inlineStr">
        <is>
          <t>北海道</t>
        </is>
      </c>
      <c r="G317" t="inlineStr">
        <is>
          <t>消耗品</t>
        </is>
      </c>
      <c r="H317" t="inlineStr">
        <is>
          <t>ラベルロール</t>
        </is>
      </c>
      <c r="I317" s="4" t="n">
        <v>10</v>
      </c>
      <c r="J317" s="4" t="n">
        <v>8840</v>
      </c>
      <c r="K317" s="4">
        <f>I317*J317</f>
        <v/>
      </c>
      <c r="L317" t="inlineStr">
        <is>
          <t>キャンペーン適用</t>
        </is>
      </c>
    </row>
    <row r="318">
      <c r="A318" t="inlineStr">
        <is>
          <t>SR014</t>
        </is>
      </c>
      <c r="B318" t="inlineStr">
        <is>
          <t>営業担当014</t>
        </is>
      </c>
      <c r="C318" t="inlineStr">
        <is>
          <t>パートナー営業部</t>
        </is>
      </c>
      <c r="D318" s="3" t="n">
        <v>45763</v>
      </c>
      <c r="E318" t="inlineStr">
        <is>
          <t>北斗産業有限会社</t>
        </is>
      </c>
      <c r="F318" t="inlineStr">
        <is>
          <t>東京都</t>
        </is>
      </c>
      <c r="G318" t="inlineStr">
        <is>
          <t>ハードウェア</t>
        </is>
      </c>
      <c r="H318" t="inlineStr">
        <is>
          <t>産業用タブレット</t>
        </is>
      </c>
      <c r="I318" s="4" t="n">
        <v>4</v>
      </c>
      <c r="J318" s="4" t="n">
        <v>112400</v>
      </c>
      <c r="K318" s="4">
        <f>I318*J318</f>
        <v/>
      </c>
      <c r="L318" t="inlineStr">
        <is>
          <t>新規開拓</t>
        </is>
      </c>
    </row>
    <row r="319">
      <c r="A319" t="inlineStr">
        <is>
          <t>SR014</t>
        </is>
      </c>
      <c r="B319" t="inlineStr">
        <is>
          <t>営業担当014</t>
        </is>
      </c>
      <c r="C319" t="inlineStr">
        <is>
          <t>パートナー営業部</t>
        </is>
      </c>
      <c r="D319" s="3" t="n">
        <v>45778</v>
      </c>
      <c r="E319" t="inlineStr">
        <is>
          <t>サンライズ建設(株)</t>
        </is>
      </c>
      <c r="F319" t="inlineStr">
        <is>
          <t>宮城県</t>
        </is>
      </c>
      <c r="G319" t="inlineStr">
        <is>
          <t>ソフトウェア</t>
        </is>
      </c>
      <c r="H319" t="inlineStr">
        <is>
          <t>営業支援SaaS</t>
        </is>
      </c>
      <c r="I319" s="4" t="n">
        <v>5</v>
      </c>
      <c r="J319" s="4" t="n">
        <v>333400</v>
      </c>
      <c r="K319" s="4">
        <f>I319*J319</f>
        <v/>
      </c>
      <c r="L319" t="inlineStr"/>
    </row>
    <row r="320">
      <c r="A320" t="inlineStr">
        <is>
          <t>SR014</t>
        </is>
      </c>
      <c r="B320" t="inlineStr">
        <is>
          <t>営業担当014</t>
        </is>
      </c>
      <c r="C320" t="inlineStr">
        <is>
          <t>パートナー営業部</t>
        </is>
      </c>
      <c r="D320" s="3" t="n">
        <v>45796</v>
      </c>
      <c r="E320" t="inlineStr">
        <is>
          <t>中央設備有限会社</t>
        </is>
      </c>
      <c r="F320" t="inlineStr">
        <is>
          <t>東京都</t>
        </is>
      </c>
      <c r="G320" t="inlineStr">
        <is>
          <t>ハードウェア</t>
        </is>
      </c>
      <c r="H320" t="inlineStr">
        <is>
          <t>小型ハンディ端末</t>
        </is>
      </c>
      <c r="I320" s="4" t="n">
        <v>5</v>
      </c>
      <c r="J320" s="4" t="n">
        <v>93600</v>
      </c>
      <c r="K320" s="4">
        <f>I320*J320</f>
        <v/>
      </c>
      <c r="L320" t="inlineStr">
        <is>
          <t>リピート受注</t>
        </is>
      </c>
    </row>
    <row r="321">
      <c r="A321" t="inlineStr">
        <is>
          <t>SR014</t>
        </is>
      </c>
      <c r="B321" t="inlineStr">
        <is>
          <t>営業担当014</t>
        </is>
      </c>
      <c r="C321" t="inlineStr">
        <is>
          <t>パートナー営業部</t>
        </is>
      </c>
      <c r="D321" s="3" t="n">
        <v>45810</v>
      </c>
      <c r="E321" t="inlineStr">
        <is>
          <t>みらい物流有限会社</t>
        </is>
      </c>
      <c r="F321" t="inlineStr">
        <is>
          <t>神奈川県</t>
        </is>
      </c>
      <c r="G321" t="inlineStr">
        <is>
          <t>消耗品</t>
        </is>
      </c>
      <c r="H321" t="inlineStr">
        <is>
          <t>交換用ヘッド</t>
        </is>
      </c>
      <c r="I321" s="4" t="n">
        <v>11</v>
      </c>
      <c r="J321" s="4" t="n">
        <v>13340</v>
      </c>
      <c r="K321" s="4">
        <f>I321*J321</f>
        <v/>
      </c>
      <c r="L321" t="inlineStr"/>
    </row>
    <row r="322">
      <c r="A322" t="inlineStr">
        <is>
          <t>SR014</t>
        </is>
      </c>
      <c r="B322" t="inlineStr">
        <is>
          <t>営業担当014</t>
        </is>
      </c>
      <c r="C322" t="inlineStr">
        <is>
          <t>パートナー営業部</t>
        </is>
      </c>
      <c r="D322" s="3" t="n">
        <v>45830</v>
      </c>
      <c r="E322" t="inlineStr">
        <is>
          <t>日新サービス株式会社</t>
        </is>
      </c>
      <c r="F322" t="inlineStr">
        <is>
          <t>福岡県</t>
        </is>
      </c>
      <c r="G322" t="inlineStr">
        <is>
          <t>保守サービス</t>
        </is>
      </c>
      <c r="H322" t="inlineStr">
        <is>
          <t>オンサイト保守</t>
        </is>
      </c>
      <c r="I322" s="4" t="n">
        <v>3</v>
      </c>
      <c r="J322" s="4" t="n">
        <v>140900</v>
      </c>
      <c r="K322" s="4">
        <f>I322*J322</f>
        <v/>
      </c>
      <c r="L322" t="inlineStr"/>
    </row>
    <row r="323">
      <c r="A323" t="inlineStr">
        <is>
          <t>SR014</t>
        </is>
      </c>
      <c r="B323" t="inlineStr">
        <is>
          <t>営業担当014</t>
        </is>
      </c>
      <c r="C323" t="inlineStr">
        <is>
          <t>パートナー営業部</t>
        </is>
      </c>
      <c r="D323" s="3" t="n">
        <v>45841</v>
      </c>
      <c r="E323" t="inlineStr">
        <is>
          <t>西日本機工(株)</t>
        </is>
      </c>
      <c r="F323" t="inlineStr">
        <is>
          <t>神奈川県</t>
        </is>
      </c>
      <c r="G323" t="inlineStr">
        <is>
          <t>導入支援</t>
        </is>
      </c>
      <c r="H323" t="inlineStr">
        <is>
          <t>データ移行支援</t>
        </is>
      </c>
      <c r="I323" s="4" t="n">
        <v>4</v>
      </c>
      <c r="J323" s="4" t="n">
        <v>111500</v>
      </c>
      <c r="K323" s="4">
        <f>I323*J323</f>
        <v/>
      </c>
      <c r="L323" t="inlineStr">
        <is>
          <t>新規開拓</t>
        </is>
      </c>
    </row>
    <row r="324">
      <c r="A324" t="inlineStr">
        <is>
          <t>SR014</t>
        </is>
      </c>
      <c r="B324" t="inlineStr">
        <is>
          <t>営業担当014</t>
        </is>
      </c>
      <c r="C324" t="inlineStr">
        <is>
          <t>パートナー営業部</t>
        </is>
      </c>
      <c r="D324" s="3" t="n">
        <v>45866</v>
      </c>
      <c r="E324" t="inlineStr">
        <is>
          <t>オーシャン製作所株式会社</t>
        </is>
      </c>
      <c r="F324" t="inlineStr">
        <is>
          <t>愛知県</t>
        </is>
      </c>
      <c r="G324" t="inlineStr">
        <is>
          <t>消耗品</t>
        </is>
      </c>
      <c r="H324" t="inlineStr">
        <is>
          <t>ラベルロール</t>
        </is>
      </c>
      <c r="I324" s="4" t="n">
        <v>13</v>
      </c>
      <c r="J324" s="4" t="n">
        <v>10350</v>
      </c>
      <c r="K324" s="4">
        <f>I324*J324</f>
        <v/>
      </c>
      <c r="L324" t="inlineStr"/>
    </row>
    <row r="325">
      <c r="A325" t="inlineStr">
        <is>
          <t>SR014</t>
        </is>
      </c>
      <c r="B325" t="inlineStr">
        <is>
          <t>営業担当014</t>
        </is>
      </c>
      <c r="C325" t="inlineStr">
        <is>
          <t>パートナー営業部</t>
        </is>
      </c>
      <c r="D325" s="3" t="n">
        <v>45878</v>
      </c>
      <c r="E325" t="inlineStr">
        <is>
          <t>桜井メディカル有限会社</t>
        </is>
      </c>
      <c r="F325" t="inlineStr">
        <is>
          <t>広島県</t>
        </is>
      </c>
      <c r="G325" t="inlineStr">
        <is>
          <t>消耗品</t>
        </is>
      </c>
      <c r="H325" t="inlineStr">
        <is>
          <t>交換用ヘッド</t>
        </is>
      </c>
      <c r="I325" s="4" t="n">
        <v>4</v>
      </c>
      <c r="J325" s="4" t="n">
        <v>30750</v>
      </c>
      <c r="K325" s="4">
        <f>I325*J325</f>
        <v/>
      </c>
      <c r="L325" t="inlineStr"/>
    </row>
    <row r="326">
      <c r="A326" t="inlineStr">
        <is>
          <t>SR014</t>
        </is>
      </c>
      <c r="B326" t="inlineStr">
        <is>
          <t>営業担当014</t>
        </is>
      </c>
      <c r="C326" t="inlineStr">
        <is>
          <t>パートナー営業部</t>
        </is>
      </c>
      <c r="D326" s="3" t="n">
        <v>45879</v>
      </c>
      <c r="E326" t="inlineStr">
        <is>
          <t>西日本機工有限会社</t>
        </is>
      </c>
      <c r="F326" t="inlineStr">
        <is>
          <t>愛知県</t>
        </is>
      </c>
      <c r="G326" t="inlineStr">
        <is>
          <t>消耗品</t>
        </is>
      </c>
      <c r="H326" t="inlineStr">
        <is>
          <t>保守用バッテリー</t>
        </is>
      </c>
      <c r="I326" s="4" t="n">
        <v>11</v>
      </c>
      <c r="J326" s="4" t="n">
        <v>16870</v>
      </c>
      <c r="K326" s="4">
        <f>I326*J326</f>
        <v/>
      </c>
      <c r="L326" t="inlineStr">
        <is>
          <t>新規開拓</t>
        </is>
      </c>
    </row>
    <row r="327">
      <c r="A327" t="inlineStr">
        <is>
          <t>SR014</t>
        </is>
      </c>
      <c r="B327" t="inlineStr">
        <is>
          <t>営業担当014</t>
        </is>
      </c>
      <c r="C327" t="inlineStr">
        <is>
          <t>パートナー営業部</t>
        </is>
      </c>
      <c r="D327" s="3" t="n">
        <v>45905</v>
      </c>
      <c r="E327" t="inlineStr">
        <is>
          <t>サンライズ建設株式会社</t>
        </is>
      </c>
      <c r="F327" t="inlineStr">
        <is>
          <t>宮城県</t>
        </is>
      </c>
      <c r="G327" t="inlineStr">
        <is>
          <t>保守サービス</t>
        </is>
      </c>
      <c r="H327" t="inlineStr">
        <is>
          <t>ヘルプデスク契約</t>
        </is>
      </c>
      <c r="I327" s="4" t="n">
        <v>4</v>
      </c>
      <c r="J327" s="4" t="n">
        <v>118300</v>
      </c>
      <c r="K327" s="4">
        <f>I327*J327</f>
        <v/>
      </c>
      <c r="L327" t="inlineStr">
        <is>
          <t>新規開拓</t>
        </is>
      </c>
    </row>
    <row r="328">
      <c r="A328" t="inlineStr">
        <is>
          <t>SR014</t>
        </is>
      </c>
      <c r="B328" t="inlineStr">
        <is>
          <t>営業担当014</t>
        </is>
      </c>
      <c r="C328" t="inlineStr">
        <is>
          <t>パートナー営業部</t>
        </is>
      </c>
      <c r="D328" s="3" t="n">
        <v>45913</v>
      </c>
      <c r="E328" t="inlineStr">
        <is>
          <t>グリーンテック有限会社</t>
        </is>
      </c>
      <c r="F328" t="inlineStr">
        <is>
          <t>大阪府</t>
        </is>
      </c>
      <c r="G328" t="inlineStr">
        <is>
          <t>消耗品</t>
        </is>
      </c>
      <c r="H328" t="inlineStr">
        <is>
          <t>交換用ヘッド</t>
        </is>
      </c>
      <c r="I328" s="4" t="n">
        <v>6</v>
      </c>
      <c r="J328" s="4" t="n">
        <v>14190</v>
      </c>
      <c r="K328" s="4">
        <f>I328*J328</f>
        <v/>
      </c>
      <c r="L328" t="inlineStr"/>
    </row>
    <row r="329">
      <c r="A329" t="inlineStr">
        <is>
          <t>SR014</t>
        </is>
      </c>
      <c r="B329" t="inlineStr">
        <is>
          <t>営業担当014</t>
        </is>
      </c>
      <c r="C329" t="inlineStr">
        <is>
          <t>パートナー営業部</t>
        </is>
      </c>
      <c r="D329" s="3" t="n">
        <v>45944</v>
      </c>
      <c r="E329" t="inlineStr">
        <is>
          <t>桜井メディカル株式会社</t>
        </is>
      </c>
      <c r="F329" t="inlineStr">
        <is>
          <t>北海道</t>
        </is>
      </c>
      <c r="G329" t="inlineStr">
        <is>
          <t>消耗品</t>
        </is>
      </c>
      <c r="H329" t="inlineStr">
        <is>
          <t>交換用ヘッド</t>
        </is>
      </c>
      <c r="I329" s="4" t="n">
        <v>10</v>
      </c>
      <c r="J329" s="4" t="n">
        <v>28240</v>
      </c>
      <c r="K329" s="4">
        <f>I329*J329</f>
        <v/>
      </c>
      <c r="L329" t="inlineStr">
        <is>
          <t>新規開拓</t>
        </is>
      </c>
    </row>
    <row r="330">
      <c r="A330" t="inlineStr">
        <is>
          <t>SR014</t>
        </is>
      </c>
      <c r="B330" t="inlineStr">
        <is>
          <t>営業担当014</t>
        </is>
      </c>
      <c r="C330" t="inlineStr">
        <is>
          <t>パートナー営業部</t>
        </is>
      </c>
      <c r="D330" s="3" t="n">
        <v>45945</v>
      </c>
      <c r="E330" t="inlineStr">
        <is>
          <t>オーシャン製作所(株)</t>
        </is>
      </c>
      <c r="F330" t="inlineStr">
        <is>
          <t>兵庫県</t>
        </is>
      </c>
      <c r="G330" t="inlineStr">
        <is>
          <t>ハードウェア</t>
        </is>
      </c>
      <c r="H330" t="inlineStr">
        <is>
          <t>ラベルプリンター</t>
        </is>
      </c>
      <c r="I330" s="4" t="n">
        <v>3</v>
      </c>
      <c r="J330" s="4" t="n">
        <v>68800</v>
      </c>
      <c r="K330" s="4">
        <f>I330*J330</f>
        <v/>
      </c>
      <c r="L330" t="inlineStr">
        <is>
          <t>大型案件</t>
        </is>
      </c>
    </row>
    <row r="331">
      <c r="A331" t="inlineStr">
        <is>
          <t>SR014</t>
        </is>
      </c>
      <c r="B331" t="inlineStr">
        <is>
          <t>営業担当014</t>
        </is>
      </c>
      <c r="C331" t="inlineStr">
        <is>
          <t>パートナー営業部</t>
        </is>
      </c>
      <c r="D331" s="3" t="n">
        <v>45962</v>
      </c>
      <c r="E331" t="inlineStr">
        <is>
          <t>未来通信(株)</t>
        </is>
      </c>
      <c r="F331" t="inlineStr">
        <is>
          <t>広島県</t>
        </is>
      </c>
      <c r="G331" t="inlineStr">
        <is>
          <t>ハードウェア</t>
        </is>
      </c>
      <c r="H331" t="inlineStr">
        <is>
          <t>ラベルプリンター</t>
        </is>
      </c>
      <c r="I331" s="4" t="n">
        <v>5</v>
      </c>
      <c r="J331" s="4" t="n">
        <v>86100</v>
      </c>
      <c r="K331" s="4">
        <f>I331*J331</f>
        <v/>
      </c>
      <c r="L331" t="inlineStr">
        <is>
          <t>キャンペーン適用</t>
        </is>
      </c>
    </row>
    <row r="332">
      <c r="A332" t="inlineStr">
        <is>
          <t>SR014</t>
        </is>
      </c>
      <c r="B332" t="inlineStr">
        <is>
          <t>営業担当014</t>
        </is>
      </c>
      <c r="C332" t="inlineStr">
        <is>
          <t>パートナー営業部</t>
        </is>
      </c>
      <c r="D332" s="3" t="n">
        <v>45977</v>
      </c>
      <c r="E332" t="inlineStr">
        <is>
          <t>オーシャン製作所株式会社</t>
        </is>
      </c>
      <c r="F332" t="inlineStr">
        <is>
          <t>宮城県</t>
        </is>
      </c>
      <c r="G332" t="inlineStr">
        <is>
          <t>保守サービス</t>
        </is>
      </c>
      <c r="H332" t="inlineStr">
        <is>
          <t>オンサイト保守</t>
        </is>
      </c>
      <c r="I332" s="4" t="n">
        <v>4</v>
      </c>
      <c r="J332" s="4" t="n">
        <v>157900</v>
      </c>
      <c r="K332" s="4">
        <f>I332*J332</f>
        <v/>
      </c>
      <c r="L332" t="inlineStr">
        <is>
          <t>大型案件</t>
        </is>
      </c>
    </row>
    <row r="333">
      <c r="A333" t="inlineStr">
        <is>
          <t>SR014</t>
        </is>
      </c>
      <c r="B333" t="inlineStr">
        <is>
          <t>営業担当014</t>
        </is>
      </c>
      <c r="C333" t="inlineStr">
        <is>
          <t>パートナー営業部</t>
        </is>
      </c>
      <c r="D333" s="3" t="n">
        <v>46002</v>
      </c>
      <c r="E333" t="inlineStr">
        <is>
          <t>日新サービス(株)</t>
        </is>
      </c>
      <c r="F333" t="inlineStr">
        <is>
          <t>宮城県</t>
        </is>
      </c>
      <c r="G333" t="inlineStr">
        <is>
          <t>保守サービス</t>
        </is>
      </c>
      <c r="H333" t="inlineStr">
        <is>
          <t>年間保守契約</t>
        </is>
      </c>
      <c r="I333" s="4" t="n">
        <v>5</v>
      </c>
      <c r="J333" s="4" t="n">
        <v>141800</v>
      </c>
      <c r="K333" s="4">
        <f>I333*J333</f>
        <v/>
      </c>
      <c r="L333" t="inlineStr">
        <is>
          <t>値引き調整あり</t>
        </is>
      </c>
    </row>
    <row r="334">
      <c r="A334" t="inlineStr">
        <is>
          <t>SR014</t>
        </is>
      </c>
      <c r="B334" t="inlineStr">
        <is>
          <t>営業担当014</t>
        </is>
      </c>
      <c r="C334" t="inlineStr">
        <is>
          <t>パートナー営業部</t>
        </is>
      </c>
      <c r="D334" s="3" t="n">
        <v>46005</v>
      </c>
      <c r="E334" t="inlineStr">
        <is>
          <t>西日本機工有限会社</t>
        </is>
      </c>
      <c r="F334" t="inlineStr">
        <is>
          <t>兵庫県</t>
        </is>
      </c>
      <c r="G334" t="inlineStr">
        <is>
          <t>導入支援</t>
        </is>
      </c>
      <c r="H334" t="inlineStr">
        <is>
          <t>初期設定支援</t>
        </is>
      </c>
      <c r="I334" s="4" t="n">
        <v>5</v>
      </c>
      <c r="J334" s="4" t="n">
        <v>110400</v>
      </c>
      <c r="K334" s="4">
        <f>I334*J334</f>
        <v/>
      </c>
      <c r="L334" t="inlineStr">
        <is>
          <t>大型案件</t>
        </is>
      </c>
    </row>
    <row r="335">
      <c r="A335" t="inlineStr">
        <is>
          <t>SR014</t>
        </is>
      </c>
      <c r="B335" t="inlineStr">
        <is>
          <t>営業担当014</t>
        </is>
      </c>
      <c r="C335" t="inlineStr">
        <is>
          <t>パートナー営業部</t>
        </is>
      </c>
      <c r="D335" s="3" t="n">
        <v>46028</v>
      </c>
      <c r="E335" t="inlineStr">
        <is>
          <t>九州エナジー株式会社</t>
        </is>
      </c>
      <c r="F335" t="inlineStr">
        <is>
          <t>広島県</t>
        </is>
      </c>
      <c r="G335" t="inlineStr">
        <is>
          <t>ハードウェア</t>
        </is>
      </c>
      <c r="H335" t="inlineStr">
        <is>
          <t>ネットワークカメラ</t>
        </is>
      </c>
      <c r="I335" s="4" t="n">
        <v>3</v>
      </c>
      <c r="J335" s="4" t="n">
        <v>31000</v>
      </c>
      <c r="K335" s="4">
        <f>I335*J335</f>
        <v/>
      </c>
      <c r="L335" t="inlineStr">
        <is>
          <t>キャンペーン適用</t>
        </is>
      </c>
    </row>
    <row r="336">
      <c r="A336" t="inlineStr">
        <is>
          <t>SR014</t>
        </is>
      </c>
      <c r="B336" t="inlineStr">
        <is>
          <t>営業担当014</t>
        </is>
      </c>
      <c r="C336" t="inlineStr">
        <is>
          <t>パートナー営業部</t>
        </is>
      </c>
      <c r="D336" s="3" t="n">
        <v>46045</v>
      </c>
      <c r="E336" t="inlineStr">
        <is>
          <t>みらい物流株式会社</t>
        </is>
      </c>
      <c r="F336" t="inlineStr">
        <is>
          <t>神奈川県</t>
        </is>
      </c>
      <c r="G336" t="inlineStr">
        <is>
          <t>ハードウェア</t>
        </is>
      </c>
      <c r="H336" t="inlineStr">
        <is>
          <t>ネットワークカメラ</t>
        </is>
      </c>
      <c r="I336" s="4" t="n">
        <v>2</v>
      </c>
      <c r="J336" s="4" t="n">
        <v>63800</v>
      </c>
      <c r="K336" s="4">
        <f>I336*J336</f>
        <v/>
      </c>
      <c r="L336" t="inlineStr">
        <is>
          <t>新規開拓</t>
        </is>
      </c>
    </row>
    <row r="337">
      <c r="A337" t="inlineStr">
        <is>
          <t>SR014</t>
        </is>
      </c>
      <c r="B337" t="inlineStr">
        <is>
          <t>営業担当014</t>
        </is>
      </c>
      <c r="C337" t="inlineStr">
        <is>
          <t>パートナー営業部</t>
        </is>
      </c>
      <c r="D337" s="3" t="n">
        <v>46065</v>
      </c>
      <c r="E337" t="inlineStr">
        <is>
          <t>中央設備株式会社</t>
        </is>
      </c>
      <c r="F337" t="inlineStr">
        <is>
          <t>東京都</t>
        </is>
      </c>
      <c r="G337" t="inlineStr">
        <is>
          <t>保守サービス</t>
        </is>
      </c>
      <c r="H337" t="inlineStr">
        <is>
          <t>オンサイト保守</t>
        </is>
      </c>
      <c r="I337" s="4" t="n">
        <v>3</v>
      </c>
      <c r="J337" s="4" t="n">
        <v>95200</v>
      </c>
      <c r="K337" s="4">
        <f>I337*J337</f>
        <v/>
      </c>
      <c r="L337" t="inlineStr"/>
    </row>
    <row r="338">
      <c r="A338" t="inlineStr">
        <is>
          <t>SR014</t>
        </is>
      </c>
      <c r="B338" t="inlineStr">
        <is>
          <t>営業担当014</t>
        </is>
      </c>
      <c r="C338" t="inlineStr">
        <is>
          <t>パートナー営業部</t>
        </is>
      </c>
      <c r="D338" s="3" t="n">
        <v>46075</v>
      </c>
      <c r="E338" t="inlineStr">
        <is>
          <t>ネクストソリューション株式会社</t>
        </is>
      </c>
      <c r="F338" t="inlineStr">
        <is>
          <t>神奈川県</t>
        </is>
      </c>
      <c r="G338" t="inlineStr">
        <is>
          <t>ハードウェア</t>
        </is>
      </c>
      <c r="H338" t="inlineStr">
        <is>
          <t>ラベルプリンター</t>
        </is>
      </c>
      <c r="I338" s="4" t="n">
        <v>2</v>
      </c>
      <c r="J338" s="4" t="n">
        <v>74600</v>
      </c>
      <c r="K338" s="4">
        <f>I338*J338</f>
        <v/>
      </c>
      <c r="L338" t="inlineStr">
        <is>
          <t>キャンペーン適用</t>
        </is>
      </c>
    </row>
    <row r="339">
      <c r="A339" t="inlineStr">
        <is>
          <t>SR014</t>
        </is>
      </c>
      <c r="B339" t="inlineStr">
        <is>
          <t>営業担当014</t>
        </is>
      </c>
      <c r="C339" t="inlineStr">
        <is>
          <t>パートナー営業部</t>
        </is>
      </c>
      <c r="D339" s="3" t="n">
        <v>46086</v>
      </c>
      <c r="E339" t="inlineStr">
        <is>
          <t>みらい物流株式会社</t>
        </is>
      </c>
      <c r="F339" t="inlineStr">
        <is>
          <t>宮城県</t>
        </is>
      </c>
      <c r="G339" t="inlineStr">
        <is>
          <t>導入支援</t>
        </is>
      </c>
      <c r="H339" t="inlineStr">
        <is>
          <t>操作研修パック</t>
        </is>
      </c>
      <c r="I339" s="4" t="n">
        <v>5</v>
      </c>
      <c r="J339" s="4" t="n">
        <v>134900</v>
      </c>
      <c r="K339" s="4">
        <f>I339*J339</f>
        <v/>
      </c>
      <c r="L339" t="inlineStr">
        <is>
          <t>キャンペーン適用</t>
        </is>
      </c>
    </row>
    <row r="340">
      <c r="A340" t="inlineStr">
        <is>
          <t>SR014</t>
        </is>
      </c>
      <c r="B340" t="inlineStr">
        <is>
          <t>営業担当014</t>
        </is>
      </c>
      <c r="C340" t="inlineStr">
        <is>
          <t>パートナー営業部</t>
        </is>
      </c>
      <c r="D340" s="3" t="n">
        <v>46107</v>
      </c>
      <c r="E340" t="inlineStr">
        <is>
          <t>日新サービス株式会社</t>
        </is>
      </c>
      <c r="F340" t="inlineStr">
        <is>
          <t>広島県</t>
        </is>
      </c>
      <c r="G340" t="inlineStr">
        <is>
          <t>消耗品</t>
        </is>
      </c>
      <c r="H340" t="inlineStr">
        <is>
          <t>保守用バッテリー</t>
        </is>
      </c>
      <c r="I340" s="4" t="n">
        <v>10</v>
      </c>
      <c r="J340" s="4" t="n">
        <v>14000</v>
      </c>
      <c r="K340" s="4">
        <f>I340*J340</f>
        <v/>
      </c>
      <c r="L340" t="inlineStr">
        <is>
          <t>値引き調整あり</t>
        </is>
      </c>
    </row>
    <row r="341">
      <c r="A341" t="inlineStr">
        <is>
          <t>SR015</t>
        </is>
      </c>
      <c r="B341" t="inlineStr">
        <is>
          <t>営業担当015</t>
        </is>
      </c>
      <c r="C341" t="inlineStr">
        <is>
          <t>インサイドセールス部</t>
        </is>
      </c>
      <c r="D341" s="3" t="n">
        <v>45758</v>
      </c>
      <c r="E341" t="inlineStr">
        <is>
          <t>東洋フーズ(株)</t>
        </is>
      </c>
      <c r="F341" t="inlineStr">
        <is>
          <t>大阪府</t>
        </is>
      </c>
      <c r="G341" t="inlineStr">
        <is>
          <t>保守サービス</t>
        </is>
      </c>
      <c r="H341" t="inlineStr">
        <is>
          <t>ヘルプデスク契約</t>
        </is>
      </c>
      <c r="I341" s="4" t="n">
        <v>4</v>
      </c>
      <c r="J341" s="4" t="n">
        <v>90000</v>
      </c>
      <c r="K341" s="4">
        <f>I341*J341</f>
        <v/>
      </c>
      <c r="L341" t="inlineStr">
        <is>
          <t>新規開拓</t>
        </is>
      </c>
    </row>
    <row r="342">
      <c r="A342" t="inlineStr">
        <is>
          <t>SR015</t>
        </is>
      </c>
      <c r="B342" t="inlineStr">
        <is>
          <t>営業担当015</t>
        </is>
      </c>
      <c r="C342" t="inlineStr">
        <is>
          <t>インサイドセールス部</t>
        </is>
      </c>
      <c r="D342" s="3" t="n">
        <v>45764</v>
      </c>
      <c r="E342" t="inlineStr">
        <is>
          <t>アーク電機有限会社</t>
        </is>
      </c>
      <c r="F342" t="inlineStr">
        <is>
          <t>東京都</t>
        </is>
      </c>
      <c r="G342" t="inlineStr">
        <is>
          <t>保守サービス</t>
        </is>
      </c>
      <c r="H342" t="inlineStr">
        <is>
          <t>ヘルプデスク契約</t>
        </is>
      </c>
      <c r="I342" s="4" t="n">
        <v>5</v>
      </c>
      <c r="J342" s="4" t="n">
        <v>96800</v>
      </c>
      <c r="K342" s="4">
        <f>I342*J342</f>
        <v/>
      </c>
      <c r="L342" t="inlineStr"/>
    </row>
    <row r="343">
      <c r="A343" t="inlineStr">
        <is>
          <t>SR015</t>
        </is>
      </c>
      <c r="B343" t="inlineStr">
        <is>
          <t>営業担当015</t>
        </is>
      </c>
      <c r="C343" t="inlineStr">
        <is>
          <t>インサイドセールス部</t>
        </is>
      </c>
      <c r="D343" s="3" t="n">
        <v>45781</v>
      </c>
      <c r="E343" t="inlineStr">
        <is>
          <t>桜井メディカル有限会社</t>
        </is>
      </c>
      <c r="F343" t="inlineStr">
        <is>
          <t>北海道</t>
        </is>
      </c>
      <c r="G343" t="inlineStr">
        <is>
          <t>ハードウェア</t>
        </is>
      </c>
      <c r="H343" t="inlineStr">
        <is>
          <t>産業用タブレット</t>
        </is>
      </c>
      <c r="I343" s="4" t="n">
        <v>5</v>
      </c>
      <c r="J343" s="4" t="n">
        <v>108900</v>
      </c>
      <c r="K343" s="4">
        <f>I343*J343</f>
        <v/>
      </c>
      <c r="L343" t="inlineStr">
        <is>
          <t>新規開拓</t>
        </is>
      </c>
    </row>
    <row r="344">
      <c r="A344" t="inlineStr">
        <is>
          <t>SR015</t>
        </is>
      </c>
      <c r="B344" t="inlineStr">
        <is>
          <t>営業担当015</t>
        </is>
      </c>
      <c r="C344" t="inlineStr">
        <is>
          <t>インサイドセールス部</t>
        </is>
      </c>
      <c r="D344" s="3" t="n">
        <v>45797</v>
      </c>
      <c r="E344" t="inlineStr">
        <is>
          <t>日新サービス有限会社</t>
        </is>
      </c>
      <c r="F344" t="inlineStr">
        <is>
          <t>宮城県</t>
        </is>
      </c>
      <c r="G344" t="inlineStr">
        <is>
          <t>消耗品</t>
        </is>
      </c>
      <c r="H344" t="inlineStr">
        <is>
          <t>ラベルロール</t>
        </is>
      </c>
      <c r="I344" s="4" t="n">
        <v>6</v>
      </c>
      <c r="J344" s="4" t="n">
        <v>9400</v>
      </c>
      <c r="K344" s="4">
        <f>I344*J344</f>
        <v/>
      </c>
      <c r="L344" t="inlineStr">
        <is>
          <t>分納</t>
        </is>
      </c>
    </row>
    <row r="345">
      <c r="A345" t="inlineStr">
        <is>
          <t>SR015</t>
        </is>
      </c>
      <c r="B345" t="inlineStr">
        <is>
          <t>営業担当015</t>
        </is>
      </c>
      <c r="C345" t="inlineStr">
        <is>
          <t>インサイドセールス部</t>
        </is>
      </c>
      <c r="D345" s="3" t="n">
        <v>45828</v>
      </c>
      <c r="E345" t="inlineStr">
        <is>
          <t>西日本機工有限会社</t>
        </is>
      </c>
      <c r="F345" t="inlineStr">
        <is>
          <t>神奈川県</t>
        </is>
      </c>
      <c r="G345" t="inlineStr">
        <is>
          <t>消耗品</t>
        </is>
      </c>
      <c r="H345" t="inlineStr">
        <is>
          <t>交換用ヘッド</t>
        </is>
      </c>
      <c r="I345" s="4" t="n">
        <v>2</v>
      </c>
      <c r="J345" s="4" t="n">
        <v>39520</v>
      </c>
      <c r="K345" s="4">
        <f>I345*J345</f>
        <v/>
      </c>
      <c r="L345" t="inlineStr"/>
    </row>
    <row r="346">
      <c r="A346" t="inlineStr">
        <is>
          <t>SR015</t>
        </is>
      </c>
      <c r="B346" t="inlineStr">
        <is>
          <t>営業担当015</t>
        </is>
      </c>
      <c r="C346" t="inlineStr">
        <is>
          <t>インサイドセールス部</t>
        </is>
      </c>
      <c r="D346" s="3" t="n">
        <v>45834</v>
      </c>
      <c r="E346" t="inlineStr">
        <is>
          <t>アーク電機株式会社</t>
        </is>
      </c>
      <c r="F346" t="inlineStr">
        <is>
          <t>東京都</t>
        </is>
      </c>
      <c r="G346" t="inlineStr">
        <is>
          <t>ソフトウェア</t>
        </is>
      </c>
      <c r="H346" t="inlineStr">
        <is>
          <t>帳票自動化ツール</t>
        </is>
      </c>
      <c r="I346" s="4" t="n">
        <v>2</v>
      </c>
      <c r="J346" s="4" t="n">
        <v>359100</v>
      </c>
      <c r="K346" s="4">
        <f>I346*J346</f>
        <v/>
      </c>
      <c r="L346" t="inlineStr">
        <is>
          <t>値引き調整あり</t>
        </is>
      </c>
    </row>
    <row r="347">
      <c r="A347" t="inlineStr">
        <is>
          <t>SR015</t>
        </is>
      </c>
      <c r="B347" t="inlineStr">
        <is>
          <t>営業担当015</t>
        </is>
      </c>
      <c r="C347" t="inlineStr">
        <is>
          <t>インサイドセールス部</t>
        </is>
      </c>
      <c r="D347" s="3" t="n">
        <v>45849</v>
      </c>
      <c r="E347" t="inlineStr">
        <is>
          <t>中央設備株式会社</t>
        </is>
      </c>
      <c r="F347" t="inlineStr">
        <is>
          <t>神奈川県</t>
        </is>
      </c>
      <c r="G347" t="inlineStr">
        <is>
          <t>ソフトウェア</t>
        </is>
      </c>
      <c r="H347" t="inlineStr">
        <is>
          <t>営業支援SaaS</t>
        </is>
      </c>
      <c r="I347" s="4" t="n">
        <v>3</v>
      </c>
      <c r="J347" s="4" t="n">
        <v>177900</v>
      </c>
      <c r="K347" s="4">
        <f>I347*J347</f>
        <v/>
      </c>
      <c r="L347" t="inlineStr">
        <is>
          <t>値引き調整あり</t>
        </is>
      </c>
    </row>
    <row r="348">
      <c r="A348" t="inlineStr">
        <is>
          <t>SR015</t>
        </is>
      </c>
      <c r="B348" t="inlineStr">
        <is>
          <t>営業担当015</t>
        </is>
      </c>
      <c r="C348" t="inlineStr">
        <is>
          <t>インサイドセールス部</t>
        </is>
      </c>
      <c r="D348" s="3" t="n">
        <v>45856</v>
      </c>
      <c r="E348" t="inlineStr">
        <is>
          <t>星和商会有限会社</t>
        </is>
      </c>
      <c r="F348" t="inlineStr">
        <is>
          <t>兵庫県</t>
        </is>
      </c>
      <c r="G348" t="inlineStr">
        <is>
          <t>ハードウェア</t>
        </is>
      </c>
      <c r="H348" t="inlineStr">
        <is>
          <t>ネットワークカメラ</t>
        </is>
      </c>
      <c r="I348" s="4" t="n">
        <v>3</v>
      </c>
      <c r="J348" s="4" t="n">
        <v>64000</v>
      </c>
      <c r="K348" s="4">
        <f>I348*J348</f>
        <v/>
      </c>
      <c r="L348" t="inlineStr">
        <is>
          <t>分納</t>
        </is>
      </c>
    </row>
    <row r="349">
      <c r="A349" t="inlineStr">
        <is>
          <t>SR015</t>
        </is>
      </c>
      <c r="B349" t="inlineStr">
        <is>
          <t>営業担当015</t>
        </is>
      </c>
      <c r="C349" t="inlineStr">
        <is>
          <t>インサイドセールス部</t>
        </is>
      </c>
      <c r="D349" s="3" t="n">
        <v>45882</v>
      </c>
      <c r="E349" t="inlineStr">
        <is>
          <t>アーク電機有限会社</t>
        </is>
      </c>
      <c r="F349" t="inlineStr">
        <is>
          <t>福岡県</t>
        </is>
      </c>
      <c r="G349" t="inlineStr">
        <is>
          <t>消耗品</t>
        </is>
      </c>
      <c r="H349" t="inlineStr">
        <is>
          <t>保守用バッテリー</t>
        </is>
      </c>
      <c r="I349" s="4" t="n">
        <v>7</v>
      </c>
      <c r="J349" s="4" t="n">
        <v>9600</v>
      </c>
      <c r="K349" s="4">
        <f>I349*J349</f>
        <v/>
      </c>
      <c r="L349" t="inlineStr">
        <is>
          <t>分納</t>
        </is>
      </c>
    </row>
    <row r="350">
      <c r="A350" t="inlineStr">
        <is>
          <t>SR015</t>
        </is>
      </c>
      <c r="B350" t="inlineStr">
        <is>
          <t>営業担当015</t>
        </is>
      </c>
      <c r="C350" t="inlineStr">
        <is>
          <t>インサイドセールス部</t>
        </is>
      </c>
      <c r="D350" s="3" t="n">
        <v>45894</v>
      </c>
      <c r="E350" t="inlineStr">
        <is>
          <t>星和商会有限会社</t>
        </is>
      </c>
      <c r="F350" t="inlineStr">
        <is>
          <t>京都府</t>
        </is>
      </c>
      <c r="G350" t="inlineStr">
        <is>
          <t>ハードウェア</t>
        </is>
      </c>
      <c r="H350" t="inlineStr">
        <is>
          <t>ラベルプリンター</t>
        </is>
      </c>
      <c r="I350" s="4" t="n">
        <v>1</v>
      </c>
      <c r="J350" s="4" t="n">
        <v>62700</v>
      </c>
      <c r="K350" s="4">
        <f>I350*J350</f>
        <v/>
      </c>
      <c r="L350" t="inlineStr"/>
    </row>
    <row r="351">
      <c r="A351" t="inlineStr">
        <is>
          <t>SR015</t>
        </is>
      </c>
      <c r="B351" t="inlineStr">
        <is>
          <t>営業担当015</t>
        </is>
      </c>
      <c r="C351" t="inlineStr">
        <is>
          <t>インサイドセールス部</t>
        </is>
      </c>
      <c r="D351" s="3" t="n">
        <v>45910</v>
      </c>
      <c r="E351" t="inlineStr">
        <is>
          <t>アーク電機株式会社</t>
        </is>
      </c>
      <c r="F351" t="inlineStr">
        <is>
          <t>大阪府</t>
        </is>
      </c>
      <c r="G351" t="inlineStr">
        <is>
          <t>ハードウェア</t>
        </is>
      </c>
      <c r="H351" t="inlineStr">
        <is>
          <t>ラベルプリンター</t>
        </is>
      </c>
      <c r="I351" s="4" t="n">
        <v>3</v>
      </c>
      <c r="J351" s="4" t="n">
        <v>55500</v>
      </c>
      <c r="K351" s="4">
        <f>I351*J351</f>
        <v/>
      </c>
      <c r="L351" t="inlineStr">
        <is>
          <t>分納</t>
        </is>
      </c>
    </row>
    <row r="352">
      <c r="A352" t="inlineStr">
        <is>
          <t>SR015</t>
        </is>
      </c>
      <c r="B352" t="inlineStr">
        <is>
          <t>営業担当015</t>
        </is>
      </c>
      <c r="C352" t="inlineStr">
        <is>
          <t>インサイドセールス部</t>
        </is>
      </c>
      <c r="D352" s="3" t="n">
        <v>45921</v>
      </c>
      <c r="E352" t="inlineStr">
        <is>
          <t>九州エナジー有限会社</t>
        </is>
      </c>
      <c r="F352" t="inlineStr">
        <is>
          <t>福岡県</t>
        </is>
      </c>
      <c r="G352" t="inlineStr">
        <is>
          <t>消耗品</t>
        </is>
      </c>
      <c r="H352" t="inlineStr">
        <is>
          <t>ラベルロール</t>
        </is>
      </c>
      <c r="I352" s="4" t="n">
        <v>8</v>
      </c>
      <c r="J352" s="4" t="n">
        <v>8110</v>
      </c>
      <c r="K352" s="4">
        <f>I352*J352</f>
        <v/>
      </c>
      <c r="L352" t="inlineStr"/>
    </row>
    <row r="353">
      <c r="A353" t="inlineStr">
        <is>
          <t>SR015</t>
        </is>
      </c>
      <c r="B353" t="inlineStr">
        <is>
          <t>営業担当015</t>
        </is>
      </c>
      <c r="C353" t="inlineStr">
        <is>
          <t>インサイドセールス部</t>
        </is>
      </c>
      <c r="D353" s="3" t="n">
        <v>45936</v>
      </c>
      <c r="E353" t="inlineStr">
        <is>
          <t>オーシャン製作所(株)</t>
        </is>
      </c>
      <c r="F353" t="inlineStr">
        <is>
          <t>兵庫県</t>
        </is>
      </c>
      <c r="G353" t="inlineStr">
        <is>
          <t>ソフトウェア</t>
        </is>
      </c>
      <c r="H353" t="inlineStr">
        <is>
          <t>帳票自動化ツール</t>
        </is>
      </c>
      <c r="I353" s="4" t="n">
        <v>1</v>
      </c>
      <c r="J353" s="4" t="n">
        <v>348400</v>
      </c>
      <c r="K353" s="4">
        <f>I353*J353</f>
        <v/>
      </c>
      <c r="L353" t="inlineStr"/>
    </row>
    <row r="354">
      <c r="A354" t="inlineStr">
        <is>
          <t>SR015</t>
        </is>
      </c>
      <c r="B354" t="inlineStr">
        <is>
          <t>営業担当015</t>
        </is>
      </c>
      <c r="C354" t="inlineStr">
        <is>
          <t>インサイドセールス部</t>
        </is>
      </c>
      <c r="D354" s="3" t="n">
        <v>45956</v>
      </c>
      <c r="E354" t="inlineStr">
        <is>
          <t>東洋フーズ有限会社</t>
        </is>
      </c>
      <c r="F354" t="inlineStr">
        <is>
          <t>広島県</t>
        </is>
      </c>
      <c r="G354" t="inlineStr">
        <is>
          <t>保守サービス</t>
        </is>
      </c>
      <c r="H354" t="inlineStr">
        <is>
          <t>オンサイト保守</t>
        </is>
      </c>
      <c r="I354" s="4" t="n">
        <v>1</v>
      </c>
      <c r="J354" s="4" t="n">
        <v>129700</v>
      </c>
      <c r="K354" s="4">
        <f>I354*J354</f>
        <v/>
      </c>
      <c r="L354" t="inlineStr">
        <is>
          <t>分納</t>
        </is>
      </c>
    </row>
    <row r="355">
      <c r="A355" t="inlineStr">
        <is>
          <t>SR015</t>
        </is>
      </c>
      <c r="B355" t="inlineStr">
        <is>
          <t>営業担当015</t>
        </is>
      </c>
      <c r="C355" t="inlineStr">
        <is>
          <t>インサイドセールス部</t>
        </is>
      </c>
      <c r="D355" s="3" t="n">
        <v>45968</v>
      </c>
      <c r="E355" t="inlineStr">
        <is>
          <t>日新サービス有限会社</t>
        </is>
      </c>
      <c r="F355" t="inlineStr">
        <is>
          <t>京都府</t>
        </is>
      </c>
      <c r="G355" t="inlineStr">
        <is>
          <t>導入支援</t>
        </is>
      </c>
      <c r="H355" t="inlineStr">
        <is>
          <t>データ移行支援</t>
        </is>
      </c>
      <c r="I355" s="4" t="n">
        <v>4</v>
      </c>
      <c r="J355" s="4" t="n">
        <v>250200</v>
      </c>
      <c r="K355" s="4">
        <f>I355*J355</f>
        <v/>
      </c>
      <c r="L355" t="inlineStr">
        <is>
          <t>分納</t>
        </is>
      </c>
    </row>
    <row r="356">
      <c r="A356" t="inlineStr">
        <is>
          <t>SR015</t>
        </is>
      </c>
      <c r="B356" t="inlineStr">
        <is>
          <t>営業担当015</t>
        </is>
      </c>
      <c r="C356" t="inlineStr">
        <is>
          <t>インサイドセールス部</t>
        </is>
      </c>
      <c r="D356" s="3" t="n">
        <v>45972</v>
      </c>
      <c r="E356" t="inlineStr">
        <is>
          <t>みらい物流(株)</t>
        </is>
      </c>
      <c r="F356" t="inlineStr">
        <is>
          <t>東京都</t>
        </is>
      </c>
      <c r="G356" t="inlineStr">
        <is>
          <t>ソフトウェア</t>
        </is>
      </c>
      <c r="H356" t="inlineStr">
        <is>
          <t>在庫管理クラウド</t>
        </is>
      </c>
      <c r="I356" s="4" t="n">
        <v>3</v>
      </c>
      <c r="J356" s="4" t="n">
        <v>445400</v>
      </c>
      <c r="K356" s="4">
        <f>I356*J356</f>
        <v/>
      </c>
      <c r="L356" t="inlineStr"/>
    </row>
    <row r="357">
      <c r="A357" t="inlineStr">
        <is>
          <t>SR015</t>
        </is>
      </c>
      <c r="B357" t="inlineStr">
        <is>
          <t>営業担当015</t>
        </is>
      </c>
      <c r="C357" t="inlineStr">
        <is>
          <t>インサイドセールス部</t>
        </is>
      </c>
      <c r="D357" s="3" t="n">
        <v>46007</v>
      </c>
      <c r="E357" t="inlineStr">
        <is>
          <t>西日本機工株式会社</t>
        </is>
      </c>
      <c r="F357" t="inlineStr">
        <is>
          <t>兵庫県</t>
        </is>
      </c>
      <c r="G357" t="inlineStr">
        <is>
          <t>ソフトウェア</t>
        </is>
      </c>
      <c r="H357" t="inlineStr">
        <is>
          <t>営業支援SaaS</t>
        </is>
      </c>
      <c r="I357" s="4" t="n">
        <v>3</v>
      </c>
      <c r="J357" s="4" t="n">
        <v>133300</v>
      </c>
      <c r="K357" s="4">
        <f>I357*J357</f>
        <v/>
      </c>
      <c r="L357" t="inlineStr">
        <is>
          <t>リピート受注</t>
        </is>
      </c>
    </row>
    <row r="358">
      <c r="A358" t="inlineStr">
        <is>
          <t>SR015</t>
        </is>
      </c>
      <c r="B358" t="inlineStr">
        <is>
          <t>営業担当015</t>
        </is>
      </c>
      <c r="C358" t="inlineStr">
        <is>
          <t>インサイドセールス部</t>
        </is>
      </c>
      <c r="D358" s="3" t="n">
        <v>46013</v>
      </c>
      <c r="E358" t="inlineStr">
        <is>
          <t>西日本機工有限会社</t>
        </is>
      </c>
      <c r="F358" t="inlineStr">
        <is>
          <t>愛知県</t>
        </is>
      </c>
      <c r="G358" t="inlineStr">
        <is>
          <t>消耗品</t>
        </is>
      </c>
      <c r="H358" t="inlineStr">
        <is>
          <t>ラベルロール</t>
        </is>
      </c>
      <c r="I358" s="4" t="n">
        <v>9</v>
      </c>
      <c r="J358" s="4" t="n">
        <v>5470</v>
      </c>
      <c r="K358" s="4">
        <f>I358*J358</f>
        <v/>
      </c>
      <c r="L358" t="inlineStr">
        <is>
          <t>新規開拓</t>
        </is>
      </c>
    </row>
    <row r="359">
      <c r="A359" t="inlineStr">
        <is>
          <t>SR015</t>
        </is>
      </c>
      <c r="B359" t="inlineStr">
        <is>
          <t>営業担当015</t>
        </is>
      </c>
      <c r="C359" t="inlineStr">
        <is>
          <t>インサイドセールス部</t>
        </is>
      </c>
      <c r="D359" s="3" t="n">
        <v>46030</v>
      </c>
      <c r="E359" t="inlineStr">
        <is>
          <t>九州エナジー(株)</t>
        </is>
      </c>
      <c r="F359" t="inlineStr">
        <is>
          <t>福岡県</t>
        </is>
      </c>
      <c r="G359" t="inlineStr">
        <is>
          <t>導入支援</t>
        </is>
      </c>
      <c r="H359" t="inlineStr">
        <is>
          <t>操作研修パック</t>
        </is>
      </c>
      <c r="I359" s="4" t="n">
        <v>4</v>
      </c>
      <c r="J359" s="4" t="n">
        <v>142500</v>
      </c>
      <c r="K359" s="4">
        <f>I359*J359</f>
        <v/>
      </c>
      <c r="L359" t="inlineStr">
        <is>
          <t>値引き調整あり</t>
        </is>
      </c>
    </row>
    <row r="360">
      <c r="A360" t="inlineStr">
        <is>
          <t>SR015</t>
        </is>
      </c>
      <c r="B360" t="inlineStr">
        <is>
          <t>営業担当015</t>
        </is>
      </c>
      <c r="C360" t="inlineStr">
        <is>
          <t>インサイドセールス部</t>
        </is>
      </c>
      <c r="D360" s="3" t="n">
        <v>46040</v>
      </c>
      <c r="E360" t="inlineStr">
        <is>
          <t>アーク電機(株)</t>
        </is>
      </c>
      <c r="F360" t="inlineStr">
        <is>
          <t>愛知県</t>
        </is>
      </c>
      <c r="G360" t="inlineStr">
        <is>
          <t>導入支援</t>
        </is>
      </c>
      <c r="H360" t="inlineStr">
        <is>
          <t>操作研修パック</t>
        </is>
      </c>
      <c r="I360" s="4" t="n">
        <v>2</v>
      </c>
      <c r="J360" s="4" t="n">
        <v>68100</v>
      </c>
      <c r="K360" s="4">
        <f>I360*J360</f>
        <v/>
      </c>
      <c r="L360" t="inlineStr">
        <is>
          <t>キャンペーン適用</t>
        </is>
      </c>
    </row>
    <row r="361">
      <c r="A361" t="inlineStr">
        <is>
          <t>SR015</t>
        </is>
      </c>
      <c r="B361" t="inlineStr">
        <is>
          <t>営業担当015</t>
        </is>
      </c>
      <c r="C361" t="inlineStr">
        <is>
          <t>インサイドセールス部</t>
        </is>
      </c>
      <c r="D361" s="3" t="n">
        <v>46057</v>
      </c>
      <c r="E361" t="inlineStr">
        <is>
          <t>星和商会株式会社</t>
        </is>
      </c>
      <c r="F361" t="inlineStr">
        <is>
          <t>神奈川県</t>
        </is>
      </c>
      <c r="G361" t="inlineStr">
        <is>
          <t>消耗品</t>
        </is>
      </c>
      <c r="H361" t="inlineStr">
        <is>
          <t>保守用バッテリー</t>
        </is>
      </c>
      <c r="I361" s="4" t="n">
        <v>9</v>
      </c>
      <c r="J361" s="4" t="n">
        <v>6650</v>
      </c>
      <c r="K361" s="4">
        <f>I361*J361</f>
        <v/>
      </c>
      <c r="L361" t="inlineStr">
        <is>
          <t>分納</t>
        </is>
      </c>
    </row>
    <row r="362">
      <c r="A362" t="inlineStr">
        <is>
          <t>SR015</t>
        </is>
      </c>
      <c r="B362" t="inlineStr">
        <is>
          <t>営業担当015</t>
        </is>
      </c>
      <c r="C362" t="inlineStr">
        <is>
          <t>インサイドセールス部</t>
        </is>
      </c>
      <c r="D362" s="3" t="n">
        <v>46066</v>
      </c>
      <c r="E362" t="inlineStr">
        <is>
          <t>青葉商事有限会社</t>
        </is>
      </c>
      <c r="F362" t="inlineStr">
        <is>
          <t>兵庫県</t>
        </is>
      </c>
      <c r="G362" t="inlineStr">
        <is>
          <t>ハードウェア</t>
        </is>
      </c>
      <c r="H362" t="inlineStr">
        <is>
          <t>ネットワークカメラ</t>
        </is>
      </c>
      <c r="I362" s="4" t="n">
        <v>5</v>
      </c>
      <c r="J362" s="4" t="n">
        <v>67900</v>
      </c>
      <c r="K362" s="4">
        <f>I362*J362</f>
        <v/>
      </c>
      <c r="L362" t="inlineStr">
        <is>
          <t>キャンペーン適用</t>
        </is>
      </c>
    </row>
    <row r="363">
      <c r="A363" t="inlineStr">
        <is>
          <t>SR015</t>
        </is>
      </c>
      <c r="B363" t="inlineStr">
        <is>
          <t>営業担当015</t>
        </is>
      </c>
      <c r="C363" t="inlineStr">
        <is>
          <t>インサイドセールス部</t>
        </is>
      </c>
      <c r="D363" s="3" t="n">
        <v>46082</v>
      </c>
      <c r="E363" t="inlineStr">
        <is>
          <t>東洋フーズ株式会社</t>
        </is>
      </c>
      <c r="F363" t="inlineStr">
        <is>
          <t>神奈川県</t>
        </is>
      </c>
      <c r="G363" t="inlineStr">
        <is>
          <t>ソフトウェア</t>
        </is>
      </c>
      <c r="H363" t="inlineStr">
        <is>
          <t>在庫管理クラウド</t>
        </is>
      </c>
      <c r="I363" s="4" t="n">
        <v>5</v>
      </c>
      <c r="J363" s="4" t="n">
        <v>256500</v>
      </c>
      <c r="K363" s="4">
        <f>I363*J363</f>
        <v/>
      </c>
      <c r="L363" t="inlineStr">
        <is>
          <t>新規開拓</t>
        </is>
      </c>
    </row>
    <row r="364">
      <c r="A364" t="inlineStr">
        <is>
          <t>SR015</t>
        </is>
      </c>
      <c r="B364" t="inlineStr">
        <is>
          <t>営業担当015</t>
        </is>
      </c>
      <c r="C364" t="inlineStr">
        <is>
          <t>インサイドセールス部</t>
        </is>
      </c>
      <c r="D364" s="3" t="n">
        <v>46099</v>
      </c>
      <c r="E364" t="inlineStr">
        <is>
          <t>東洋フーズ(株)</t>
        </is>
      </c>
      <c r="F364" t="inlineStr">
        <is>
          <t>大阪府</t>
        </is>
      </c>
      <c r="G364" t="inlineStr">
        <is>
          <t>ハードウェア</t>
        </is>
      </c>
      <c r="H364" t="inlineStr">
        <is>
          <t>ラベルプリンター</t>
        </is>
      </c>
      <c r="I364" s="4" t="n">
        <v>1</v>
      </c>
      <c r="J364" s="4" t="n">
        <v>61000</v>
      </c>
      <c r="K364" s="4">
        <f>I364*J364</f>
        <v/>
      </c>
      <c r="L364" t="inlineStr">
        <is>
          <t>リピート受注</t>
        </is>
      </c>
    </row>
    <row r="365">
      <c r="A365" t="inlineStr">
        <is>
          <t>SR016</t>
        </is>
      </c>
      <c r="B365" t="inlineStr">
        <is>
          <t>営業担当016</t>
        </is>
      </c>
      <c r="C365" t="inlineStr">
        <is>
          <t>第1営業部</t>
        </is>
      </c>
      <c r="D365" s="3" t="n">
        <v>45759</v>
      </c>
      <c r="E365" t="inlineStr">
        <is>
          <t>みらい物流(株)</t>
        </is>
      </c>
      <c r="F365" t="inlineStr">
        <is>
          <t>大阪府</t>
        </is>
      </c>
      <c r="G365" t="inlineStr">
        <is>
          <t>ハードウェア</t>
        </is>
      </c>
      <c r="H365" t="inlineStr">
        <is>
          <t>小型ハンディ端末</t>
        </is>
      </c>
      <c r="I365" s="4" t="n">
        <v>5</v>
      </c>
      <c r="J365" s="4" t="n">
        <v>80900</v>
      </c>
      <c r="K365" s="4">
        <f>I365*J365</f>
        <v/>
      </c>
      <c r="L365" t="inlineStr">
        <is>
          <t>キャンペーン適用</t>
        </is>
      </c>
    </row>
    <row r="366">
      <c r="A366" t="inlineStr">
        <is>
          <t>SR016</t>
        </is>
      </c>
      <c r="B366" t="inlineStr">
        <is>
          <t>営業担当016</t>
        </is>
      </c>
      <c r="C366" t="inlineStr">
        <is>
          <t>第1営業部</t>
        </is>
      </c>
      <c r="D366" s="3" t="n">
        <v>45769</v>
      </c>
      <c r="E366" t="inlineStr">
        <is>
          <t>西日本機工株式会社</t>
        </is>
      </c>
      <c r="F366" t="inlineStr">
        <is>
          <t>宮城県</t>
        </is>
      </c>
      <c r="G366" t="inlineStr">
        <is>
          <t>保守サービス</t>
        </is>
      </c>
      <c r="H366" t="inlineStr">
        <is>
          <t>ヘルプデスク契約</t>
        </is>
      </c>
      <c r="I366" s="4" t="n">
        <v>2</v>
      </c>
      <c r="J366" s="4" t="n">
        <v>79900</v>
      </c>
      <c r="K366" s="4">
        <f>I366*J366</f>
        <v/>
      </c>
      <c r="L366" t="inlineStr"/>
    </row>
    <row r="367">
      <c r="A367" t="inlineStr">
        <is>
          <t>SR016</t>
        </is>
      </c>
      <c r="B367" t="inlineStr">
        <is>
          <t>営業担当016</t>
        </is>
      </c>
      <c r="C367" t="inlineStr">
        <is>
          <t>第1営業部</t>
        </is>
      </c>
      <c r="D367" s="3" t="n">
        <v>45783</v>
      </c>
      <c r="E367" t="inlineStr">
        <is>
          <t>ライトホーム株式会社</t>
        </is>
      </c>
      <c r="F367" t="inlineStr">
        <is>
          <t>愛知県</t>
        </is>
      </c>
      <c r="G367" t="inlineStr">
        <is>
          <t>ハードウェア</t>
        </is>
      </c>
      <c r="H367" t="inlineStr">
        <is>
          <t>産業用タブレット</t>
        </is>
      </c>
      <c r="I367" s="4" t="n">
        <v>5</v>
      </c>
      <c r="J367" s="4" t="n">
        <v>103900</v>
      </c>
      <c r="K367" s="4">
        <f>I367*J367</f>
        <v/>
      </c>
      <c r="L367" t="inlineStr">
        <is>
          <t>値引き調整あり</t>
        </is>
      </c>
    </row>
    <row r="368">
      <c r="A368" t="inlineStr">
        <is>
          <t>SR016</t>
        </is>
      </c>
      <c r="B368" t="inlineStr">
        <is>
          <t>営業担当016</t>
        </is>
      </c>
      <c r="C368" t="inlineStr">
        <is>
          <t>第1営業部</t>
        </is>
      </c>
      <c r="D368" s="3" t="n">
        <v>45800</v>
      </c>
      <c r="E368" t="inlineStr">
        <is>
          <t>中央設備株式会社</t>
        </is>
      </c>
      <c r="F368" t="inlineStr">
        <is>
          <t>愛知県</t>
        </is>
      </c>
      <c r="G368" t="inlineStr">
        <is>
          <t>導入支援</t>
        </is>
      </c>
      <c r="H368" t="inlineStr">
        <is>
          <t>初期設定支援</t>
        </is>
      </c>
      <c r="I368" s="4" t="n">
        <v>2</v>
      </c>
      <c r="J368" s="4" t="n">
        <v>171500</v>
      </c>
      <c r="K368" s="4">
        <f>I368*J368</f>
        <v/>
      </c>
      <c r="L368" t="inlineStr">
        <is>
          <t>大型案件</t>
        </is>
      </c>
    </row>
    <row r="369">
      <c r="A369" t="inlineStr">
        <is>
          <t>SR016</t>
        </is>
      </c>
      <c r="B369" t="inlineStr">
        <is>
          <t>営業担当016</t>
        </is>
      </c>
      <c r="C369" t="inlineStr">
        <is>
          <t>第1営業部</t>
        </is>
      </c>
      <c r="D369" s="3" t="n">
        <v>45817</v>
      </c>
      <c r="E369" t="inlineStr">
        <is>
          <t>ライトホーム有限会社</t>
        </is>
      </c>
      <c r="F369" t="inlineStr">
        <is>
          <t>福岡県</t>
        </is>
      </c>
      <c r="G369" t="inlineStr">
        <is>
          <t>保守サービス</t>
        </is>
      </c>
      <c r="H369" t="inlineStr">
        <is>
          <t>ヘルプデスク契約</t>
        </is>
      </c>
      <c r="I369" s="4" t="n">
        <v>3</v>
      </c>
      <c r="J369" s="4" t="n">
        <v>65600</v>
      </c>
      <c r="K369" s="4">
        <f>I369*J369</f>
        <v/>
      </c>
      <c r="L369" t="inlineStr">
        <is>
          <t>リピート受注</t>
        </is>
      </c>
    </row>
    <row r="370">
      <c r="A370" t="inlineStr">
        <is>
          <t>SR016</t>
        </is>
      </c>
      <c r="B370" t="inlineStr">
        <is>
          <t>営業担当016</t>
        </is>
      </c>
      <c r="C370" t="inlineStr">
        <is>
          <t>第1営業部</t>
        </is>
      </c>
      <c r="D370" s="3" t="n">
        <v>45825</v>
      </c>
      <c r="E370" t="inlineStr">
        <is>
          <t>白峰化学株式会社</t>
        </is>
      </c>
      <c r="F370" t="inlineStr">
        <is>
          <t>東京都</t>
        </is>
      </c>
      <c r="G370" t="inlineStr">
        <is>
          <t>保守サービス</t>
        </is>
      </c>
      <c r="H370" t="inlineStr">
        <is>
          <t>年間保守契約</t>
        </is>
      </c>
      <c r="I370" s="4" t="n">
        <v>4</v>
      </c>
      <c r="J370" s="4" t="n">
        <v>114100</v>
      </c>
      <c r="K370" s="4">
        <f>I370*J370</f>
        <v/>
      </c>
      <c r="L370" t="inlineStr">
        <is>
          <t>分納</t>
        </is>
      </c>
    </row>
    <row r="371">
      <c r="A371" t="inlineStr">
        <is>
          <t>SR016</t>
        </is>
      </c>
      <c r="B371" t="inlineStr">
        <is>
          <t>営業担当016</t>
        </is>
      </c>
      <c r="C371" t="inlineStr">
        <is>
          <t>第1営業部</t>
        </is>
      </c>
      <c r="D371" s="3" t="n">
        <v>45841</v>
      </c>
      <c r="E371" t="inlineStr">
        <is>
          <t>桜井メディカル(株)</t>
        </is>
      </c>
      <c r="F371" t="inlineStr">
        <is>
          <t>大阪府</t>
        </is>
      </c>
      <c r="G371" t="inlineStr">
        <is>
          <t>ソフトウェア</t>
        </is>
      </c>
      <c r="H371" t="inlineStr">
        <is>
          <t>在庫管理クラウド</t>
        </is>
      </c>
      <c r="I371" s="4" t="n">
        <v>3</v>
      </c>
      <c r="J371" s="4" t="n">
        <v>330500</v>
      </c>
      <c r="K371" s="4">
        <f>I371*J371</f>
        <v/>
      </c>
      <c r="L371" t="inlineStr">
        <is>
          <t>リピート受注</t>
        </is>
      </c>
    </row>
    <row r="372">
      <c r="A372" t="inlineStr">
        <is>
          <t>SR016</t>
        </is>
      </c>
      <c r="B372" t="inlineStr">
        <is>
          <t>営業担当016</t>
        </is>
      </c>
      <c r="C372" t="inlineStr">
        <is>
          <t>第1営業部</t>
        </is>
      </c>
      <c r="D372" s="3" t="n">
        <v>45866</v>
      </c>
      <c r="E372" t="inlineStr">
        <is>
          <t>大和精機有限会社</t>
        </is>
      </c>
      <c r="F372" t="inlineStr">
        <is>
          <t>大阪府</t>
        </is>
      </c>
      <c r="G372" t="inlineStr">
        <is>
          <t>ハードウェア</t>
        </is>
      </c>
      <c r="H372" t="inlineStr">
        <is>
          <t>ネットワークカメラ</t>
        </is>
      </c>
      <c r="I372" s="4" t="n">
        <v>1</v>
      </c>
      <c r="J372" s="4" t="n">
        <v>52300</v>
      </c>
      <c r="K372" s="4">
        <f>I372*J372</f>
        <v/>
      </c>
      <c r="L372" t="inlineStr"/>
    </row>
    <row r="373">
      <c r="A373" t="inlineStr">
        <is>
          <t>SR016</t>
        </is>
      </c>
      <c r="B373" t="inlineStr">
        <is>
          <t>営業担当016</t>
        </is>
      </c>
      <c r="C373" t="inlineStr">
        <is>
          <t>第1営業部</t>
        </is>
      </c>
      <c r="D373" s="3" t="n">
        <v>45874</v>
      </c>
      <c r="E373" t="inlineStr">
        <is>
          <t>日新サービス株式会社</t>
        </is>
      </c>
      <c r="F373" t="inlineStr">
        <is>
          <t>福岡県</t>
        </is>
      </c>
      <c r="G373" t="inlineStr">
        <is>
          <t>ソフトウェア</t>
        </is>
      </c>
      <c r="H373" t="inlineStr">
        <is>
          <t>在庫管理クラウド</t>
        </is>
      </c>
      <c r="I373" s="4" t="n">
        <v>5</v>
      </c>
      <c r="J373" s="4" t="n">
        <v>446200</v>
      </c>
      <c r="K373" s="4">
        <f>I373*J373</f>
        <v/>
      </c>
      <c r="L373" t="inlineStr"/>
    </row>
    <row r="374">
      <c r="A374" t="inlineStr">
        <is>
          <t>SR016</t>
        </is>
      </c>
      <c r="B374" t="inlineStr">
        <is>
          <t>営業担当016</t>
        </is>
      </c>
      <c r="C374" t="inlineStr">
        <is>
          <t>第1営業部</t>
        </is>
      </c>
      <c r="D374" s="3" t="n">
        <v>45892</v>
      </c>
      <c r="E374" t="inlineStr">
        <is>
          <t>グリーンテック株式会社</t>
        </is>
      </c>
      <c r="F374" t="inlineStr">
        <is>
          <t>福岡県</t>
        </is>
      </c>
      <c r="G374" t="inlineStr">
        <is>
          <t>保守サービス</t>
        </is>
      </c>
      <c r="H374" t="inlineStr">
        <is>
          <t>年間保守契約</t>
        </is>
      </c>
      <c r="I374" s="4" t="n">
        <v>4</v>
      </c>
      <c r="J374" s="4" t="n">
        <v>260400</v>
      </c>
      <c r="K374" s="4">
        <f>I374*J374</f>
        <v/>
      </c>
      <c r="L374" t="inlineStr"/>
    </row>
    <row r="375">
      <c r="A375" t="inlineStr">
        <is>
          <t>SR016</t>
        </is>
      </c>
      <c r="B375" t="inlineStr">
        <is>
          <t>営業担当016</t>
        </is>
      </c>
      <c r="C375" t="inlineStr">
        <is>
          <t>第1営業部</t>
        </is>
      </c>
      <c r="D375" s="3" t="n">
        <v>45915</v>
      </c>
      <c r="E375" t="inlineStr">
        <is>
          <t>福岡流通有限会社</t>
        </is>
      </c>
      <c r="F375" t="inlineStr">
        <is>
          <t>愛知県</t>
        </is>
      </c>
      <c r="G375" t="inlineStr">
        <is>
          <t>ハードウェア</t>
        </is>
      </c>
      <c r="H375" t="inlineStr">
        <is>
          <t>ネットワークカメラ</t>
        </is>
      </c>
      <c r="I375" s="4" t="n">
        <v>5</v>
      </c>
      <c r="J375" s="4" t="n">
        <v>69300</v>
      </c>
      <c r="K375" s="4">
        <f>I375*J375</f>
        <v/>
      </c>
      <c r="L375" t="inlineStr">
        <is>
          <t>大型案件</t>
        </is>
      </c>
    </row>
    <row r="376">
      <c r="A376" t="inlineStr">
        <is>
          <t>SR016</t>
        </is>
      </c>
      <c r="B376" t="inlineStr">
        <is>
          <t>営業担当016</t>
        </is>
      </c>
      <c r="C376" t="inlineStr">
        <is>
          <t>第1営業部</t>
        </is>
      </c>
      <c r="D376" s="3" t="n">
        <v>45919</v>
      </c>
      <c r="E376" t="inlineStr">
        <is>
          <t>未来通信有限会社</t>
        </is>
      </c>
      <c r="F376" t="inlineStr">
        <is>
          <t>宮城県</t>
        </is>
      </c>
      <c r="G376" t="inlineStr">
        <is>
          <t>導入支援</t>
        </is>
      </c>
      <c r="H376" t="inlineStr">
        <is>
          <t>データ移行支援</t>
        </is>
      </c>
      <c r="I376" s="4" t="n">
        <v>1</v>
      </c>
      <c r="J376" s="4" t="n">
        <v>339500</v>
      </c>
      <c r="K376" s="4">
        <f>I376*J376</f>
        <v/>
      </c>
      <c r="L376" t="inlineStr"/>
    </row>
    <row r="377">
      <c r="A377" t="inlineStr">
        <is>
          <t>SR016</t>
        </is>
      </c>
      <c r="B377" t="inlineStr">
        <is>
          <t>営業担当016</t>
        </is>
      </c>
      <c r="C377" t="inlineStr">
        <is>
          <t>第1営業部</t>
        </is>
      </c>
      <c r="D377" s="3" t="n">
        <v>45933</v>
      </c>
      <c r="E377" t="inlineStr">
        <is>
          <t>中央設備株式会社</t>
        </is>
      </c>
      <c r="F377" t="inlineStr">
        <is>
          <t>大阪府</t>
        </is>
      </c>
      <c r="G377" t="inlineStr">
        <is>
          <t>消耗品</t>
        </is>
      </c>
      <c r="H377" t="inlineStr">
        <is>
          <t>交換用ヘッド</t>
        </is>
      </c>
      <c r="I377" s="4" t="n">
        <v>7</v>
      </c>
      <c r="J377" s="4" t="n">
        <v>26390</v>
      </c>
      <c r="K377" s="4">
        <f>I377*J377</f>
        <v/>
      </c>
      <c r="L377" t="inlineStr">
        <is>
          <t>キャンペーン適用</t>
        </is>
      </c>
    </row>
    <row r="378">
      <c r="A378" t="inlineStr">
        <is>
          <t>SR016</t>
        </is>
      </c>
      <c r="B378" t="inlineStr">
        <is>
          <t>営業担当016</t>
        </is>
      </c>
      <c r="C378" t="inlineStr">
        <is>
          <t>第1営業部</t>
        </is>
      </c>
      <c r="D378" s="3" t="n">
        <v>45943</v>
      </c>
      <c r="E378" t="inlineStr">
        <is>
          <t>大和精機有限会社</t>
        </is>
      </c>
      <c r="F378" t="inlineStr">
        <is>
          <t>神奈川県</t>
        </is>
      </c>
      <c r="G378" t="inlineStr">
        <is>
          <t>保守サービス</t>
        </is>
      </c>
      <c r="H378" t="inlineStr">
        <is>
          <t>オンサイト保守</t>
        </is>
      </c>
      <c r="I378" s="4" t="n">
        <v>4</v>
      </c>
      <c r="J378" s="4" t="n">
        <v>107000</v>
      </c>
      <c r="K378" s="4">
        <f>I378*J378</f>
        <v/>
      </c>
      <c r="L378" t="inlineStr"/>
    </row>
    <row r="379">
      <c r="A379" t="inlineStr">
        <is>
          <t>SR016</t>
        </is>
      </c>
      <c r="B379" t="inlineStr">
        <is>
          <t>営業担当016</t>
        </is>
      </c>
      <c r="C379" t="inlineStr">
        <is>
          <t>第1営業部</t>
        </is>
      </c>
      <c r="D379" s="3" t="n">
        <v>45972</v>
      </c>
      <c r="E379" t="inlineStr">
        <is>
          <t>グリーンテック株式会社</t>
        </is>
      </c>
      <c r="F379" t="inlineStr">
        <is>
          <t>神奈川県</t>
        </is>
      </c>
      <c r="G379" t="inlineStr">
        <is>
          <t>ソフトウェア</t>
        </is>
      </c>
      <c r="H379" t="inlineStr">
        <is>
          <t>営業支援SaaS</t>
        </is>
      </c>
      <c r="I379" s="4" t="n">
        <v>5</v>
      </c>
      <c r="J379" s="4" t="n">
        <v>236700</v>
      </c>
      <c r="K379" s="4">
        <f>I379*J379</f>
        <v/>
      </c>
      <c r="L379" t="inlineStr"/>
    </row>
    <row r="380">
      <c r="A380" t="inlineStr">
        <is>
          <t>SR016</t>
        </is>
      </c>
      <c r="B380" t="inlineStr">
        <is>
          <t>営業担当016</t>
        </is>
      </c>
      <c r="C380" t="inlineStr">
        <is>
          <t>第1営業部</t>
        </is>
      </c>
      <c r="D380" s="3" t="n">
        <v>45989</v>
      </c>
      <c r="E380" t="inlineStr">
        <is>
          <t>みらい物流有限会社</t>
        </is>
      </c>
      <c r="F380" t="inlineStr">
        <is>
          <t>広島県</t>
        </is>
      </c>
      <c r="G380" t="inlineStr">
        <is>
          <t>保守サービス</t>
        </is>
      </c>
      <c r="H380" t="inlineStr">
        <is>
          <t>年間保守契約</t>
        </is>
      </c>
      <c r="I380" s="4" t="n">
        <v>5</v>
      </c>
      <c r="J380" s="4" t="n">
        <v>222900</v>
      </c>
      <c r="K380" s="4">
        <f>I380*J380</f>
        <v/>
      </c>
      <c r="L380" t="inlineStr">
        <is>
          <t>大型案件</t>
        </is>
      </c>
    </row>
    <row r="381">
      <c r="A381" t="inlineStr">
        <is>
          <t>SR016</t>
        </is>
      </c>
      <c r="B381" t="inlineStr">
        <is>
          <t>営業担当016</t>
        </is>
      </c>
      <c r="C381" t="inlineStr">
        <is>
          <t>第1営業部</t>
        </is>
      </c>
      <c r="D381" s="3" t="n">
        <v>46005</v>
      </c>
      <c r="E381" t="inlineStr">
        <is>
          <t>東洋フーズ(株)</t>
        </is>
      </c>
      <c r="F381" t="inlineStr">
        <is>
          <t>神奈川県</t>
        </is>
      </c>
      <c r="G381" t="inlineStr">
        <is>
          <t>保守サービス</t>
        </is>
      </c>
      <c r="H381" t="inlineStr">
        <is>
          <t>オンサイト保守</t>
        </is>
      </c>
      <c r="I381" s="4" t="n">
        <v>3</v>
      </c>
      <c r="J381" s="4" t="n">
        <v>152000</v>
      </c>
      <c r="K381" s="4">
        <f>I381*J381</f>
        <v/>
      </c>
      <c r="L381" t="inlineStr"/>
    </row>
    <row r="382">
      <c r="A382" t="inlineStr">
        <is>
          <t>SR016</t>
        </is>
      </c>
      <c r="B382" t="inlineStr">
        <is>
          <t>営業担当016</t>
        </is>
      </c>
      <c r="C382" t="inlineStr">
        <is>
          <t>第1営業部</t>
        </is>
      </c>
      <c r="D382" s="3" t="n">
        <v>46019</v>
      </c>
      <c r="E382" t="inlineStr">
        <is>
          <t>サンライズ建設株式会社</t>
        </is>
      </c>
      <c r="F382" t="inlineStr">
        <is>
          <t>京都府</t>
        </is>
      </c>
      <c r="G382" t="inlineStr">
        <is>
          <t>消耗品</t>
        </is>
      </c>
      <c r="H382" t="inlineStr">
        <is>
          <t>交換用ヘッド</t>
        </is>
      </c>
      <c r="I382" s="4" t="n">
        <v>4</v>
      </c>
      <c r="J382" s="4" t="n">
        <v>28040</v>
      </c>
      <c r="K382" s="4">
        <f>I382*J382</f>
        <v/>
      </c>
      <c r="L382" t="inlineStr">
        <is>
          <t>リピート受注</t>
        </is>
      </c>
    </row>
    <row r="383">
      <c r="A383" t="inlineStr">
        <is>
          <t>SR016</t>
        </is>
      </c>
      <c r="B383" t="inlineStr">
        <is>
          <t>営業担当016</t>
        </is>
      </c>
      <c r="C383" t="inlineStr">
        <is>
          <t>第1営業部</t>
        </is>
      </c>
      <c r="D383" s="3" t="n">
        <v>46041</v>
      </c>
      <c r="E383" t="inlineStr">
        <is>
          <t>ネクストソリューション(株)</t>
        </is>
      </c>
      <c r="F383" t="inlineStr">
        <is>
          <t>東京都</t>
        </is>
      </c>
      <c r="G383" t="inlineStr">
        <is>
          <t>ソフトウェア</t>
        </is>
      </c>
      <c r="H383" t="inlineStr">
        <is>
          <t>在庫管理クラウド</t>
        </is>
      </c>
      <c r="I383" s="4" t="n">
        <v>4</v>
      </c>
      <c r="J383" s="4" t="n">
        <v>186600</v>
      </c>
      <c r="K383" s="4">
        <f>I383*J383</f>
        <v/>
      </c>
      <c r="L383" t="inlineStr"/>
    </row>
    <row r="384">
      <c r="A384" t="inlineStr">
        <is>
          <t>SR016</t>
        </is>
      </c>
      <c r="B384" t="inlineStr">
        <is>
          <t>営業担当016</t>
        </is>
      </c>
      <c r="C384" t="inlineStr">
        <is>
          <t>第1営業部</t>
        </is>
      </c>
      <c r="D384" s="3" t="n">
        <v>46043</v>
      </c>
      <c r="E384" t="inlineStr">
        <is>
          <t>北斗産業株式会社</t>
        </is>
      </c>
      <c r="F384" t="inlineStr">
        <is>
          <t>広島県</t>
        </is>
      </c>
      <c r="G384" t="inlineStr">
        <is>
          <t>導入支援</t>
        </is>
      </c>
      <c r="H384" t="inlineStr">
        <is>
          <t>初期設定支援</t>
        </is>
      </c>
      <c r="I384" s="4" t="n">
        <v>2</v>
      </c>
      <c r="J384" s="4" t="n">
        <v>152300</v>
      </c>
      <c r="K384" s="4">
        <f>I384*J384</f>
        <v/>
      </c>
      <c r="L384" t="inlineStr"/>
    </row>
    <row r="385">
      <c r="A385" t="inlineStr">
        <is>
          <t>SR016</t>
        </is>
      </c>
      <c r="B385" t="inlineStr">
        <is>
          <t>営業担当016</t>
        </is>
      </c>
      <c r="C385" t="inlineStr">
        <is>
          <t>第1営業部</t>
        </is>
      </c>
      <c r="D385" s="3" t="n">
        <v>46070</v>
      </c>
      <c r="E385" t="inlineStr">
        <is>
          <t>青葉商事(株)</t>
        </is>
      </c>
      <c r="F385" t="inlineStr">
        <is>
          <t>北海道</t>
        </is>
      </c>
      <c r="G385" t="inlineStr">
        <is>
          <t>ハードウェア</t>
        </is>
      </c>
      <c r="H385" t="inlineStr">
        <is>
          <t>ネットワークカメラ</t>
        </is>
      </c>
      <c r="I385" s="4" t="n">
        <v>5</v>
      </c>
      <c r="J385" s="4" t="n">
        <v>67000</v>
      </c>
      <c r="K385" s="4">
        <f>I385*J385</f>
        <v/>
      </c>
      <c r="L385" t="inlineStr">
        <is>
          <t>新規開拓</t>
        </is>
      </c>
    </row>
    <row r="386">
      <c r="A386" t="inlineStr">
        <is>
          <t>SR016</t>
        </is>
      </c>
      <c r="B386" t="inlineStr">
        <is>
          <t>営業担当016</t>
        </is>
      </c>
      <c r="C386" t="inlineStr">
        <is>
          <t>第1営業部</t>
        </is>
      </c>
      <c r="D386" s="3" t="n">
        <v>46081</v>
      </c>
      <c r="E386" t="inlineStr">
        <is>
          <t>西日本機工(株)</t>
        </is>
      </c>
      <c r="F386" t="inlineStr">
        <is>
          <t>広島県</t>
        </is>
      </c>
      <c r="G386" t="inlineStr">
        <is>
          <t>ソフトウェア</t>
        </is>
      </c>
      <c r="H386" t="inlineStr">
        <is>
          <t>AIチャットボット</t>
        </is>
      </c>
      <c r="I386" s="4" t="n">
        <v>2</v>
      </c>
      <c r="J386" s="4" t="n">
        <v>814000</v>
      </c>
      <c r="K386" s="4">
        <f>I386*J386</f>
        <v/>
      </c>
      <c r="L386" t="inlineStr"/>
    </row>
    <row r="387">
      <c r="A387" t="inlineStr">
        <is>
          <t>SR016</t>
        </is>
      </c>
      <c r="B387" t="inlineStr">
        <is>
          <t>営業担当016</t>
        </is>
      </c>
      <c r="C387" t="inlineStr">
        <is>
          <t>第1営業部</t>
        </is>
      </c>
      <c r="D387" s="3" t="n">
        <v>46099</v>
      </c>
      <c r="E387" t="inlineStr">
        <is>
          <t>西日本機工(株)</t>
        </is>
      </c>
      <c r="F387" t="inlineStr">
        <is>
          <t>大阪府</t>
        </is>
      </c>
      <c r="G387" t="inlineStr">
        <is>
          <t>ソフトウェア</t>
        </is>
      </c>
      <c r="H387" t="inlineStr">
        <is>
          <t>在庫管理クラウド</t>
        </is>
      </c>
      <c r="I387" s="4" t="n">
        <v>1</v>
      </c>
      <c r="J387" s="4" t="n">
        <v>287300</v>
      </c>
      <c r="K387" s="4">
        <f>I387*J387</f>
        <v/>
      </c>
      <c r="L387" t="inlineStr">
        <is>
          <t>大型案件</t>
        </is>
      </c>
    </row>
    <row r="388">
      <c r="A388" t="inlineStr">
        <is>
          <t>SR016</t>
        </is>
      </c>
      <c r="B388" t="inlineStr">
        <is>
          <t>営業担当016</t>
        </is>
      </c>
      <c r="C388" t="inlineStr">
        <is>
          <t>第1営業部</t>
        </is>
      </c>
      <c r="D388" s="3" t="n">
        <v>46102</v>
      </c>
      <c r="E388" t="inlineStr">
        <is>
          <t>サンライズ建設株式会社</t>
        </is>
      </c>
      <c r="F388" t="inlineStr">
        <is>
          <t>神奈川県</t>
        </is>
      </c>
      <c r="G388" t="inlineStr">
        <is>
          <t>ソフトウェア</t>
        </is>
      </c>
      <c r="H388" t="inlineStr">
        <is>
          <t>帳票自動化ツール</t>
        </is>
      </c>
      <c r="I388" s="4" t="n">
        <v>3</v>
      </c>
      <c r="J388" s="4" t="n">
        <v>183700</v>
      </c>
      <c r="K388" s="4">
        <f>I388*J388</f>
        <v/>
      </c>
      <c r="L388" t="inlineStr">
        <is>
          <t>新規開拓</t>
        </is>
      </c>
    </row>
    <row r="389">
      <c r="A389" t="inlineStr">
        <is>
          <t>SR017</t>
        </is>
      </c>
      <c r="B389" t="inlineStr">
        <is>
          <t>営業担当017</t>
        </is>
      </c>
      <c r="C389" t="inlineStr">
        <is>
          <t>第2営業部</t>
        </is>
      </c>
      <c r="D389" s="3" t="n">
        <v>45749</v>
      </c>
      <c r="E389" t="inlineStr">
        <is>
          <t>北斗産業(株)</t>
        </is>
      </c>
      <c r="F389" t="inlineStr">
        <is>
          <t>京都府</t>
        </is>
      </c>
      <c r="G389" t="inlineStr">
        <is>
          <t>保守サービス</t>
        </is>
      </c>
      <c r="H389" t="inlineStr">
        <is>
          <t>ヘルプデスク契約</t>
        </is>
      </c>
      <c r="I389" s="4" t="n">
        <v>5</v>
      </c>
      <c r="J389" s="4" t="n">
        <v>114500</v>
      </c>
      <c r="K389" s="4">
        <f>I389*J389</f>
        <v/>
      </c>
      <c r="L389" t="inlineStr">
        <is>
          <t>キャンペーン適用</t>
        </is>
      </c>
    </row>
    <row r="390">
      <c r="A390" t="inlineStr">
        <is>
          <t>SR017</t>
        </is>
      </c>
      <c r="B390" t="inlineStr">
        <is>
          <t>営業担当017</t>
        </is>
      </c>
      <c r="C390" t="inlineStr">
        <is>
          <t>第2営業部</t>
        </is>
      </c>
      <c r="D390" s="3" t="n">
        <v>45751</v>
      </c>
      <c r="E390" t="inlineStr">
        <is>
          <t>大和精機有限会社</t>
        </is>
      </c>
      <c r="F390" t="inlineStr">
        <is>
          <t>東京都</t>
        </is>
      </c>
      <c r="G390" t="inlineStr">
        <is>
          <t>ハードウェア</t>
        </is>
      </c>
      <c r="H390" t="inlineStr">
        <is>
          <t>小型ハンディ端末</t>
        </is>
      </c>
      <c r="I390" s="4" t="n">
        <v>5</v>
      </c>
      <c r="J390" s="4" t="n">
        <v>49700</v>
      </c>
      <c r="K390" s="4">
        <f>I390*J390</f>
        <v/>
      </c>
      <c r="L390" t="inlineStr">
        <is>
          <t>キャンペーン適用</t>
        </is>
      </c>
    </row>
    <row r="391">
      <c r="A391" t="inlineStr">
        <is>
          <t>SR017</t>
        </is>
      </c>
      <c r="B391" t="inlineStr">
        <is>
          <t>営業担当017</t>
        </is>
      </c>
      <c r="C391" t="inlineStr">
        <is>
          <t>第2営業部</t>
        </is>
      </c>
      <c r="D391" s="3" t="n">
        <v>45780</v>
      </c>
      <c r="E391" t="inlineStr">
        <is>
          <t>白峰化学(株)</t>
        </is>
      </c>
      <c r="F391" t="inlineStr">
        <is>
          <t>神奈川県</t>
        </is>
      </c>
      <c r="G391" t="inlineStr">
        <is>
          <t>保守サービス</t>
        </is>
      </c>
      <c r="H391" t="inlineStr">
        <is>
          <t>年間保守契約</t>
        </is>
      </c>
      <c r="I391" s="4" t="n">
        <v>5</v>
      </c>
      <c r="J391" s="4" t="n">
        <v>247000</v>
      </c>
      <c r="K391" s="4">
        <f>I391*J391</f>
        <v/>
      </c>
      <c r="L391" t="inlineStr"/>
    </row>
    <row r="392">
      <c r="A392" t="inlineStr">
        <is>
          <t>SR017</t>
        </is>
      </c>
      <c r="B392" t="inlineStr">
        <is>
          <t>営業担当017</t>
        </is>
      </c>
      <c r="C392" t="inlineStr">
        <is>
          <t>第2営業部</t>
        </is>
      </c>
      <c r="D392" s="3" t="n">
        <v>45791</v>
      </c>
      <c r="E392" t="inlineStr">
        <is>
          <t>日新サービス株式会社</t>
        </is>
      </c>
      <c r="F392" t="inlineStr">
        <is>
          <t>京都府</t>
        </is>
      </c>
      <c r="G392" t="inlineStr">
        <is>
          <t>消耗品</t>
        </is>
      </c>
      <c r="H392" t="inlineStr">
        <is>
          <t>交換用ヘッド</t>
        </is>
      </c>
      <c r="I392" s="4" t="n">
        <v>3</v>
      </c>
      <c r="J392" s="4" t="n">
        <v>23360</v>
      </c>
      <c r="K392" s="4">
        <f>I392*J392</f>
        <v/>
      </c>
      <c r="L392" t="inlineStr"/>
    </row>
    <row r="393">
      <c r="A393" t="inlineStr">
        <is>
          <t>SR017</t>
        </is>
      </c>
      <c r="B393" t="inlineStr">
        <is>
          <t>営業担当017</t>
        </is>
      </c>
      <c r="C393" t="inlineStr">
        <is>
          <t>第2営業部</t>
        </is>
      </c>
      <c r="D393" s="3" t="n">
        <v>45818</v>
      </c>
      <c r="E393" t="inlineStr">
        <is>
          <t>みらい物流有限会社</t>
        </is>
      </c>
      <c r="F393" t="inlineStr">
        <is>
          <t>愛知県</t>
        </is>
      </c>
      <c r="G393" t="inlineStr">
        <is>
          <t>ハードウェア</t>
        </is>
      </c>
      <c r="H393" t="inlineStr">
        <is>
          <t>ラベルプリンター</t>
        </is>
      </c>
      <c r="I393" s="4" t="n">
        <v>4</v>
      </c>
      <c r="J393" s="4" t="n">
        <v>68000</v>
      </c>
      <c r="K393" s="4">
        <f>I393*J393</f>
        <v/>
      </c>
      <c r="L393" t="inlineStr"/>
    </row>
    <row r="394">
      <c r="A394" t="inlineStr">
        <is>
          <t>SR017</t>
        </is>
      </c>
      <c r="B394" t="inlineStr">
        <is>
          <t>営業担当017</t>
        </is>
      </c>
      <c r="C394" t="inlineStr">
        <is>
          <t>第2営業部</t>
        </is>
      </c>
      <c r="D394" s="3" t="n">
        <v>45820</v>
      </c>
      <c r="E394" t="inlineStr">
        <is>
          <t>東洋フーズ(株)</t>
        </is>
      </c>
      <c r="F394" t="inlineStr">
        <is>
          <t>兵庫県</t>
        </is>
      </c>
      <c r="G394" t="inlineStr">
        <is>
          <t>保守サービス</t>
        </is>
      </c>
      <c r="H394" t="inlineStr">
        <is>
          <t>ヘルプデスク契約</t>
        </is>
      </c>
      <c r="I394" s="4" t="n">
        <v>5</v>
      </c>
      <c r="J394" s="4" t="n">
        <v>60800</v>
      </c>
      <c r="K394" s="4">
        <f>I394*J394</f>
        <v/>
      </c>
      <c r="L394" t="inlineStr">
        <is>
          <t>分納</t>
        </is>
      </c>
    </row>
    <row r="395">
      <c r="A395" t="inlineStr">
        <is>
          <t>SR017</t>
        </is>
      </c>
      <c r="B395" t="inlineStr">
        <is>
          <t>営業担当017</t>
        </is>
      </c>
      <c r="C395" t="inlineStr">
        <is>
          <t>第2営業部</t>
        </is>
      </c>
      <c r="D395" s="3" t="n">
        <v>45848</v>
      </c>
      <c r="E395" t="inlineStr">
        <is>
          <t>アーク電機有限会社</t>
        </is>
      </c>
      <c r="F395" t="inlineStr">
        <is>
          <t>愛知県</t>
        </is>
      </c>
      <c r="G395" t="inlineStr">
        <is>
          <t>ソフトウェア</t>
        </is>
      </c>
      <c r="H395" t="inlineStr">
        <is>
          <t>営業支援SaaS</t>
        </is>
      </c>
      <c r="I395" s="4" t="n">
        <v>1</v>
      </c>
      <c r="J395" s="4" t="n">
        <v>297900</v>
      </c>
      <c r="K395" s="4">
        <f>I395*J395</f>
        <v/>
      </c>
      <c r="L395" t="inlineStr"/>
    </row>
    <row r="396">
      <c r="A396" t="inlineStr">
        <is>
          <t>SR017</t>
        </is>
      </c>
      <c r="B396" t="inlineStr">
        <is>
          <t>営業担当017</t>
        </is>
      </c>
      <c r="C396" t="inlineStr">
        <is>
          <t>第2営業部</t>
        </is>
      </c>
      <c r="D396" s="3" t="n">
        <v>45850</v>
      </c>
      <c r="E396" t="inlineStr">
        <is>
          <t>星和商会(株)</t>
        </is>
      </c>
      <c r="F396" t="inlineStr">
        <is>
          <t>愛知県</t>
        </is>
      </c>
      <c r="G396" t="inlineStr">
        <is>
          <t>消耗品</t>
        </is>
      </c>
      <c r="H396" t="inlineStr">
        <is>
          <t>ラベルロール</t>
        </is>
      </c>
      <c r="I396" s="4" t="n">
        <v>3</v>
      </c>
      <c r="J396" s="4" t="n">
        <v>2330</v>
      </c>
      <c r="K396" s="4">
        <f>I396*J396</f>
        <v/>
      </c>
      <c r="L396" t="inlineStr">
        <is>
          <t>キャンペーン適用</t>
        </is>
      </c>
    </row>
    <row r="397">
      <c r="A397" t="inlineStr">
        <is>
          <t>SR017</t>
        </is>
      </c>
      <c r="B397" t="inlineStr">
        <is>
          <t>営業担当017</t>
        </is>
      </c>
      <c r="C397" t="inlineStr">
        <is>
          <t>第2営業部</t>
        </is>
      </c>
      <c r="D397" s="3" t="n">
        <v>45870</v>
      </c>
      <c r="E397" t="inlineStr">
        <is>
          <t>桜井メディカル有限会社</t>
        </is>
      </c>
      <c r="F397" t="inlineStr">
        <is>
          <t>北海道</t>
        </is>
      </c>
      <c r="G397" t="inlineStr">
        <is>
          <t>ソフトウェア</t>
        </is>
      </c>
      <c r="H397" t="inlineStr">
        <is>
          <t>帳票自動化ツール</t>
        </is>
      </c>
      <c r="I397" s="4" t="n">
        <v>1</v>
      </c>
      <c r="J397" s="4" t="n">
        <v>419200</v>
      </c>
      <c r="K397" s="4">
        <f>I397*J397</f>
        <v/>
      </c>
      <c r="L397" t="inlineStr">
        <is>
          <t>キャンペーン適用</t>
        </is>
      </c>
    </row>
    <row r="398">
      <c r="A398" t="inlineStr">
        <is>
          <t>SR017</t>
        </is>
      </c>
      <c r="B398" t="inlineStr">
        <is>
          <t>営業担当017</t>
        </is>
      </c>
      <c r="C398" t="inlineStr">
        <is>
          <t>第2営業部</t>
        </is>
      </c>
      <c r="D398" s="3" t="n">
        <v>45884</v>
      </c>
      <c r="E398" t="inlineStr">
        <is>
          <t>ライトホーム有限会社</t>
        </is>
      </c>
      <c r="F398" t="inlineStr">
        <is>
          <t>東京都</t>
        </is>
      </c>
      <c r="G398" t="inlineStr">
        <is>
          <t>保守サービス</t>
        </is>
      </c>
      <c r="H398" t="inlineStr">
        <is>
          <t>ヘルプデスク契約</t>
        </is>
      </c>
      <c r="I398" s="4" t="n">
        <v>2</v>
      </c>
      <c r="J398" s="4" t="n">
        <v>48200</v>
      </c>
      <c r="K398" s="4">
        <f>I398*J398</f>
        <v/>
      </c>
      <c r="L398" t="inlineStr"/>
    </row>
    <row r="399">
      <c r="A399" t="inlineStr">
        <is>
          <t>SR017</t>
        </is>
      </c>
      <c r="B399" t="inlineStr">
        <is>
          <t>営業担当017</t>
        </is>
      </c>
      <c r="C399" t="inlineStr">
        <is>
          <t>第2営業部</t>
        </is>
      </c>
      <c r="D399" s="3" t="n">
        <v>45923</v>
      </c>
      <c r="E399" t="inlineStr">
        <is>
          <t>グリーンテック有限会社</t>
        </is>
      </c>
      <c r="F399" t="inlineStr">
        <is>
          <t>東京都</t>
        </is>
      </c>
      <c r="G399" t="inlineStr">
        <is>
          <t>ハードウェア</t>
        </is>
      </c>
      <c r="H399" t="inlineStr">
        <is>
          <t>ネットワークカメラ</t>
        </is>
      </c>
      <c r="I399" s="4" t="n">
        <v>3</v>
      </c>
      <c r="J399" s="4" t="n">
        <v>50500</v>
      </c>
      <c r="K399" s="4">
        <f>I399*J399</f>
        <v/>
      </c>
      <c r="L399" t="inlineStr"/>
    </row>
    <row r="400">
      <c r="A400" t="inlineStr">
        <is>
          <t>SR017</t>
        </is>
      </c>
      <c r="B400" t="inlineStr">
        <is>
          <t>営業担当017</t>
        </is>
      </c>
      <c r="C400" t="inlineStr">
        <is>
          <t>第2営業部</t>
        </is>
      </c>
      <c r="D400" s="3" t="n">
        <v>45928</v>
      </c>
      <c r="E400" t="inlineStr">
        <is>
          <t>サンライズ建設株式会社</t>
        </is>
      </c>
      <c r="F400" t="inlineStr">
        <is>
          <t>愛知県</t>
        </is>
      </c>
      <c r="G400" t="inlineStr">
        <is>
          <t>消耗品</t>
        </is>
      </c>
      <c r="H400" t="inlineStr">
        <is>
          <t>ラベルロール</t>
        </is>
      </c>
      <c r="I400" s="4" t="n">
        <v>7</v>
      </c>
      <c r="J400" s="4" t="n">
        <v>12270</v>
      </c>
      <c r="K400" s="4">
        <f>I400*J400</f>
        <v/>
      </c>
      <c r="L400" t="inlineStr"/>
    </row>
    <row r="401">
      <c r="A401" t="inlineStr">
        <is>
          <t>SR017</t>
        </is>
      </c>
      <c r="B401" t="inlineStr">
        <is>
          <t>営業担当017</t>
        </is>
      </c>
      <c r="C401" t="inlineStr">
        <is>
          <t>第2営業部</t>
        </is>
      </c>
      <c r="D401" s="3" t="n">
        <v>45935</v>
      </c>
      <c r="E401" t="inlineStr">
        <is>
          <t>未来通信株式会社</t>
        </is>
      </c>
      <c r="F401" t="inlineStr">
        <is>
          <t>東京都</t>
        </is>
      </c>
      <c r="G401" t="inlineStr">
        <is>
          <t>ハードウェア</t>
        </is>
      </c>
      <c r="H401" t="inlineStr">
        <is>
          <t>ネットワークカメラ</t>
        </is>
      </c>
      <c r="I401" s="4" t="n">
        <v>3</v>
      </c>
      <c r="J401" s="4" t="n">
        <v>70900</v>
      </c>
      <c r="K401" s="4">
        <f>I401*J401</f>
        <v/>
      </c>
      <c r="L401" t="inlineStr"/>
    </row>
    <row r="402">
      <c r="A402" t="inlineStr">
        <is>
          <t>SR017</t>
        </is>
      </c>
      <c r="B402" t="inlineStr">
        <is>
          <t>営業担当017</t>
        </is>
      </c>
      <c r="C402" t="inlineStr">
        <is>
          <t>第2営業部</t>
        </is>
      </c>
      <c r="D402" s="3" t="n">
        <v>45942</v>
      </c>
      <c r="E402" t="inlineStr">
        <is>
          <t>グリーンテック有限会社</t>
        </is>
      </c>
      <c r="F402" t="inlineStr">
        <is>
          <t>神奈川県</t>
        </is>
      </c>
      <c r="G402" t="inlineStr">
        <is>
          <t>ソフトウェア</t>
        </is>
      </c>
      <c r="H402" t="inlineStr">
        <is>
          <t>在庫管理クラウド</t>
        </is>
      </c>
      <c r="I402" s="4" t="n">
        <v>3</v>
      </c>
      <c r="J402" s="4" t="n">
        <v>355800</v>
      </c>
      <c r="K402" s="4">
        <f>I402*J402</f>
        <v/>
      </c>
      <c r="L402" t="inlineStr">
        <is>
          <t>リピート受注</t>
        </is>
      </c>
    </row>
    <row r="403">
      <c r="A403" t="inlineStr">
        <is>
          <t>SR017</t>
        </is>
      </c>
      <c r="B403" t="inlineStr">
        <is>
          <t>営業担当017</t>
        </is>
      </c>
      <c r="C403" t="inlineStr">
        <is>
          <t>第2営業部</t>
        </is>
      </c>
      <c r="D403" s="3" t="n">
        <v>45978</v>
      </c>
      <c r="E403" t="inlineStr">
        <is>
          <t>みらい物流(株)</t>
        </is>
      </c>
      <c r="F403" t="inlineStr">
        <is>
          <t>兵庫県</t>
        </is>
      </c>
      <c r="G403" t="inlineStr">
        <is>
          <t>ソフトウェア</t>
        </is>
      </c>
      <c r="H403" t="inlineStr">
        <is>
          <t>AIチャットボット</t>
        </is>
      </c>
      <c r="I403" s="4" t="n">
        <v>4</v>
      </c>
      <c r="J403" s="4" t="n">
        <v>668400</v>
      </c>
      <c r="K403" s="4">
        <f>I403*J403</f>
        <v/>
      </c>
      <c r="L403" t="inlineStr">
        <is>
          <t>新規開拓</t>
        </is>
      </c>
    </row>
    <row r="404">
      <c r="A404" t="inlineStr">
        <is>
          <t>SR017</t>
        </is>
      </c>
      <c r="B404" t="inlineStr">
        <is>
          <t>営業担当017</t>
        </is>
      </c>
      <c r="C404" t="inlineStr">
        <is>
          <t>第2営業部</t>
        </is>
      </c>
      <c r="D404" s="3" t="n">
        <v>45980</v>
      </c>
      <c r="E404" t="inlineStr">
        <is>
          <t>中央設備有限会社</t>
        </is>
      </c>
      <c r="F404" t="inlineStr">
        <is>
          <t>福岡県</t>
        </is>
      </c>
      <c r="G404" t="inlineStr">
        <is>
          <t>導入支援</t>
        </is>
      </c>
      <c r="H404" t="inlineStr">
        <is>
          <t>初期設定支援</t>
        </is>
      </c>
      <c r="I404" s="4" t="n">
        <v>5</v>
      </c>
      <c r="J404" s="4" t="n">
        <v>166200</v>
      </c>
      <c r="K404" s="4">
        <f>I404*J404</f>
        <v/>
      </c>
      <c r="L404" t="inlineStr"/>
    </row>
    <row r="405">
      <c r="A405" t="inlineStr">
        <is>
          <t>SR017</t>
        </is>
      </c>
      <c r="B405" t="inlineStr">
        <is>
          <t>営業担当017</t>
        </is>
      </c>
      <c r="C405" t="inlineStr">
        <is>
          <t>第2営業部</t>
        </is>
      </c>
      <c r="D405" s="3" t="n">
        <v>45993</v>
      </c>
      <c r="E405" t="inlineStr">
        <is>
          <t>ネクストソリューション有限会社</t>
        </is>
      </c>
      <c r="F405" t="inlineStr">
        <is>
          <t>福岡県</t>
        </is>
      </c>
      <c r="G405" t="inlineStr">
        <is>
          <t>保守サービス</t>
        </is>
      </c>
      <c r="H405" t="inlineStr">
        <is>
          <t>年間保守契約</t>
        </is>
      </c>
      <c r="I405" s="4" t="n">
        <v>3</v>
      </c>
      <c r="J405" s="4" t="n">
        <v>102100</v>
      </c>
      <c r="K405" s="4">
        <f>I405*J405</f>
        <v/>
      </c>
      <c r="L405" t="inlineStr"/>
    </row>
    <row r="406">
      <c r="A406" t="inlineStr">
        <is>
          <t>SR017</t>
        </is>
      </c>
      <c r="B406" t="inlineStr">
        <is>
          <t>営業担当017</t>
        </is>
      </c>
      <c r="C406" t="inlineStr">
        <is>
          <t>第2営業部</t>
        </is>
      </c>
      <c r="D406" s="3" t="n">
        <v>46005</v>
      </c>
      <c r="E406" t="inlineStr">
        <is>
          <t>グリーンテック株式会社</t>
        </is>
      </c>
      <c r="F406" t="inlineStr">
        <is>
          <t>神奈川県</t>
        </is>
      </c>
      <c r="G406" t="inlineStr">
        <is>
          <t>保守サービス</t>
        </is>
      </c>
      <c r="H406" t="inlineStr">
        <is>
          <t>オンサイト保守</t>
        </is>
      </c>
      <c r="I406" s="4" t="n">
        <v>4</v>
      </c>
      <c r="J406" s="4" t="n">
        <v>106800</v>
      </c>
      <c r="K406" s="4">
        <f>I406*J406</f>
        <v/>
      </c>
      <c r="L406" t="inlineStr">
        <is>
          <t>新規開拓</t>
        </is>
      </c>
    </row>
    <row r="407">
      <c r="A407" t="inlineStr">
        <is>
          <t>SR017</t>
        </is>
      </c>
      <c r="B407" t="inlineStr">
        <is>
          <t>営業担当017</t>
        </is>
      </c>
      <c r="C407" t="inlineStr">
        <is>
          <t>第2営業部</t>
        </is>
      </c>
      <c r="D407" s="3" t="n">
        <v>46030</v>
      </c>
      <c r="E407" t="inlineStr">
        <is>
          <t>大和精機株式会社</t>
        </is>
      </c>
      <c r="F407" t="inlineStr">
        <is>
          <t>東京都</t>
        </is>
      </c>
      <c r="G407" t="inlineStr">
        <is>
          <t>ソフトウェア</t>
        </is>
      </c>
      <c r="H407" t="inlineStr">
        <is>
          <t>営業支援SaaS</t>
        </is>
      </c>
      <c r="I407" s="4" t="n">
        <v>1</v>
      </c>
      <c r="J407" s="4" t="n">
        <v>313200</v>
      </c>
      <c r="K407" s="4">
        <f>I407*J407</f>
        <v/>
      </c>
      <c r="L407" t="inlineStr">
        <is>
          <t>新規開拓</t>
        </is>
      </c>
    </row>
    <row r="408">
      <c r="A408" t="inlineStr">
        <is>
          <t>SR017</t>
        </is>
      </c>
      <c r="B408" t="inlineStr">
        <is>
          <t>営業担当017</t>
        </is>
      </c>
      <c r="C408" t="inlineStr">
        <is>
          <t>第2営業部</t>
        </is>
      </c>
      <c r="D408" s="3" t="n">
        <v>46037</v>
      </c>
      <c r="E408" t="inlineStr">
        <is>
          <t>未来通信株式会社</t>
        </is>
      </c>
      <c r="F408" t="inlineStr">
        <is>
          <t>大阪府</t>
        </is>
      </c>
      <c r="G408" t="inlineStr">
        <is>
          <t>ハードウェア</t>
        </is>
      </c>
      <c r="H408" t="inlineStr">
        <is>
          <t>小型ハンディ端末</t>
        </is>
      </c>
      <c r="I408" s="4" t="n">
        <v>5</v>
      </c>
      <c r="J408" s="4" t="n">
        <v>56100</v>
      </c>
      <c r="K408" s="4">
        <f>I408*J408</f>
        <v/>
      </c>
      <c r="L408" t="inlineStr"/>
    </row>
    <row r="409">
      <c r="A409" t="inlineStr">
        <is>
          <t>SR017</t>
        </is>
      </c>
      <c r="B409" t="inlineStr">
        <is>
          <t>営業担当017</t>
        </is>
      </c>
      <c r="C409" t="inlineStr">
        <is>
          <t>第2営業部</t>
        </is>
      </c>
      <c r="D409" s="3" t="n">
        <v>46057</v>
      </c>
      <c r="E409" t="inlineStr">
        <is>
          <t>西日本機工(株)</t>
        </is>
      </c>
      <c r="F409" t="inlineStr">
        <is>
          <t>広島県</t>
        </is>
      </c>
      <c r="G409" t="inlineStr">
        <is>
          <t>保守サービス</t>
        </is>
      </c>
      <c r="H409" t="inlineStr">
        <is>
          <t>オンサイト保守</t>
        </is>
      </c>
      <c r="I409" s="4" t="n">
        <v>1</v>
      </c>
      <c r="J409" s="4" t="n">
        <v>149700</v>
      </c>
      <c r="K409" s="4">
        <f>I409*J409</f>
        <v/>
      </c>
      <c r="L409" t="inlineStr">
        <is>
          <t>新規開拓</t>
        </is>
      </c>
    </row>
    <row r="410">
      <c r="A410" t="inlineStr">
        <is>
          <t>SR017</t>
        </is>
      </c>
      <c r="B410" t="inlineStr">
        <is>
          <t>営業担当017</t>
        </is>
      </c>
      <c r="C410" t="inlineStr">
        <is>
          <t>第2営業部</t>
        </is>
      </c>
      <c r="D410" s="3" t="n">
        <v>46066</v>
      </c>
      <c r="E410" t="inlineStr">
        <is>
          <t>グリーンテック株式会社</t>
        </is>
      </c>
      <c r="F410" t="inlineStr">
        <is>
          <t>東京都</t>
        </is>
      </c>
      <c r="G410" t="inlineStr">
        <is>
          <t>消耗品</t>
        </is>
      </c>
      <c r="H410" t="inlineStr">
        <is>
          <t>交換用ヘッド</t>
        </is>
      </c>
      <c r="I410" s="4" t="n">
        <v>12</v>
      </c>
      <c r="J410" s="4" t="n">
        <v>38850</v>
      </c>
      <c r="K410" s="4">
        <f>I410*J410</f>
        <v/>
      </c>
      <c r="L410" t="inlineStr">
        <is>
          <t>キャンペーン適用</t>
        </is>
      </c>
    </row>
    <row r="411">
      <c r="A411" t="inlineStr">
        <is>
          <t>SR017</t>
        </is>
      </c>
      <c r="B411" t="inlineStr">
        <is>
          <t>営業担当017</t>
        </is>
      </c>
      <c r="C411" t="inlineStr">
        <is>
          <t>第2営業部</t>
        </is>
      </c>
      <c r="D411" s="3" t="n">
        <v>46089</v>
      </c>
      <c r="E411" t="inlineStr">
        <is>
          <t>オーシャン製作所株式会社</t>
        </is>
      </c>
      <c r="F411" t="inlineStr">
        <is>
          <t>宮城県</t>
        </is>
      </c>
      <c r="G411" t="inlineStr">
        <is>
          <t>保守サービス</t>
        </is>
      </c>
      <c r="H411" t="inlineStr">
        <is>
          <t>オンサイト保守</t>
        </is>
      </c>
      <c r="I411" s="4" t="n">
        <v>1</v>
      </c>
      <c r="J411" s="4" t="n">
        <v>157000</v>
      </c>
      <c r="K411" s="4">
        <f>I411*J411</f>
        <v/>
      </c>
      <c r="L411" t="inlineStr">
        <is>
          <t>新規開拓</t>
        </is>
      </c>
    </row>
    <row r="412">
      <c r="A412" t="inlineStr">
        <is>
          <t>SR017</t>
        </is>
      </c>
      <c r="B412" t="inlineStr">
        <is>
          <t>営業担当017</t>
        </is>
      </c>
      <c r="C412" t="inlineStr">
        <is>
          <t>第2営業部</t>
        </is>
      </c>
      <c r="D412" s="3" t="n">
        <v>46106</v>
      </c>
      <c r="E412" t="inlineStr">
        <is>
          <t>東洋フーズ(株)</t>
        </is>
      </c>
      <c r="F412" t="inlineStr">
        <is>
          <t>神奈川県</t>
        </is>
      </c>
      <c r="G412" t="inlineStr">
        <is>
          <t>導入支援</t>
        </is>
      </c>
      <c r="H412" t="inlineStr">
        <is>
          <t>データ移行支援</t>
        </is>
      </c>
      <c r="I412" s="4" t="n">
        <v>1</v>
      </c>
      <c r="J412" s="4" t="n">
        <v>117000</v>
      </c>
      <c r="K412" s="4">
        <f>I412*J412</f>
        <v/>
      </c>
      <c r="L412" t="inlineStr"/>
    </row>
    <row r="413">
      <c r="A413" t="inlineStr">
        <is>
          <t>SR018</t>
        </is>
      </c>
      <c r="B413" t="inlineStr">
        <is>
          <t>営業担当018</t>
        </is>
      </c>
      <c r="C413" t="inlineStr">
        <is>
          <t>第3営業部</t>
        </is>
      </c>
      <c r="D413" s="3" t="n">
        <v>45748</v>
      </c>
      <c r="E413" t="inlineStr">
        <is>
          <t>オーシャン製作所有限会社</t>
        </is>
      </c>
      <c r="F413" t="inlineStr">
        <is>
          <t>愛知県</t>
        </is>
      </c>
      <c r="G413" t="inlineStr">
        <is>
          <t>ソフトウェア</t>
        </is>
      </c>
      <c r="H413" t="inlineStr">
        <is>
          <t>帳票自動化ツール</t>
        </is>
      </c>
      <c r="I413" s="4" t="n">
        <v>1</v>
      </c>
      <c r="J413" s="4" t="n">
        <v>343200</v>
      </c>
      <c r="K413" s="4">
        <f>I413*J413</f>
        <v/>
      </c>
      <c r="L413" t="inlineStr">
        <is>
          <t>値引き調整あり</t>
        </is>
      </c>
    </row>
    <row r="414">
      <c r="A414" t="inlineStr">
        <is>
          <t>SR018</t>
        </is>
      </c>
      <c r="B414" t="inlineStr">
        <is>
          <t>営業担当018</t>
        </is>
      </c>
      <c r="C414" t="inlineStr">
        <is>
          <t>第3営業部</t>
        </is>
      </c>
      <c r="D414" s="3" t="n">
        <v>45773</v>
      </c>
      <c r="E414" t="inlineStr">
        <is>
          <t>サンライズ建設有限会社</t>
        </is>
      </c>
      <c r="F414" t="inlineStr">
        <is>
          <t>兵庫県</t>
        </is>
      </c>
      <c r="G414" t="inlineStr">
        <is>
          <t>ソフトウェア</t>
        </is>
      </c>
      <c r="H414" t="inlineStr">
        <is>
          <t>営業支援SaaS</t>
        </is>
      </c>
      <c r="I414" s="4" t="n">
        <v>3</v>
      </c>
      <c r="J414" s="4" t="n">
        <v>180700</v>
      </c>
      <c r="K414" s="4">
        <f>I414*J414</f>
        <v/>
      </c>
      <c r="L414" t="inlineStr"/>
    </row>
    <row r="415">
      <c r="A415" t="inlineStr">
        <is>
          <t>SR018</t>
        </is>
      </c>
      <c r="B415" t="inlineStr">
        <is>
          <t>営業担当018</t>
        </is>
      </c>
      <c r="C415" t="inlineStr">
        <is>
          <t>第3営業部</t>
        </is>
      </c>
      <c r="D415" s="3" t="n">
        <v>45789</v>
      </c>
      <c r="E415" t="inlineStr">
        <is>
          <t>星和商会株式会社</t>
        </is>
      </c>
      <c r="F415" t="inlineStr">
        <is>
          <t>福岡県</t>
        </is>
      </c>
      <c r="G415" t="inlineStr">
        <is>
          <t>ソフトウェア</t>
        </is>
      </c>
      <c r="H415" t="inlineStr">
        <is>
          <t>営業支援SaaS</t>
        </is>
      </c>
      <c r="I415" s="4" t="n">
        <v>2</v>
      </c>
      <c r="J415" s="4" t="n">
        <v>229100</v>
      </c>
      <c r="K415" s="4">
        <f>I415*J415</f>
        <v/>
      </c>
      <c r="L415" t="inlineStr">
        <is>
          <t>値引き調整あり</t>
        </is>
      </c>
    </row>
    <row r="416">
      <c r="A416" t="inlineStr">
        <is>
          <t>SR018</t>
        </is>
      </c>
      <c r="B416" t="inlineStr">
        <is>
          <t>営業担当018</t>
        </is>
      </c>
      <c r="C416" t="inlineStr">
        <is>
          <t>第3営業部</t>
        </is>
      </c>
      <c r="D416" s="3" t="n">
        <v>45800</v>
      </c>
      <c r="E416" t="inlineStr">
        <is>
          <t>桜井メディカル(株)</t>
        </is>
      </c>
      <c r="F416" t="inlineStr">
        <is>
          <t>宮城県</t>
        </is>
      </c>
      <c r="G416" t="inlineStr">
        <is>
          <t>消耗品</t>
        </is>
      </c>
      <c r="H416" t="inlineStr">
        <is>
          <t>ラベルロール</t>
        </is>
      </c>
      <c r="I416" s="4" t="n">
        <v>11</v>
      </c>
      <c r="J416" s="4" t="n">
        <v>8320</v>
      </c>
      <c r="K416" s="4">
        <f>I416*J416</f>
        <v/>
      </c>
      <c r="L416" t="inlineStr">
        <is>
          <t>リピート受注</t>
        </is>
      </c>
    </row>
    <row r="417">
      <c r="A417" t="inlineStr">
        <is>
          <t>SR018</t>
        </is>
      </c>
      <c r="B417" t="inlineStr">
        <is>
          <t>営業担当018</t>
        </is>
      </c>
      <c r="C417" t="inlineStr">
        <is>
          <t>第3営業部</t>
        </is>
      </c>
      <c r="D417" s="3" t="n">
        <v>45835</v>
      </c>
      <c r="E417" t="inlineStr">
        <is>
          <t>北斗産業株式会社</t>
        </is>
      </c>
      <c r="F417" t="inlineStr">
        <is>
          <t>兵庫県</t>
        </is>
      </c>
      <c r="G417" t="inlineStr">
        <is>
          <t>導入支援</t>
        </is>
      </c>
      <c r="H417" t="inlineStr">
        <is>
          <t>データ移行支援</t>
        </is>
      </c>
      <c r="I417" s="4" t="n">
        <v>2</v>
      </c>
      <c r="J417" s="4" t="n">
        <v>152100</v>
      </c>
      <c r="K417" s="4">
        <f>I417*J417</f>
        <v/>
      </c>
      <c r="L417" t="inlineStr">
        <is>
          <t>大型案件</t>
        </is>
      </c>
    </row>
    <row r="418">
      <c r="A418" t="inlineStr">
        <is>
          <t>SR018</t>
        </is>
      </c>
      <c r="B418" t="inlineStr">
        <is>
          <t>営業担当018</t>
        </is>
      </c>
      <c r="C418" t="inlineStr">
        <is>
          <t>第3営業部</t>
        </is>
      </c>
      <c r="D418" s="3" t="n">
        <v>45835</v>
      </c>
      <c r="E418" t="inlineStr">
        <is>
          <t>西日本機工株式会社</t>
        </is>
      </c>
      <c r="F418" t="inlineStr">
        <is>
          <t>宮城県</t>
        </is>
      </c>
      <c r="G418" t="inlineStr">
        <is>
          <t>導入支援</t>
        </is>
      </c>
      <c r="H418" t="inlineStr">
        <is>
          <t>操作研修パック</t>
        </is>
      </c>
      <c r="I418" s="4" t="n">
        <v>5</v>
      </c>
      <c r="J418" s="4" t="n">
        <v>81100</v>
      </c>
      <c r="K418" s="4">
        <f>I418*J418</f>
        <v/>
      </c>
      <c r="L418" t="inlineStr"/>
    </row>
    <row r="419">
      <c r="A419" t="inlineStr">
        <is>
          <t>SR018</t>
        </is>
      </c>
      <c r="B419" t="inlineStr">
        <is>
          <t>営業担当018</t>
        </is>
      </c>
      <c r="C419" t="inlineStr">
        <is>
          <t>第3営業部</t>
        </is>
      </c>
      <c r="D419" s="3" t="n">
        <v>45853</v>
      </c>
      <c r="E419" t="inlineStr">
        <is>
          <t>中央設備株式会社</t>
        </is>
      </c>
      <c r="F419" t="inlineStr">
        <is>
          <t>大阪府</t>
        </is>
      </c>
      <c r="G419" t="inlineStr">
        <is>
          <t>ソフトウェア</t>
        </is>
      </c>
      <c r="H419" t="inlineStr">
        <is>
          <t>在庫管理クラウド</t>
        </is>
      </c>
      <c r="I419" s="4" t="n">
        <v>2</v>
      </c>
      <c r="J419" s="4" t="n">
        <v>233500</v>
      </c>
      <c r="K419" s="4">
        <f>I419*J419</f>
        <v/>
      </c>
      <c r="L419" t="inlineStr">
        <is>
          <t>大型案件</t>
        </is>
      </c>
    </row>
    <row r="420">
      <c r="A420" t="inlineStr">
        <is>
          <t>SR018</t>
        </is>
      </c>
      <c r="B420" t="inlineStr">
        <is>
          <t>営業担当018</t>
        </is>
      </c>
      <c r="C420" t="inlineStr">
        <is>
          <t>第3営業部</t>
        </is>
      </c>
      <c r="D420" s="3" t="n">
        <v>45857</v>
      </c>
      <c r="E420" t="inlineStr">
        <is>
          <t>オーシャン製作所有限会社</t>
        </is>
      </c>
      <c r="F420" t="inlineStr">
        <is>
          <t>北海道</t>
        </is>
      </c>
      <c r="G420" t="inlineStr">
        <is>
          <t>消耗品</t>
        </is>
      </c>
      <c r="H420" t="inlineStr">
        <is>
          <t>ラベルロール</t>
        </is>
      </c>
      <c r="I420" s="4" t="n">
        <v>12</v>
      </c>
      <c r="J420" s="4" t="n">
        <v>9400</v>
      </c>
      <c r="K420" s="4">
        <f>I420*J420</f>
        <v/>
      </c>
      <c r="L420" t="inlineStr"/>
    </row>
    <row r="421">
      <c r="A421" t="inlineStr">
        <is>
          <t>SR018</t>
        </is>
      </c>
      <c r="B421" t="inlineStr">
        <is>
          <t>営業担当018</t>
        </is>
      </c>
      <c r="C421" t="inlineStr">
        <is>
          <t>第3営業部</t>
        </is>
      </c>
      <c r="D421" s="3" t="n">
        <v>45888</v>
      </c>
      <c r="E421" t="inlineStr">
        <is>
          <t>東洋フーズ(株)</t>
        </is>
      </c>
      <c r="F421" t="inlineStr">
        <is>
          <t>京都府</t>
        </is>
      </c>
      <c r="G421" t="inlineStr">
        <is>
          <t>保守サービス</t>
        </is>
      </c>
      <c r="H421" t="inlineStr">
        <is>
          <t>年間保守契約</t>
        </is>
      </c>
      <c r="I421" s="4" t="n">
        <v>4</v>
      </c>
      <c r="J421" s="4" t="n">
        <v>75500</v>
      </c>
      <c r="K421" s="4">
        <f>I421*J421</f>
        <v/>
      </c>
      <c r="L421" t="inlineStr"/>
    </row>
    <row r="422">
      <c r="A422" t="inlineStr">
        <is>
          <t>SR018</t>
        </is>
      </c>
      <c r="B422" t="inlineStr">
        <is>
          <t>営業担当018</t>
        </is>
      </c>
      <c r="C422" t="inlineStr">
        <is>
          <t>第3営業部</t>
        </is>
      </c>
      <c r="D422" s="3" t="n">
        <v>45896</v>
      </c>
      <c r="E422" t="inlineStr">
        <is>
          <t>日新サービス(株)</t>
        </is>
      </c>
      <c r="F422" t="inlineStr">
        <is>
          <t>大阪府</t>
        </is>
      </c>
      <c r="G422" t="inlineStr">
        <is>
          <t>消耗品</t>
        </is>
      </c>
      <c r="H422" t="inlineStr">
        <is>
          <t>交換用ヘッド</t>
        </is>
      </c>
      <c r="I422" s="4" t="n">
        <v>5</v>
      </c>
      <c r="J422" s="4" t="n">
        <v>15070</v>
      </c>
      <c r="K422" s="4">
        <f>I422*J422</f>
        <v/>
      </c>
      <c r="L422" t="inlineStr"/>
    </row>
    <row r="423">
      <c r="A423" t="inlineStr">
        <is>
          <t>SR018</t>
        </is>
      </c>
      <c r="B423" t="inlineStr">
        <is>
          <t>営業担当018</t>
        </is>
      </c>
      <c r="C423" t="inlineStr">
        <is>
          <t>第3営業部</t>
        </is>
      </c>
      <c r="D423" s="3" t="n">
        <v>45902</v>
      </c>
      <c r="E423" t="inlineStr">
        <is>
          <t>桜井メディカル有限会社</t>
        </is>
      </c>
      <c r="F423" t="inlineStr">
        <is>
          <t>愛知県</t>
        </is>
      </c>
      <c r="G423" t="inlineStr">
        <is>
          <t>ソフトウェア</t>
        </is>
      </c>
      <c r="H423" t="inlineStr">
        <is>
          <t>AIチャットボット</t>
        </is>
      </c>
      <c r="I423" s="4" t="n">
        <v>1</v>
      </c>
      <c r="J423" s="4" t="n">
        <v>521700</v>
      </c>
      <c r="K423" s="4">
        <f>I423*J423</f>
        <v/>
      </c>
      <c r="L423" t="inlineStr">
        <is>
          <t>大型案件</t>
        </is>
      </c>
    </row>
    <row r="424">
      <c r="A424" t="inlineStr">
        <is>
          <t>SR018</t>
        </is>
      </c>
      <c r="B424" t="inlineStr">
        <is>
          <t>営業担当018</t>
        </is>
      </c>
      <c r="C424" t="inlineStr">
        <is>
          <t>第3営業部</t>
        </is>
      </c>
      <c r="D424" s="3" t="n">
        <v>45903</v>
      </c>
      <c r="E424" t="inlineStr">
        <is>
          <t>東洋フーズ有限会社</t>
        </is>
      </c>
      <c r="F424" t="inlineStr">
        <is>
          <t>広島県</t>
        </is>
      </c>
      <c r="G424" t="inlineStr">
        <is>
          <t>ハードウェア</t>
        </is>
      </c>
      <c r="H424" t="inlineStr">
        <is>
          <t>産業用タブレット</t>
        </is>
      </c>
      <c r="I424" s="4" t="n">
        <v>3</v>
      </c>
      <c r="J424" s="4" t="n">
        <v>80500</v>
      </c>
      <c r="K424" s="4">
        <f>I424*J424</f>
        <v/>
      </c>
      <c r="L424" t="inlineStr"/>
    </row>
    <row r="425">
      <c r="A425" t="inlineStr">
        <is>
          <t>SR018</t>
        </is>
      </c>
      <c r="B425" t="inlineStr">
        <is>
          <t>営業担当018</t>
        </is>
      </c>
      <c r="C425" t="inlineStr">
        <is>
          <t>第3営業部</t>
        </is>
      </c>
      <c r="D425" s="3" t="n">
        <v>45945</v>
      </c>
      <c r="E425" t="inlineStr">
        <is>
          <t>北斗産業株式会社</t>
        </is>
      </c>
      <c r="F425" t="inlineStr">
        <is>
          <t>兵庫県</t>
        </is>
      </c>
      <c r="G425" t="inlineStr">
        <is>
          <t>導入支援</t>
        </is>
      </c>
      <c r="H425" t="inlineStr">
        <is>
          <t>操作研修パック</t>
        </is>
      </c>
      <c r="I425" s="4" t="n">
        <v>4</v>
      </c>
      <c r="J425" s="4" t="n">
        <v>131600</v>
      </c>
      <c r="K425" s="4">
        <f>I425*J425</f>
        <v/>
      </c>
      <c r="L425" t="inlineStr"/>
    </row>
    <row r="426">
      <c r="A426" t="inlineStr">
        <is>
          <t>SR018</t>
        </is>
      </c>
      <c r="B426" t="inlineStr">
        <is>
          <t>営業担当018</t>
        </is>
      </c>
      <c r="C426" t="inlineStr">
        <is>
          <t>第3営業部</t>
        </is>
      </c>
      <c r="D426" s="3" t="n">
        <v>45956</v>
      </c>
      <c r="E426" t="inlineStr">
        <is>
          <t>グリーンテック(株)</t>
        </is>
      </c>
      <c r="F426" t="inlineStr">
        <is>
          <t>福岡県</t>
        </is>
      </c>
      <c r="G426" t="inlineStr">
        <is>
          <t>保守サービス</t>
        </is>
      </c>
      <c r="H426" t="inlineStr">
        <is>
          <t>年間保守契約</t>
        </is>
      </c>
      <c r="I426" s="4" t="n">
        <v>1</v>
      </c>
      <c r="J426" s="4" t="n">
        <v>120500</v>
      </c>
      <c r="K426" s="4">
        <f>I426*J426</f>
        <v/>
      </c>
      <c r="L426" t="inlineStr"/>
    </row>
    <row r="427">
      <c r="A427" t="inlineStr">
        <is>
          <t>SR018</t>
        </is>
      </c>
      <c r="B427" t="inlineStr">
        <is>
          <t>営業担当018</t>
        </is>
      </c>
      <c r="C427" t="inlineStr">
        <is>
          <t>第3営業部</t>
        </is>
      </c>
      <c r="D427" s="3" t="n">
        <v>45974</v>
      </c>
      <c r="E427" t="inlineStr">
        <is>
          <t>アーク電機株式会社</t>
        </is>
      </c>
      <c r="F427" t="inlineStr">
        <is>
          <t>北海道</t>
        </is>
      </c>
      <c r="G427" t="inlineStr">
        <is>
          <t>ハードウェア</t>
        </is>
      </c>
      <c r="H427" t="inlineStr">
        <is>
          <t>小型ハンディ端末</t>
        </is>
      </c>
      <c r="I427" s="4" t="n">
        <v>3</v>
      </c>
      <c r="J427" s="4" t="n">
        <v>73600</v>
      </c>
      <c r="K427" s="4">
        <f>I427*J427</f>
        <v/>
      </c>
      <c r="L427" t="inlineStr">
        <is>
          <t>分納</t>
        </is>
      </c>
    </row>
    <row r="428">
      <c r="A428" t="inlineStr">
        <is>
          <t>SR018</t>
        </is>
      </c>
      <c r="B428" t="inlineStr">
        <is>
          <t>営業担当018</t>
        </is>
      </c>
      <c r="C428" t="inlineStr">
        <is>
          <t>第3営業部</t>
        </is>
      </c>
      <c r="D428" s="3" t="n">
        <v>45986</v>
      </c>
      <c r="E428" t="inlineStr">
        <is>
          <t>中央設備有限会社</t>
        </is>
      </c>
      <c r="F428" t="inlineStr">
        <is>
          <t>北海道</t>
        </is>
      </c>
      <c r="G428" t="inlineStr">
        <is>
          <t>ソフトウェア</t>
        </is>
      </c>
      <c r="H428" t="inlineStr">
        <is>
          <t>帳票自動化ツール</t>
        </is>
      </c>
      <c r="I428" s="4" t="n">
        <v>4</v>
      </c>
      <c r="J428" s="4" t="n">
        <v>390000</v>
      </c>
      <c r="K428" s="4">
        <f>I428*J428</f>
        <v/>
      </c>
      <c r="L428" t="inlineStr"/>
    </row>
    <row r="429">
      <c r="A429" t="inlineStr">
        <is>
          <t>SR018</t>
        </is>
      </c>
      <c r="B429" t="inlineStr">
        <is>
          <t>営業担当018</t>
        </is>
      </c>
      <c r="C429" t="inlineStr">
        <is>
          <t>第3営業部</t>
        </is>
      </c>
      <c r="D429" s="3" t="n">
        <v>45996</v>
      </c>
      <c r="E429" t="inlineStr">
        <is>
          <t>北斗産業有限会社</t>
        </is>
      </c>
      <c r="F429" t="inlineStr">
        <is>
          <t>兵庫県</t>
        </is>
      </c>
      <c r="G429" t="inlineStr">
        <is>
          <t>消耗品</t>
        </is>
      </c>
      <c r="H429" t="inlineStr">
        <is>
          <t>ラベルロール</t>
        </is>
      </c>
      <c r="I429" s="4" t="n">
        <v>11</v>
      </c>
      <c r="J429" s="4" t="n">
        <v>8240</v>
      </c>
      <c r="K429" s="4">
        <f>I429*J429</f>
        <v/>
      </c>
      <c r="L429" t="inlineStr">
        <is>
          <t>分納</t>
        </is>
      </c>
    </row>
    <row r="430">
      <c r="A430" t="inlineStr">
        <is>
          <t>SR018</t>
        </is>
      </c>
      <c r="B430" t="inlineStr">
        <is>
          <t>営業担当018</t>
        </is>
      </c>
      <c r="C430" t="inlineStr">
        <is>
          <t>第3営業部</t>
        </is>
      </c>
      <c r="D430" s="3" t="n">
        <v>46002</v>
      </c>
      <c r="E430" t="inlineStr">
        <is>
          <t>サンライズ建設(株)</t>
        </is>
      </c>
      <c r="F430" t="inlineStr">
        <is>
          <t>福岡県</t>
        </is>
      </c>
      <c r="G430" t="inlineStr">
        <is>
          <t>ハードウェア</t>
        </is>
      </c>
      <c r="H430" t="inlineStr">
        <is>
          <t>ネットワークカメラ</t>
        </is>
      </c>
      <c r="I430" s="4" t="n">
        <v>4</v>
      </c>
      <c r="J430" s="4" t="n">
        <v>56400</v>
      </c>
      <c r="K430" s="4">
        <f>I430*J430</f>
        <v/>
      </c>
      <c r="L430" t="inlineStr"/>
    </row>
    <row r="431">
      <c r="A431" t="inlineStr">
        <is>
          <t>SR018</t>
        </is>
      </c>
      <c r="B431" t="inlineStr">
        <is>
          <t>営業担当018</t>
        </is>
      </c>
      <c r="C431" t="inlineStr">
        <is>
          <t>第3営業部</t>
        </is>
      </c>
      <c r="D431" s="3" t="n">
        <v>46036</v>
      </c>
      <c r="E431" t="inlineStr">
        <is>
          <t>九州エナジー(株)</t>
        </is>
      </c>
      <c r="F431" t="inlineStr">
        <is>
          <t>東京都</t>
        </is>
      </c>
      <c r="G431" t="inlineStr">
        <is>
          <t>ソフトウェア</t>
        </is>
      </c>
      <c r="H431" t="inlineStr">
        <is>
          <t>帳票自動化ツール</t>
        </is>
      </c>
      <c r="I431" s="4" t="n">
        <v>4</v>
      </c>
      <c r="J431" s="4" t="n">
        <v>206200</v>
      </c>
      <c r="K431" s="4">
        <f>I431*J431</f>
        <v/>
      </c>
      <c r="L431" t="inlineStr">
        <is>
          <t>キャンペーン適用</t>
        </is>
      </c>
    </row>
    <row r="432">
      <c r="A432" t="inlineStr">
        <is>
          <t>SR018</t>
        </is>
      </c>
      <c r="B432" t="inlineStr">
        <is>
          <t>営業担当018</t>
        </is>
      </c>
      <c r="C432" t="inlineStr">
        <is>
          <t>第3営業部</t>
        </is>
      </c>
      <c r="D432" s="3" t="n">
        <v>46045</v>
      </c>
      <c r="E432" t="inlineStr">
        <is>
          <t>九州エナジー有限会社</t>
        </is>
      </c>
      <c r="F432" t="inlineStr">
        <is>
          <t>兵庫県</t>
        </is>
      </c>
      <c r="G432" t="inlineStr">
        <is>
          <t>保守サービス</t>
        </is>
      </c>
      <c r="H432" t="inlineStr">
        <is>
          <t>年間保守契約</t>
        </is>
      </c>
      <c r="I432" s="4" t="n">
        <v>5</v>
      </c>
      <c r="J432" s="4" t="n">
        <v>131800</v>
      </c>
      <c r="K432" s="4">
        <f>I432*J432</f>
        <v/>
      </c>
      <c r="L432" t="inlineStr">
        <is>
          <t>キャンペーン適用</t>
        </is>
      </c>
    </row>
    <row r="433">
      <c r="A433" t="inlineStr">
        <is>
          <t>SR018</t>
        </is>
      </c>
      <c r="B433" t="inlineStr">
        <is>
          <t>営業担当018</t>
        </is>
      </c>
      <c r="C433" t="inlineStr">
        <is>
          <t>第3営業部</t>
        </is>
      </c>
      <c r="D433" s="3" t="n">
        <v>46060</v>
      </c>
      <c r="E433" t="inlineStr">
        <is>
          <t>大和精機株式会社</t>
        </is>
      </c>
      <c r="F433" t="inlineStr">
        <is>
          <t>京都府</t>
        </is>
      </c>
      <c r="G433" t="inlineStr">
        <is>
          <t>ソフトウェア</t>
        </is>
      </c>
      <c r="H433" t="inlineStr">
        <is>
          <t>AIチャットボット</t>
        </is>
      </c>
      <c r="I433" s="4" t="n">
        <v>3</v>
      </c>
      <c r="J433" s="4" t="n">
        <v>642900</v>
      </c>
      <c r="K433" s="4">
        <f>I433*J433</f>
        <v/>
      </c>
      <c r="L433" t="inlineStr">
        <is>
          <t>値引き調整あり</t>
        </is>
      </c>
    </row>
    <row r="434">
      <c r="A434" t="inlineStr">
        <is>
          <t>SR018</t>
        </is>
      </c>
      <c r="B434" t="inlineStr">
        <is>
          <t>営業担当018</t>
        </is>
      </c>
      <c r="C434" t="inlineStr">
        <is>
          <t>第3営業部</t>
        </is>
      </c>
      <c r="D434" s="3" t="n">
        <v>46063</v>
      </c>
      <c r="E434" t="inlineStr">
        <is>
          <t>サンライズ建設株式会社</t>
        </is>
      </c>
      <c r="F434" t="inlineStr">
        <is>
          <t>福岡県</t>
        </is>
      </c>
      <c r="G434" t="inlineStr">
        <is>
          <t>ソフトウェア</t>
        </is>
      </c>
      <c r="H434" t="inlineStr">
        <is>
          <t>AIチャットボット</t>
        </is>
      </c>
      <c r="I434" s="4" t="n">
        <v>5</v>
      </c>
      <c r="J434" s="4" t="n">
        <v>276500</v>
      </c>
      <c r="K434" s="4">
        <f>I434*J434</f>
        <v/>
      </c>
      <c r="L434" t="inlineStr"/>
    </row>
    <row r="435">
      <c r="A435" t="inlineStr">
        <is>
          <t>SR018</t>
        </is>
      </c>
      <c r="B435" t="inlineStr">
        <is>
          <t>営業担当018</t>
        </is>
      </c>
      <c r="C435" t="inlineStr">
        <is>
          <t>第3営業部</t>
        </is>
      </c>
      <c r="D435" s="3" t="n">
        <v>46101</v>
      </c>
      <c r="E435" t="inlineStr">
        <is>
          <t>オーシャン製作所有限会社</t>
        </is>
      </c>
      <c r="F435" t="inlineStr">
        <is>
          <t>愛知県</t>
        </is>
      </c>
      <c r="G435" t="inlineStr">
        <is>
          <t>消耗品</t>
        </is>
      </c>
      <c r="H435" t="inlineStr">
        <is>
          <t>ラベルロール</t>
        </is>
      </c>
      <c r="I435" s="4" t="n">
        <v>15</v>
      </c>
      <c r="J435" s="4" t="n">
        <v>12360</v>
      </c>
      <c r="K435" s="4">
        <f>I435*J435</f>
        <v/>
      </c>
      <c r="L435" t="inlineStr"/>
    </row>
    <row r="436">
      <c r="A436" t="inlineStr">
        <is>
          <t>SR018</t>
        </is>
      </c>
      <c r="B436" t="inlineStr">
        <is>
          <t>営業担当018</t>
        </is>
      </c>
      <c r="C436" t="inlineStr">
        <is>
          <t>第3営業部</t>
        </is>
      </c>
      <c r="D436" s="3" t="n">
        <v>46107</v>
      </c>
      <c r="E436" t="inlineStr">
        <is>
          <t>ネクストソリューション(株)</t>
        </is>
      </c>
      <c r="F436" t="inlineStr">
        <is>
          <t>兵庫県</t>
        </is>
      </c>
      <c r="G436" t="inlineStr">
        <is>
          <t>消耗品</t>
        </is>
      </c>
      <c r="H436" t="inlineStr">
        <is>
          <t>保守用バッテリー</t>
        </is>
      </c>
      <c r="I436" s="4" t="n">
        <v>7</v>
      </c>
      <c r="J436" s="4" t="n">
        <v>11330</v>
      </c>
      <c r="K436" s="4">
        <f>I436*J436</f>
        <v/>
      </c>
      <c r="L436" t="inlineStr"/>
    </row>
    <row r="437">
      <c r="A437" t="inlineStr">
        <is>
          <t>SR019</t>
        </is>
      </c>
      <c r="B437" t="inlineStr">
        <is>
          <t>営業担当019</t>
        </is>
      </c>
      <c r="C437" t="inlineStr">
        <is>
          <t>パートナー営業部</t>
        </is>
      </c>
      <c r="D437" s="3" t="n">
        <v>45758</v>
      </c>
      <c r="E437" t="inlineStr">
        <is>
          <t>みらい物流株式会社</t>
        </is>
      </c>
      <c r="F437" t="inlineStr">
        <is>
          <t>北海道</t>
        </is>
      </c>
      <c r="G437" t="inlineStr">
        <is>
          <t>保守サービス</t>
        </is>
      </c>
      <c r="H437" t="inlineStr">
        <is>
          <t>年間保守契約</t>
        </is>
      </c>
      <c r="I437" s="4" t="n">
        <v>1</v>
      </c>
      <c r="J437" s="4" t="n">
        <v>197500</v>
      </c>
      <c r="K437" s="4">
        <f>I437*J437</f>
        <v/>
      </c>
      <c r="L437" t="inlineStr">
        <is>
          <t>分納</t>
        </is>
      </c>
    </row>
    <row r="438">
      <c r="A438" t="inlineStr">
        <is>
          <t>SR019</t>
        </is>
      </c>
      <c r="B438" t="inlineStr">
        <is>
          <t>営業担当019</t>
        </is>
      </c>
      <c r="C438" t="inlineStr">
        <is>
          <t>パートナー営業部</t>
        </is>
      </c>
      <c r="D438" s="3" t="n">
        <v>45759</v>
      </c>
      <c r="E438" t="inlineStr">
        <is>
          <t>日新サービス(株)</t>
        </is>
      </c>
      <c r="F438" t="inlineStr">
        <is>
          <t>福岡県</t>
        </is>
      </c>
      <c r="G438" t="inlineStr">
        <is>
          <t>導入支援</t>
        </is>
      </c>
      <c r="H438" t="inlineStr">
        <is>
          <t>初期設定支援</t>
        </is>
      </c>
      <c r="I438" s="4" t="n">
        <v>3</v>
      </c>
      <c r="J438" s="4" t="n">
        <v>140000</v>
      </c>
      <c r="K438" s="4">
        <f>I438*J438</f>
        <v/>
      </c>
      <c r="L438" t="inlineStr">
        <is>
          <t>分納</t>
        </is>
      </c>
    </row>
    <row r="439">
      <c r="A439" t="inlineStr">
        <is>
          <t>SR019</t>
        </is>
      </c>
      <c r="B439" t="inlineStr">
        <is>
          <t>営業担当019</t>
        </is>
      </c>
      <c r="C439" t="inlineStr">
        <is>
          <t>パートナー営業部</t>
        </is>
      </c>
      <c r="D439" s="3" t="n">
        <v>45778</v>
      </c>
      <c r="E439" t="inlineStr">
        <is>
          <t>未来通信株式会社</t>
        </is>
      </c>
      <c r="F439" t="inlineStr">
        <is>
          <t>愛知県</t>
        </is>
      </c>
      <c r="G439" t="inlineStr">
        <is>
          <t>ソフトウェア</t>
        </is>
      </c>
      <c r="H439" t="inlineStr">
        <is>
          <t>帳票自動化ツール</t>
        </is>
      </c>
      <c r="I439" s="4" t="n">
        <v>3</v>
      </c>
      <c r="J439" s="4" t="n">
        <v>194200</v>
      </c>
      <c r="K439" s="4">
        <f>I439*J439</f>
        <v/>
      </c>
      <c r="L439" t="inlineStr"/>
    </row>
    <row r="440">
      <c r="A440" t="inlineStr">
        <is>
          <t>SR019</t>
        </is>
      </c>
      <c r="B440" t="inlineStr">
        <is>
          <t>営業担当019</t>
        </is>
      </c>
      <c r="C440" t="inlineStr">
        <is>
          <t>パートナー営業部</t>
        </is>
      </c>
      <c r="D440" s="3" t="n">
        <v>45786</v>
      </c>
      <c r="E440" t="inlineStr">
        <is>
          <t>桜井メディカル(株)</t>
        </is>
      </c>
      <c r="F440" t="inlineStr">
        <is>
          <t>兵庫県</t>
        </is>
      </c>
      <c r="G440" t="inlineStr">
        <is>
          <t>ソフトウェア</t>
        </is>
      </c>
      <c r="H440" t="inlineStr">
        <is>
          <t>営業支援SaaS</t>
        </is>
      </c>
      <c r="I440" s="4" t="n">
        <v>1</v>
      </c>
      <c r="J440" s="4" t="n">
        <v>155100</v>
      </c>
      <c r="K440" s="4">
        <f>I440*J440</f>
        <v/>
      </c>
      <c r="L440" t="inlineStr">
        <is>
          <t>新規開拓</t>
        </is>
      </c>
    </row>
    <row r="441">
      <c r="A441" t="inlineStr">
        <is>
          <t>SR019</t>
        </is>
      </c>
      <c r="B441" t="inlineStr">
        <is>
          <t>営業担当019</t>
        </is>
      </c>
      <c r="C441" t="inlineStr">
        <is>
          <t>パートナー営業部</t>
        </is>
      </c>
      <c r="D441" s="3" t="n">
        <v>45810</v>
      </c>
      <c r="E441" t="inlineStr">
        <is>
          <t>日新サービス(株)</t>
        </is>
      </c>
      <c r="F441" t="inlineStr">
        <is>
          <t>宮城県</t>
        </is>
      </c>
      <c r="G441" t="inlineStr">
        <is>
          <t>ハードウェア</t>
        </is>
      </c>
      <c r="H441" t="inlineStr">
        <is>
          <t>ネットワークカメラ</t>
        </is>
      </c>
      <c r="I441" s="4" t="n">
        <v>4</v>
      </c>
      <c r="J441" s="4" t="n">
        <v>62700</v>
      </c>
      <c r="K441" s="4">
        <f>I441*J441</f>
        <v/>
      </c>
      <c r="L441" t="inlineStr">
        <is>
          <t>新規開拓</t>
        </is>
      </c>
    </row>
    <row r="442">
      <c r="A442" t="inlineStr">
        <is>
          <t>SR019</t>
        </is>
      </c>
      <c r="B442" t="inlineStr">
        <is>
          <t>営業担当019</t>
        </is>
      </c>
      <c r="C442" t="inlineStr">
        <is>
          <t>パートナー営業部</t>
        </is>
      </c>
      <c r="D442" s="3" t="n">
        <v>45834</v>
      </c>
      <c r="E442" t="inlineStr">
        <is>
          <t>九州エナジー(株)</t>
        </is>
      </c>
      <c r="F442" t="inlineStr">
        <is>
          <t>兵庫県</t>
        </is>
      </c>
      <c r="G442" t="inlineStr">
        <is>
          <t>ハードウェア</t>
        </is>
      </c>
      <c r="H442" t="inlineStr">
        <is>
          <t>産業用タブレット</t>
        </is>
      </c>
      <c r="I442" s="4" t="n">
        <v>4</v>
      </c>
      <c r="J442" s="4" t="n">
        <v>121500</v>
      </c>
      <c r="K442" s="4">
        <f>I442*J442</f>
        <v/>
      </c>
      <c r="L442" t="inlineStr">
        <is>
          <t>キャンペーン適用</t>
        </is>
      </c>
    </row>
    <row r="443">
      <c r="A443" t="inlineStr">
        <is>
          <t>SR019</t>
        </is>
      </c>
      <c r="B443" t="inlineStr">
        <is>
          <t>営業担当019</t>
        </is>
      </c>
      <c r="C443" t="inlineStr">
        <is>
          <t>パートナー営業部</t>
        </is>
      </c>
      <c r="D443" s="3" t="n">
        <v>45856</v>
      </c>
      <c r="E443" t="inlineStr">
        <is>
          <t>ネクストソリューション有限会社</t>
        </is>
      </c>
      <c r="F443" t="inlineStr">
        <is>
          <t>愛知県</t>
        </is>
      </c>
      <c r="G443" t="inlineStr">
        <is>
          <t>導入支援</t>
        </is>
      </c>
      <c r="H443" t="inlineStr">
        <is>
          <t>データ移行支援</t>
        </is>
      </c>
      <c r="I443" s="4" t="n">
        <v>1</v>
      </c>
      <c r="J443" s="4" t="n">
        <v>241700</v>
      </c>
      <c r="K443" s="4">
        <f>I443*J443</f>
        <v/>
      </c>
      <c r="L443" t="inlineStr"/>
    </row>
    <row r="444">
      <c r="A444" t="inlineStr">
        <is>
          <t>SR019</t>
        </is>
      </c>
      <c r="B444" t="inlineStr">
        <is>
          <t>営業担当019</t>
        </is>
      </c>
      <c r="C444" t="inlineStr">
        <is>
          <t>パートナー営業部</t>
        </is>
      </c>
      <c r="D444" s="3" t="n">
        <v>45856</v>
      </c>
      <c r="E444" t="inlineStr">
        <is>
          <t>日新サービス株式会社</t>
        </is>
      </c>
      <c r="F444" t="inlineStr">
        <is>
          <t>広島県</t>
        </is>
      </c>
      <c r="G444" t="inlineStr">
        <is>
          <t>消耗品</t>
        </is>
      </c>
      <c r="H444" t="inlineStr">
        <is>
          <t>交換用ヘッド</t>
        </is>
      </c>
      <c r="I444" s="4" t="n">
        <v>13</v>
      </c>
      <c r="J444" s="4" t="n">
        <v>40140</v>
      </c>
      <c r="K444" s="4">
        <f>I444*J444</f>
        <v/>
      </c>
      <c r="L444" t="inlineStr">
        <is>
          <t>大型案件</t>
        </is>
      </c>
    </row>
    <row r="445">
      <c r="A445" t="inlineStr">
        <is>
          <t>SR019</t>
        </is>
      </c>
      <c r="B445" t="inlineStr">
        <is>
          <t>営業担当019</t>
        </is>
      </c>
      <c r="C445" t="inlineStr">
        <is>
          <t>パートナー営業部</t>
        </is>
      </c>
      <c r="D445" s="3" t="n">
        <v>45875</v>
      </c>
      <c r="E445" t="inlineStr">
        <is>
          <t>白峰化学株式会社</t>
        </is>
      </c>
      <c r="F445" t="inlineStr">
        <is>
          <t>東京都</t>
        </is>
      </c>
      <c r="G445" t="inlineStr">
        <is>
          <t>保守サービス</t>
        </is>
      </c>
      <c r="H445" t="inlineStr">
        <is>
          <t>年間保守契約</t>
        </is>
      </c>
      <c r="I445" s="4" t="n">
        <v>3</v>
      </c>
      <c r="J445" s="4" t="n">
        <v>166900</v>
      </c>
      <c r="K445" s="4">
        <f>I445*J445</f>
        <v/>
      </c>
      <c r="L445" t="inlineStr"/>
    </row>
    <row r="446">
      <c r="A446" t="inlineStr">
        <is>
          <t>SR019</t>
        </is>
      </c>
      <c r="B446" t="inlineStr">
        <is>
          <t>営業担当019</t>
        </is>
      </c>
      <c r="C446" t="inlineStr">
        <is>
          <t>パートナー営業部</t>
        </is>
      </c>
      <c r="D446" s="3" t="n">
        <v>45886</v>
      </c>
      <c r="E446" t="inlineStr">
        <is>
          <t>星和商会有限会社</t>
        </is>
      </c>
      <c r="F446" t="inlineStr">
        <is>
          <t>兵庫県</t>
        </is>
      </c>
      <c r="G446" t="inlineStr">
        <is>
          <t>消耗品</t>
        </is>
      </c>
      <c r="H446" t="inlineStr">
        <is>
          <t>ラベルロール</t>
        </is>
      </c>
      <c r="I446" s="4" t="n">
        <v>2</v>
      </c>
      <c r="J446" s="4" t="n">
        <v>11390</v>
      </c>
      <c r="K446" s="4">
        <f>I446*J446</f>
        <v/>
      </c>
      <c r="L446" t="inlineStr"/>
    </row>
    <row r="447">
      <c r="A447" t="inlineStr">
        <is>
          <t>SR019</t>
        </is>
      </c>
      <c r="B447" t="inlineStr">
        <is>
          <t>営業担当019</t>
        </is>
      </c>
      <c r="C447" t="inlineStr">
        <is>
          <t>パートナー営業部</t>
        </is>
      </c>
      <c r="D447" s="3" t="n">
        <v>45903</v>
      </c>
      <c r="E447" t="inlineStr">
        <is>
          <t>オーシャン製作所株式会社</t>
        </is>
      </c>
      <c r="F447" t="inlineStr">
        <is>
          <t>宮城県</t>
        </is>
      </c>
      <c r="G447" t="inlineStr">
        <is>
          <t>ハードウェア</t>
        </is>
      </c>
      <c r="H447" t="inlineStr">
        <is>
          <t>産業用タブレット</t>
        </is>
      </c>
      <c r="I447" s="4" t="n">
        <v>5</v>
      </c>
      <c r="J447" s="4" t="n">
        <v>77500</v>
      </c>
      <c r="K447" s="4">
        <f>I447*J447</f>
        <v/>
      </c>
      <c r="L447" t="inlineStr">
        <is>
          <t>新規開拓</t>
        </is>
      </c>
    </row>
    <row r="448">
      <c r="A448" t="inlineStr">
        <is>
          <t>SR019</t>
        </is>
      </c>
      <c r="B448" t="inlineStr">
        <is>
          <t>営業担当019</t>
        </is>
      </c>
      <c r="C448" t="inlineStr">
        <is>
          <t>パートナー営業部</t>
        </is>
      </c>
      <c r="D448" s="3" t="n">
        <v>45906</v>
      </c>
      <c r="E448" t="inlineStr">
        <is>
          <t>東洋フーズ株式会社</t>
        </is>
      </c>
      <c r="F448" t="inlineStr">
        <is>
          <t>福岡県</t>
        </is>
      </c>
      <c r="G448" t="inlineStr">
        <is>
          <t>ソフトウェア</t>
        </is>
      </c>
      <c r="H448" t="inlineStr">
        <is>
          <t>AIチャットボット</t>
        </is>
      </c>
      <c r="I448" s="4" t="n">
        <v>1</v>
      </c>
      <c r="J448" s="4" t="n">
        <v>809600</v>
      </c>
      <c r="K448" s="4">
        <f>I448*J448</f>
        <v/>
      </c>
      <c r="L448" t="inlineStr">
        <is>
          <t>キャンペーン適用</t>
        </is>
      </c>
    </row>
    <row r="449">
      <c r="A449" t="inlineStr">
        <is>
          <t>SR019</t>
        </is>
      </c>
      <c r="B449" t="inlineStr">
        <is>
          <t>営業担当019</t>
        </is>
      </c>
      <c r="C449" t="inlineStr">
        <is>
          <t>パートナー営業部</t>
        </is>
      </c>
      <c r="D449" s="3" t="n">
        <v>45937</v>
      </c>
      <c r="E449" t="inlineStr">
        <is>
          <t>グリーンテック有限会社</t>
        </is>
      </c>
      <c r="F449" t="inlineStr">
        <is>
          <t>神奈川県</t>
        </is>
      </c>
      <c r="G449" t="inlineStr">
        <is>
          <t>保守サービス</t>
        </is>
      </c>
      <c r="H449" t="inlineStr">
        <is>
          <t>ヘルプデスク契約</t>
        </is>
      </c>
      <c r="I449" s="4" t="n">
        <v>1</v>
      </c>
      <c r="J449" s="4" t="n">
        <v>44900</v>
      </c>
      <c r="K449" s="4">
        <f>I449*J449</f>
        <v/>
      </c>
      <c r="L449" t="inlineStr">
        <is>
          <t>キャンペーン適用</t>
        </is>
      </c>
    </row>
    <row r="450">
      <c r="A450" t="inlineStr">
        <is>
          <t>SR019</t>
        </is>
      </c>
      <c r="B450" t="inlineStr">
        <is>
          <t>営業担当019</t>
        </is>
      </c>
      <c r="C450" t="inlineStr">
        <is>
          <t>パートナー営業部</t>
        </is>
      </c>
      <c r="D450" s="3" t="n">
        <v>45950</v>
      </c>
      <c r="E450" t="inlineStr">
        <is>
          <t>ライトホーム(株)</t>
        </is>
      </c>
      <c r="F450" t="inlineStr">
        <is>
          <t>東京都</t>
        </is>
      </c>
      <c r="G450" t="inlineStr">
        <is>
          <t>導入支援</t>
        </is>
      </c>
      <c r="H450" t="inlineStr">
        <is>
          <t>操作研修パック</t>
        </is>
      </c>
      <c r="I450" s="4" t="n">
        <v>2</v>
      </c>
      <c r="J450" s="4" t="n">
        <v>118900</v>
      </c>
      <c r="K450" s="4">
        <f>I450*J450</f>
        <v/>
      </c>
      <c r="L450" t="inlineStr"/>
    </row>
    <row r="451">
      <c r="A451" t="inlineStr">
        <is>
          <t>SR019</t>
        </is>
      </c>
      <c r="B451" t="inlineStr">
        <is>
          <t>営業担当019</t>
        </is>
      </c>
      <c r="C451" t="inlineStr">
        <is>
          <t>パートナー営業部</t>
        </is>
      </c>
      <c r="D451" s="3" t="n">
        <v>45963</v>
      </c>
      <c r="E451" t="inlineStr">
        <is>
          <t>中央設備(株)</t>
        </is>
      </c>
      <c r="F451" t="inlineStr">
        <is>
          <t>愛知県</t>
        </is>
      </c>
      <c r="G451" t="inlineStr">
        <is>
          <t>ハードウェア</t>
        </is>
      </c>
      <c r="H451" t="inlineStr">
        <is>
          <t>ネットワークカメラ</t>
        </is>
      </c>
      <c r="I451" s="4" t="n">
        <v>5</v>
      </c>
      <c r="J451" s="4" t="n">
        <v>51100</v>
      </c>
      <c r="K451" s="4">
        <f>I451*J451</f>
        <v/>
      </c>
      <c r="L451" t="inlineStr">
        <is>
          <t>リピート受注</t>
        </is>
      </c>
    </row>
    <row r="452">
      <c r="A452" t="inlineStr">
        <is>
          <t>SR019</t>
        </is>
      </c>
      <c r="B452" t="inlineStr">
        <is>
          <t>営業担当019</t>
        </is>
      </c>
      <c r="C452" t="inlineStr">
        <is>
          <t>パートナー営業部</t>
        </is>
      </c>
      <c r="D452" s="3" t="n">
        <v>45979</v>
      </c>
      <c r="E452" t="inlineStr">
        <is>
          <t>日新サービス有限会社</t>
        </is>
      </c>
      <c r="F452" t="inlineStr">
        <is>
          <t>北海道</t>
        </is>
      </c>
      <c r="G452" t="inlineStr">
        <is>
          <t>保守サービス</t>
        </is>
      </c>
      <c r="H452" t="inlineStr">
        <is>
          <t>ヘルプデスク契約</t>
        </is>
      </c>
      <c r="I452" s="4" t="n">
        <v>4</v>
      </c>
      <c r="J452" s="4" t="n">
        <v>37200</v>
      </c>
      <c r="K452" s="4">
        <f>I452*J452</f>
        <v/>
      </c>
      <c r="L452" t="inlineStr">
        <is>
          <t>値引き調整あり</t>
        </is>
      </c>
    </row>
    <row r="453">
      <c r="A453" t="inlineStr">
        <is>
          <t>SR019</t>
        </is>
      </c>
      <c r="B453" t="inlineStr">
        <is>
          <t>営業担当019</t>
        </is>
      </c>
      <c r="C453" t="inlineStr">
        <is>
          <t>パートナー営業部</t>
        </is>
      </c>
      <c r="D453" s="3" t="n">
        <v>46001</v>
      </c>
      <c r="E453" t="inlineStr">
        <is>
          <t>桜井メディカル株式会社</t>
        </is>
      </c>
      <c r="F453" t="inlineStr">
        <is>
          <t>東京都</t>
        </is>
      </c>
      <c r="G453" t="inlineStr">
        <is>
          <t>導入支援</t>
        </is>
      </c>
      <c r="H453" t="inlineStr">
        <is>
          <t>操作研修パック</t>
        </is>
      </c>
      <c r="I453" s="4" t="n">
        <v>5</v>
      </c>
      <c r="J453" s="4" t="n">
        <v>130500</v>
      </c>
      <c r="K453" s="4">
        <f>I453*J453</f>
        <v/>
      </c>
      <c r="L453" t="inlineStr"/>
    </row>
    <row r="454">
      <c r="A454" t="inlineStr">
        <is>
          <t>SR019</t>
        </is>
      </c>
      <c r="B454" t="inlineStr">
        <is>
          <t>営業担当019</t>
        </is>
      </c>
      <c r="C454" t="inlineStr">
        <is>
          <t>パートナー営業部</t>
        </is>
      </c>
      <c r="D454" s="3" t="n">
        <v>46017</v>
      </c>
      <c r="E454" t="inlineStr">
        <is>
          <t>アーク電機株式会社</t>
        </is>
      </c>
      <c r="F454" t="inlineStr">
        <is>
          <t>宮城県</t>
        </is>
      </c>
      <c r="G454" t="inlineStr">
        <is>
          <t>ハードウェア</t>
        </is>
      </c>
      <c r="H454" t="inlineStr">
        <is>
          <t>小型ハンディ端末</t>
        </is>
      </c>
      <c r="I454" s="4" t="n">
        <v>5</v>
      </c>
      <c r="J454" s="4" t="n">
        <v>55200</v>
      </c>
      <c r="K454" s="4">
        <f>I454*J454</f>
        <v/>
      </c>
      <c r="L454" t="inlineStr"/>
    </row>
    <row r="455">
      <c r="A455" t="inlineStr">
        <is>
          <t>SR019</t>
        </is>
      </c>
      <c r="B455" t="inlineStr">
        <is>
          <t>営業担当019</t>
        </is>
      </c>
      <c r="C455" t="inlineStr">
        <is>
          <t>パートナー営業部</t>
        </is>
      </c>
      <c r="D455" s="3" t="n">
        <v>46024</v>
      </c>
      <c r="E455" t="inlineStr">
        <is>
          <t>福岡流通株式会社</t>
        </is>
      </c>
      <c r="F455" t="inlineStr">
        <is>
          <t>宮城県</t>
        </is>
      </c>
      <c r="G455" t="inlineStr">
        <is>
          <t>ソフトウェア</t>
        </is>
      </c>
      <c r="H455" t="inlineStr">
        <is>
          <t>帳票自動化ツール</t>
        </is>
      </c>
      <c r="I455" s="4" t="n">
        <v>5</v>
      </c>
      <c r="J455" s="4" t="n">
        <v>346700</v>
      </c>
      <c r="K455" s="4">
        <f>I455*J455</f>
        <v/>
      </c>
      <c r="L455" t="inlineStr">
        <is>
          <t>大型案件</t>
        </is>
      </c>
    </row>
    <row r="456">
      <c r="A456" t="inlineStr">
        <is>
          <t>SR019</t>
        </is>
      </c>
      <c r="B456" t="inlineStr">
        <is>
          <t>営業担当019</t>
        </is>
      </c>
      <c r="C456" t="inlineStr">
        <is>
          <t>パートナー営業部</t>
        </is>
      </c>
      <c r="D456" s="3" t="n">
        <v>46041</v>
      </c>
      <c r="E456" t="inlineStr">
        <is>
          <t>中央設備(株)</t>
        </is>
      </c>
      <c r="F456" t="inlineStr">
        <is>
          <t>京都府</t>
        </is>
      </c>
      <c r="G456" t="inlineStr">
        <is>
          <t>保守サービス</t>
        </is>
      </c>
      <c r="H456" t="inlineStr">
        <is>
          <t>オンサイト保守</t>
        </is>
      </c>
      <c r="I456" s="4" t="n">
        <v>3</v>
      </c>
      <c r="J456" s="4" t="n">
        <v>118400</v>
      </c>
      <c r="K456" s="4">
        <f>I456*J456</f>
        <v/>
      </c>
      <c r="L456" t="inlineStr">
        <is>
          <t>分納</t>
        </is>
      </c>
    </row>
    <row r="457">
      <c r="A457" t="inlineStr">
        <is>
          <t>SR019</t>
        </is>
      </c>
      <c r="B457" t="inlineStr">
        <is>
          <t>営業担当019</t>
        </is>
      </c>
      <c r="C457" t="inlineStr">
        <is>
          <t>パートナー営業部</t>
        </is>
      </c>
      <c r="D457" s="3" t="n">
        <v>46057</v>
      </c>
      <c r="E457" t="inlineStr">
        <is>
          <t>青葉商事株式会社</t>
        </is>
      </c>
      <c r="F457" t="inlineStr">
        <is>
          <t>福岡県</t>
        </is>
      </c>
      <c r="G457" t="inlineStr">
        <is>
          <t>保守サービス</t>
        </is>
      </c>
      <c r="H457" t="inlineStr">
        <is>
          <t>年間保守契約</t>
        </is>
      </c>
      <c r="I457" s="4" t="n">
        <v>4</v>
      </c>
      <c r="J457" s="4" t="n">
        <v>107300</v>
      </c>
      <c r="K457" s="4">
        <f>I457*J457</f>
        <v/>
      </c>
      <c r="L457" t="inlineStr">
        <is>
          <t>リピート受注</t>
        </is>
      </c>
    </row>
    <row r="458">
      <c r="A458" t="inlineStr">
        <is>
          <t>SR019</t>
        </is>
      </c>
      <c r="B458" t="inlineStr">
        <is>
          <t>営業担当019</t>
        </is>
      </c>
      <c r="C458" t="inlineStr">
        <is>
          <t>パートナー営業部</t>
        </is>
      </c>
      <c r="D458" s="3" t="n">
        <v>46072</v>
      </c>
      <c r="E458" t="inlineStr">
        <is>
          <t>ライトホーム(株)</t>
        </is>
      </c>
      <c r="F458" t="inlineStr">
        <is>
          <t>東京都</t>
        </is>
      </c>
      <c r="G458" t="inlineStr">
        <is>
          <t>ハードウェア</t>
        </is>
      </c>
      <c r="H458" t="inlineStr">
        <is>
          <t>ラベルプリンター</t>
        </is>
      </c>
      <c r="I458" s="4" t="n">
        <v>4</v>
      </c>
      <c r="J458" s="4" t="n">
        <v>45300</v>
      </c>
      <c r="K458" s="4">
        <f>I458*J458</f>
        <v/>
      </c>
      <c r="L458" t="inlineStr">
        <is>
          <t>キャンペーン適用</t>
        </is>
      </c>
    </row>
    <row r="459">
      <c r="A459" t="inlineStr">
        <is>
          <t>SR019</t>
        </is>
      </c>
      <c r="B459" t="inlineStr">
        <is>
          <t>営業担当019</t>
        </is>
      </c>
      <c r="C459" t="inlineStr">
        <is>
          <t>パートナー営業部</t>
        </is>
      </c>
      <c r="D459" s="3" t="n">
        <v>46083</v>
      </c>
      <c r="E459" t="inlineStr">
        <is>
          <t>日新サービス(株)</t>
        </is>
      </c>
      <c r="F459" t="inlineStr">
        <is>
          <t>愛知県</t>
        </is>
      </c>
      <c r="G459" t="inlineStr">
        <is>
          <t>ソフトウェア</t>
        </is>
      </c>
      <c r="H459" t="inlineStr">
        <is>
          <t>AIチャットボット</t>
        </is>
      </c>
      <c r="I459" s="4" t="n">
        <v>3</v>
      </c>
      <c r="J459" s="4" t="n">
        <v>555100</v>
      </c>
      <c r="K459" s="4">
        <f>I459*J459</f>
        <v/>
      </c>
      <c r="L459" t="inlineStr"/>
    </row>
    <row r="460">
      <c r="A460" t="inlineStr">
        <is>
          <t>SR019</t>
        </is>
      </c>
      <c r="B460" t="inlineStr">
        <is>
          <t>営業担当019</t>
        </is>
      </c>
      <c r="C460" t="inlineStr">
        <is>
          <t>パートナー営業部</t>
        </is>
      </c>
      <c r="D460" s="3" t="n">
        <v>46107</v>
      </c>
      <c r="E460" t="inlineStr">
        <is>
          <t>日新サービス(株)</t>
        </is>
      </c>
      <c r="F460" t="inlineStr">
        <is>
          <t>広島県</t>
        </is>
      </c>
      <c r="G460" t="inlineStr">
        <is>
          <t>保守サービス</t>
        </is>
      </c>
      <c r="H460" t="inlineStr">
        <is>
          <t>年間保守契約</t>
        </is>
      </c>
      <c r="I460" s="4" t="n">
        <v>5</v>
      </c>
      <c r="J460" s="4" t="n">
        <v>218700</v>
      </c>
      <c r="K460" s="4">
        <f>I460*J460</f>
        <v/>
      </c>
      <c r="L460" t="inlineStr"/>
    </row>
    <row r="461">
      <c r="A461" t="inlineStr">
        <is>
          <t>SR020</t>
        </is>
      </c>
      <c r="B461" t="inlineStr">
        <is>
          <t>営業担当020</t>
        </is>
      </c>
      <c r="C461" t="inlineStr">
        <is>
          <t>インサイドセールス部</t>
        </is>
      </c>
      <c r="D461" s="3" t="n">
        <v>45758</v>
      </c>
      <c r="E461" t="inlineStr">
        <is>
          <t>サンライズ建設(株)</t>
        </is>
      </c>
      <c r="F461" t="inlineStr">
        <is>
          <t>神奈川県</t>
        </is>
      </c>
      <c r="G461" t="inlineStr">
        <is>
          <t>導入支援</t>
        </is>
      </c>
      <c r="H461" t="inlineStr">
        <is>
          <t>操作研修パック</t>
        </is>
      </c>
      <c r="I461" s="4" t="n">
        <v>1</v>
      </c>
      <c r="J461" s="4" t="n">
        <v>76600</v>
      </c>
      <c r="K461" s="4">
        <f>I461*J461</f>
        <v/>
      </c>
      <c r="L461" t="inlineStr"/>
    </row>
    <row r="462">
      <c r="A462" t="inlineStr">
        <is>
          <t>SR020</t>
        </is>
      </c>
      <c r="B462" t="inlineStr">
        <is>
          <t>営業担当020</t>
        </is>
      </c>
      <c r="C462" t="inlineStr">
        <is>
          <t>インサイドセールス部</t>
        </is>
      </c>
      <c r="D462" s="3" t="n">
        <v>45765</v>
      </c>
      <c r="E462" t="inlineStr">
        <is>
          <t>ライトホーム有限会社</t>
        </is>
      </c>
      <c r="F462" t="inlineStr">
        <is>
          <t>神奈川県</t>
        </is>
      </c>
      <c r="G462" t="inlineStr">
        <is>
          <t>保守サービス</t>
        </is>
      </c>
      <c r="H462" t="inlineStr">
        <is>
          <t>ヘルプデスク契約</t>
        </is>
      </c>
      <c r="I462" s="4" t="n">
        <v>1</v>
      </c>
      <c r="J462" s="4" t="n">
        <v>85300</v>
      </c>
      <c r="K462" s="4">
        <f>I462*J462</f>
        <v/>
      </c>
      <c r="L462" t="inlineStr"/>
    </row>
    <row r="463">
      <c r="A463" t="inlineStr">
        <is>
          <t>SR020</t>
        </is>
      </c>
      <c r="B463" t="inlineStr">
        <is>
          <t>営業担当020</t>
        </is>
      </c>
      <c r="C463" t="inlineStr">
        <is>
          <t>インサイドセールス部</t>
        </is>
      </c>
      <c r="D463" s="3" t="n">
        <v>45787</v>
      </c>
      <c r="E463" t="inlineStr">
        <is>
          <t>白峰化学(株)</t>
        </is>
      </c>
      <c r="F463" t="inlineStr">
        <is>
          <t>神奈川県</t>
        </is>
      </c>
      <c r="G463" t="inlineStr">
        <is>
          <t>導入支援</t>
        </is>
      </c>
      <c r="H463" t="inlineStr">
        <is>
          <t>操作研修パック</t>
        </is>
      </c>
      <c r="I463" s="4" t="n">
        <v>1</v>
      </c>
      <c r="J463" s="4" t="n">
        <v>68400</v>
      </c>
      <c r="K463" s="4">
        <f>I463*J463</f>
        <v/>
      </c>
      <c r="L463" t="inlineStr">
        <is>
          <t>分納</t>
        </is>
      </c>
    </row>
    <row r="464">
      <c r="A464" t="inlineStr">
        <is>
          <t>SR020</t>
        </is>
      </c>
      <c r="B464" t="inlineStr">
        <is>
          <t>営業担当020</t>
        </is>
      </c>
      <c r="C464" t="inlineStr">
        <is>
          <t>インサイドセールス部</t>
        </is>
      </c>
      <c r="D464" s="3" t="n">
        <v>45788</v>
      </c>
      <c r="E464" t="inlineStr">
        <is>
          <t>未来通信有限会社</t>
        </is>
      </c>
      <c r="F464" t="inlineStr">
        <is>
          <t>北海道</t>
        </is>
      </c>
      <c r="G464" t="inlineStr">
        <is>
          <t>保守サービス</t>
        </is>
      </c>
      <c r="H464" t="inlineStr">
        <is>
          <t>オンサイト保守</t>
        </is>
      </c>
      <c r="I464" s="4" t="n">
        <v>3</v>
      </c>
      <c r="J464" s="4" t="n">
        <v>78500</v>
      </c>
      <c r="K464" s="4">
        <f>I464*J464</f>
        <v/>
      </c>
      <c r="L464" t="inlineStr"/>
    </row>
    <row r="465">
      <c r="A465" t="inlineStr">
        <is>
          <t>SR020</t>
        </is>
      </c>
      <c r="B465" t="inlineStr">
        <is>
          <t>営業担当020</t>
        </is>
      </c>
      <c r="C465" t="inlineStr">
        <is>
          <t>インサイドセールス部</t>
        </is>
      </c>
      <c r="D465" s="3" t="n">
        <v>45815</v>
      </c>
      <c r="E465" t="inlineStr">
        <is>
          <t>アーク電機有限会社</t>
        </is>
      </c>
      <c r="F465" t="inlineStr">
        <is>
          <t>広島県</t>
        </is>
      </c>
      <c r="G465" t="inlineStr">
        <is>
          <t>消耗品</t>
        </is>
      </c>
      <c r="H465" t="inlineStr">
        <is>
          <t>保守用バッテリー</t>
        </is>
      </c>
      <c r="I465" s="4" t="n">
        <v>14</v>
      </c>
      <c r="J465" s="4" t="n">
        <v>6950</v>
      </c>
      <c r="K465" s="4">
        <f>I465*J465</f>
        <v/>
      </c>
      <c r="L465" t="inlineStr">
        <is>
          <t>値引き調整あり</t>
        </is>
      </c>
    </row>
    <row r="466">
      <c r="A466" t="inlineStr">
        <is>
          <t>SR020</t>
        </is>
      </c>
      <c r="B466" t="inlineStr">
        <is>
          <t>営業担当020</t>
        </is>
      </c>
      <c r="C466" t="inlineStr">
        <is>
          <t>インサイドセールス部</t>
        </is>
      </c>
      <c r="D466" s="3" t="n">
        <v>45825</v>
      </c>
      <c r="E466" t="inlineStr">
        <is>
          <t>桜井メディカル株式会社</t>
        </is>
      </c>
      <c r="F466" t="inlineStr">
        <is>
          <t>兵庫県</t>
        </is>
      </c>
      <c r="G466" t="inlineStr">
        <is>
          <t>導入支援</t>
        </is>
      </c>
      <c r="H466" t="inlineStr">
        <is>
          <t>操作研修パック</t>
        </is>
      </c>
      <c r="I466" s="4" t="n">
        <v>3</v>
      </c>
      <c r="J466" s="4" t="n">
        <v>58600</v>
      </c>
      <c r="K466" s="4">
        <f>I466*J466</f>
        <v/>
      </c>
      <c r="L466" t="inlineStr"/>
    </row>
    <row r="467">
      <c r="A467" t="inlineStr">
        <is>
          <t>SR020</t>
        </is>
      </c>
      <c r="B467" t="inlineStr">
        <is>
          <t>営業担当020</t>
        </is>
      </c>
      <c r="C467" t="inlineStr">
        <is>
          <t>インサイドセールス部</t>
        </is>
      </c>
      <c r="D467" s="3" t="n">
        <v>45859</v>
      </c>
      <c r="E467" t="inlineStr">
        <is>
          <t>ネクストソリューション(株)</t>
        </is>
      </c>
      <c r="F467" t="inlineStr">
        <is>
          <t>神奈川県</t>
        </is>
      </c>
      <c r="G467" t="inlineStr">
        <is>
          <t>導入支援</t>
        </is>
      </c>
      <c r="H467" t="inlineStr">
        <is>
          <t>データ移行支援</t>
        </is>
      </c>
      <c r="I467" s="4" t="n">
        <v>4</v>
      </c>
      <c r="J467" s="4" t="n">
        <v>94400</v>
      </c>
      <c r="K467" s="4">
        <f>I467*J467</f>
        <v/>
      </c>
      <c r="L467" t="inlineStr">
        <is>
          <t>大型案件</t>
        </is>
      </c>
    </row>
    <row r="468">
      <c r="A468" t="inlineStr">
        <is>
          <t>SR020</t>
        </is>
      </c>
      <c r="B468" t="inlineStr">
        <is>
          <t>営業担当020</t>
        </is>
      </c>
      <c r="C468" t="inlineStr">
        <is>
          <t>インサイドセールス部</t>
        </is>
      </c>
      <c r="D468" s="3" t="n">
        <v>45864</v>
      </c>
      <c r="E468" t="inlineStr">
        <is>
          <t>西日本機工株式会社</t>
        </is>
      </c>
      <c r="F468" t="inlineStr">
        <is>
          <t>神奈川県</t>
        </is>
      </c>
      <c r="G468" t="inlineStr">
        <is>
          <t>消耗品</t>
        </is>
      </c>
      <c r="H468" t="inlineStr">
        <is>
          <t>保守用バッテリー</t>
        </is>
      </c>
      <c r="I468" s="4" t="n">
        <v>3</v>
      </c>
      <c r="J468" s="4" t="n">
        <v>16530</v>
      </c>
      <c r="K468" s="4">
        <f>I468*J468</f>
        <v/>
      </c>
      <c r="L468" t="inlineStr"/>
    </row>
    <row r="469">
      <c r="A469" t="inlineStr">
        <is>
          <t>SR020</t>
        </is>
      </c>
      <c r="B469" t="inlineStr">
        <is>
          <t>営業担当020</t>
        </is>
      </c>
      <c r="C469" t="inlineStr">
        <is>
          <t>インサイドセールス部</t>
        </is>
      </c>
      <c r="D469" s="3" t="n">
        <v>45875</v>
      </c>
      <c r="E469" t="inlineStr">
        <is>
          <t>東洋フーズ株式会社</t>
        </is>
      </c>
      <c r="F469" t="inlineStr">
        <is>
          <t>東京都</t>
        </is>
      </c>
      <c r="G469" t="inlineStr">
        <is>
          <t>ハードウェア</t>
        </is>
      </c>
      <c r="H469" t="inlineStr">
        <is>
          <t>産業用タブレット</t>
        </is>
      </c>
      <c r="I469" s="4" t="n">
        <v>4</v>
      </c>
      <c r="J469" s="4" t="n">
        <v>73100</v>
      </c>
      <c r="K469" s="4">
        <f>I469*J469</f>
        <v/>
      </c>
      <c r="L469" t="inlineStr">
        <is>
          <t>新規開拓</t>
        </is>
      </c>
    </row>
    <row r="470">
      <c r="A470" t="inlineStr">
        <is>
          <t>SR020</t>
        </is>
      </c>
      <c r="B470" t="inlineStr">
        <is>
          <t>営業担当020</t>
        </is>
      </c>
      <c r="C470" t="inlineStr">
        <is>
          <t>インサイドセールス部</t>
        </is>
      </c>
      <c r="D470" s="3" t="n">
        <v>45880</v>
      </c>
      <c r="E470" t="inlineStr">
        <is>
          <t>桜井メディカル有限会社</t>
        </is>
      </c>
      <c r="F470" t="inlineStr">
        <is>
          <t>京都府</t>
        </is>
      </c>
      <c r="G470" t="inlineStr">
        <is>
          <t>導入支援</t>
        </is>
      </c>
      <c r="H470" t="inlineStr">
        <is>
          <t>操作研修パック</t>
        </is>
      </c>
      <c r="I470" s="4" t="n">
        <v>3</v>
      </c>
      <c r="J470" s="4" t="n">
        <v>133800</v>
      </c>
      <c r="K470" s="4">
        <f>I470*J470</f>
        <v/>
      </c>
      <c r="L470" t="inlineStr">
        <is>
          <t>リピート受注</t>
        </is>
      </c>
    </row>
    <row r="471">
      <c r="A471" t="inlineStr">
        <is>
          <t>SR020</t>
        </is>
      </c>
      <c r="B471" t="inlineStr">
        <is>
          <t>営業担当020</t>
        </is>
      </c>
      <c r="C471" t="inlineStr">
        <is>
          <t>インサイドセールス部</t>
        </is>
      </c>
      <c r="D471" s="3" t="n">
        <v>45923</v>
      </c>
      <c r="E471" t="inlineStr">
        <is>
          <t>東洋フーズ(株)</t>
        </is>
      </c>
      <c r="F471" t="inlineStr">
        <is>
          <t>北海道</t>
        </is>
      </c>
      <c r="G471" t="inlineStr">
        <is>
          <t>導入支援</t>
        </is>
      </c>
      <c r="H471" t="inlineStr">
        <is>
          <t>操作研修パック</t>
        </is>
      </c>
      <c r="I471" s="4" t="n">
        <v>4</v>
      </c>
      <c r="J471" s="4" t="n">
        <v>55300</v>
      </c>
      <c r="K471" s="4">
        <f>I471*J471</f>
        <v/>
      </c>
      <c r="L471" t="inlineStr"/>
    </row>
    <row r="472">
      <c r="A472" t="inlineStr">
        <is>
          <t>SR020</t>
        </is>
      </c>
      <c r="B472" t="inlineStr">
        <is>
          <t>営業担当020</t>
        </is>
      </c>
      <c r="C472" t="inlineStr">
        <is>
          <t>インサイドセールス部</t>
        </is>
      </c>
      <c r="D472" s="3" t="n">
        <v>45928</v>
      </c>
      <c r="E472" t="inlineStr">
        <is>
          <t>西日本機工有限会社</t>
        </is>
      </c>
      <c r="F472" t="inlineStr">
        <is>
          <t>京都府</t>
        </is>
      </c>
      <c r="G472" t="inlineStr">
        <is>
          <t>ハードウェア</t>
        </is>
      </c>
      <c r="H472" t="inlineStr">
        <is>
          <t>ラベルプリンター</t>
        </is>
      </c>
      <c r="I472" s="4" t="n">
        <v>1</v>
      </c>
      <c r="J472" s="4" t="n">
        <v>62100</v>
      </c>
      <c r="K472" s="4">
        <f>I472*J472</f>
        <v/>
      </c>
      <c r="L472" t="inlineStr"/>
    </row>
    <row r="473">
      <c r="A473" t="inlineStr">
        <is>
          <t>SR020</t>
        </is>
      </c>
      <c r="B473" t="inlineStr">
        <is>
          <t>営業担当020</t>
        </is>
      </c>
      <c r="C473" t="inlineStr">
        <is>
          <t>インサイドセールス部</t>
        </is>
      </c>
      <c r="D473" s="3" t="n">
        <v>45938</v>
      </c>
      <c r="E473" t="inlineStr">
        <is>
          <t>福岡流通(株)</t>
        </is>
      </c>
      <c r="F473" t="inlineStr">
        <is>
          <t>兵庫県</t>
        </is>
      </c>
      <c r="G473" t="inlineStr">
        <is>
          <t>導入支援</t>
        </is>
      </c>
      <c r="H473" t="inlineStr">
        <is>
          <t>初期設定支援</t>
        </is>
      </c>
      <c r="I473" s="4" t="n">
        <v>4</v>
      </c>
      <c r="J473" s="4" t="n">
        <v>170100</v>
      </c>
      <c r="K473" s="4">
        <f>I473*J473</f>
        <v/>
      </c>
      <c r="L473" t="inlineStr">
        <is>
          <t>値引き調整あり</t>
        </is>
      </c>
    </row>
    <row r="474">
      <c r="A474" t="inlineStr">
        <is>
          <t>SR020</t>
        </is>
      </c>
      <c r="B474" t="inlineStr">
        <is>
          <t>営業担当020</t>
        </is>
      </c>
      <c r="C474" t="inlineStr">
        <is>
          <t>インサイドセールス部</t>
        </is>
      </c>
      <c r="D474" s="3" t="n">
        <v>45954</v>
      </c>
      <c r="E474" t="inlineStr">
        <is>
          <t>未来通信有限会社</t>
        </is>
      </c>
      <c r="F474" t="inlineStr">
        <is>
          <t>京都府</t>
        </is>
      </c>
      <c r="G474" t="inlineStr">
        <is>
          <t>ハードウェア</t>
        </is>
      </c>
      <c r="H474" t="inlineStr">
        <is>
          <t>ラベルプリンター</t>
        </is>
      </c>
      <c r="I474" s="4" t="n">
        <v>1</v>
      </c>
      <c r="J474" s="4" t="n">
        <v>49300</v>
      </c>
      <c r="K474" s="4">
        <f>I474*J474</f>
        <v/>
      </c>
      <c r="L474" t="inlineStr">
        <is>
          <t>新規開拓</t>
        </is>
      </c>
    </row>
    <row r="475">
      <c r="A475" t="inlineStr">
        <is>
          <t>SR020</t>
        </is>
      </c>
      <c r="B475" t="inlineStr">
        <is>
          <t>営業担当020</t>
        </is>
      </c>
      <c r="C475" t="inlineStr">
        <is>
          <t>インサイドセールス部</t>
        </is>
      </c>
      <c r="D475" s="3" t="n">
        <v>45969</v>
      </c>
      <c r="E475" t="inlineStr">
        <is>
          <t>サンライズ建設(株)</t>
        </is>
      </c>
      <c r="F475" t="inlineStr">
        <is>
          <t>北海道</t>
        </is>
      </c>
      <c r="G475" t="inlineStr">
        <is>
          <t>保守サービス</t>
        </is>
      </c>
      <c r="H475" t="inlineStr">
        <is>
          <t>オンサイト保守</t>
        </is>
      </c>
      <c r="I475" s="4" t="n">
        <v>5</v>
      </c>
      <c r="J475" s="4" t="n">
        <v>100200</v>
      </c>
      <c r="K475" s="4">
        <f>I475*J475</f>
        <v/>
      </c>
      <c r="L475" t="inlineStr">
        <is>
          <t>分納</t>
        </is>
      </c>
    </row>
    <row r="476">
      <c r="A476" t="inlineStr">
        <is>
          <t>SR020</t>
        </is>
      </c>
      <c r="B476" t="inlineStr">
        <is>
          <t>営業担当020</t>
        </is>
      </c>
      <c r="C476" t="inlineStr">
        <is>
          <t>インサイドセールス部</t>
        </is>
      </c>
      <c r="D476" s="3" t="n">
        <v>45973</v>
      </c>
      <c r="E476" t="inlineStr">
        <is>
          <t>福岡流通株式会社</t>
        </is>
      </c>
      <c r="F476" t="inlineStr">
        <is>
          <t>神奈川県</t>
        </is>
      </c>
      <c r="G476" t="inlineStr">
        <is>
          <t>ソフトウェア</t>
        </is>
      </c>
      <c r="H476" t="inlineStr">
        <is>
          <t>帳票自動化ツール</t>
        </is>
      </c>
      <c r="I476" s="4" t="n">
        <v>1</v>
      </c>
      <c r="J476" s="4" t="n">
        <v>308300</v>
      </c>
      <c r="K476" s="4">
        <f>I476*J476</f>
        <v/>
      </c>
      <c r="L476" t="inlineStr"/>
    </row>
    <row r="477">
      <c r="A477" t="inlineStr">
        <is>
          <t>SR020</t>
        </is>
      </c>
      <c r="B477" t="inlineStr">
        <is>
          <t>営業担当020</t>
        </is>
      </c>
      <c r="C477" t="inlineStr">
        <is>
          <t>インサイドセールス部</t>
        </is>
      </c>
      <c r="D477" s="3" t="n">
        <v>45997</v>
      </c>
      <c r="E477" t="inlineStr">
        <is>
          <t>星和商会株式会社</t>
        </is>
      </c>
      <c r="F477" t="inlineStr">
        <is>
          <t>愛知県</t>
        </is>
      </c>
      <c r="G477" t="inlineStr">
        <is>
          <t>ハードウェア</t>
        </is>
      </c>
      <c r="H477" t="inlineStr">
        <is>
          <t>小型ハンディ端末</t>
        </is>
      </c>
      <c r="I477" s="4" t="n">
        <v>3</v>
      </c>
      <c r="J477" s="4" t="n">
        <v>86900</v>
      </c>
      <c r="K477" s="4">
        <f>I477*J477</f>
        <v/>
      </c>
      <c r="L477" t="inlineStr">
        <is>
          <t>値引き調整あり</t>
        </is>
      </c>
    </row>
    <row r="478">
      <c r="A478" t="inlineStr">
        <is>
          <t>SR020</t>
        </is>
      </c>
      <c r="B478" t="inlineStr">
        <is>
          <t>営業担当020</t>
        </is>
      </c>
      <c r="C478" t="inlineStr">
        <is>
          <t>インサイドセールス部</t>
        </is>
      </c>
      <c r="D478" s="3" t="n">
        <v>46019</v>
      </c>
      <c r="E478" t="inlineStr">
        <is>
          <t>中央設備(株)</t>
        </is>
      </c>
      <c r="F478" t="inlineStr">
        <is>
          <t>東京都</t>
        </is>
      </c>
      <c r="G478" t="inlineStr">
        <is>
          <t>消耗品</t>
        </is>
      </c>
      <c r="H478" t="inlineStr">
        <is>
          <t>交換用ヘッド</t>
        </is>
      </c>
      <c r="I478" s="4" t="n">
        <v>10</v>
      </c>
      <c r="J478" s="4" t="n">
        <v>14910</v>
      </c>
      <c r="K478" s="4">
        <f>I478*J478</f>
        <v/>
      </c>
      <c r="L478" t="inlineStr">
        <is>
          <t>分納</t>
        </is>
      </c>
    </row>
    <row r="479">
      <c r="A479" t="inlineStr">
        <is>
          <t>SR020</t>
        </is>
      </c>
      <c r="B479" t="inlineStr">
        <is>
          <t>営業担当020</t>
        </is>
      </c>
      <c r="C479" t="inlineStr">
        <is>
          <t>インサイドセールス部</t>
        </is>
      </c>
      <c r="D479" s="3" t="n">
        <v>46023</v>
      </c>
      <c r="E479" t="inlineStr">
        <is>
          <t>青葉商事(株)</t>
        </is>
      </c>
      <c r="F479" t="inlineStr">
        <is>
          <t>福岡県</t>
        </is>
      </c>
      <c r="G479" t="inlineStr">
        <is>
          <t>ハードウェア</t>
        </is>
      </c>
      <c r="H479" t="inlineStr">
        <is>
          <t>産業用タブレット</t>
        </is>
      </c>
      <c r="I479" s="4" t="n">
        <v>2</v>
      </c>
      <c r="J479" s="4" t="n">
        <v>93800</v>
      </c>
      <c r="K479" s="4">
        <f>I479*J479</f>
        <v/>
      </c>
      <c r="L479" t="inlineStr">
        <is>
          <t>リピート受注</t>
        </is>
      </c>
    </row>
    <row r="480">
      <c r="A480" t="inlineStr">
        <is>
          <t>SR020</t>
        </is>
      </c>
      <c r="B480" t="inlineStr">
        <is>
          <t>営業担当020</t>
        </is>
      </c>
      <c r="C480" t="inlineStr">
        <is>
          <t>インサイドセールス部</t>
        </is>
      </c>
      <c r="D480" s="3" t="n">
        <v>46029</v>
      </c>
      <c r="E480" t="inlineStr">
        <is>
          <t>大和精機株式会社</t>
        </is>
      </c>
      <c r="F480" t="inlineStr">
        <is>
          <t>宮城県</t>
        </is>
      </c>
      <c r="G480" t="inlineStr">
        <is>
          <t>消耗品</t>
        </is>
      </c>
      <c r="H480" t="inlineStr">
        <is>
          <t>保守用バッテリー</t>
        </is>
      </c>
      <c r="I480" s="4" t="n">
        <v>7</v>
      </c>
      <c r="J480" s="4" t="n">
        <v>6900</v>
      </c>
      <c r="K480" s="4">
        <f>I480*J480</f>
        <v/>
      </c>
      <c r="L480" t="inlineStr"/>
    </row>
    <row r="481">
      <c r="A481" t="inlineStr">
        <is>
          <t>SR020</t>
        </is>
      </c>
      <c r="B481" t="inlineStr">
        <is>
          <t>営業担当020</t>
        </is>
      </c>
      <c r="C481" t="inlineStr">
        <is>
          <t>インサイドセールス部</t>
        </is>
      </c>
      <c r="D481" s="3" t="n">
        <v>46058</v>
      </c>
      <c r="E481" t="inlineStr">
        <is>
          <t>東洋フーズ(株)</t>
        </is>
      </c>
      <c r="F481" t="inlineStr">
        <is>
          <t>宮城県</t>
        </is>
      </c>
      <c r="G481" t="inlineStr">
        <is>
          <t>消耗品</t>
        </is>
      </c>
      <c r="H481" t="inlineStr">
        <is>
          <t>保守用バッテリー</t>
        </is>
      </c>
      <c r="I481" s="4" t="n">
        <v>3</v>
      </c>
      <c r="J481" s="4" t="n">
        <v>12270</v>
      </c>
      <c r="K481" s="4">
        <f>I481*J481</f>
        <v/>
      </c>
      <c r="L481" t="inlineStr"/>
    </row>
    <row r="482">
      <c r="A482" t="inlineStr">
        <is>
          <t>SR020</t>
        </is>
      </c>
      <c r="B482" t="inlineStr">
        <is>
          <t>営業担当020</t>
        </is>
      </c>
      <c r="C482" t="inlineStr">
        <is>
          <t>インサイドセールス部</t>
        </is>
      </c>
      <c r="D482" s="3" t="n">
        <v>46076</v>
      </c>
      <c r="E482" t="inlineStr">
        <is>
          <t>未来通信(株)</t>
        </is>
      </c>
      <c r="F482" t="inlineStr">
        <is>
          <t>宮城県</t>
        </is>
      </c>
      <c r="G482" t="inlineStr">
        <is>
          <t>保守サービス</t>
        </is>
      </c>
      <c r="H482" t="inlineStr">
        <is>
          <t>オンサイト保守</t>
        </is>
      </c>
      <c r="I482" s="4" t="n">
        <v>3</v>
      </c>
      <c r="J482" s="4" t="n">
        <v>84600</v>
      </c>
      <c r="K482" s="4">
        <f>I482*J482</f>
        <v/>
      </c>
      <c r="L482" t="inlineStr">
        <is>
          <t>分納</t>
        </is>
      </c>
    </row>
    <row r="483">
      <c r="A483" t="inlineStr">
        <is>
          <t>SR020</t>
        </is>
      </c>
      <c r="B483" t="inlineStr">
        <is>
          <t>営業担当020</t>
        </is>
      </c>
      <c r="C483" t="inlineStr">
        <is>
          <t>インサイドセールス部</t>
        </is>
      </c>
      <c r="D483" s="3" t="n">
        <v>46091</v>
      </c>
      <c r="E483" t="inlineStr">
        <is>
          <t>大和精機有限会社</t>
        </is>
      </c>
      <c r="F483" t="inlineStr">
        <is>
          <t>宮城県</t>
        </is>
      </c>
      <c r="G483" t="inlineStr">
        <is>
          <t>消耗品</t>
        </is>
      </c>
      <c r="H483" t="inlineStr">
        <is>
          <t>ラベルロール</t>
        </is>
      </c>
      <c r="I483" s="4" t="n">
        <v>1</v>
      </c>
      <c r="J483" s="4" t="n">
        <v>12670</v>
      </c>
      <c r="K483" s="4">
        <f>I483*J483</f>
        <v/>
      </c>
      <c r="L483" t="inlineStr">
        <is>
          <t>新規開拓</t>
        </is>
      </c>
    </row>
    <row r="484">
      <c r="A484" t="inlineStr">
        <is>
          <t>SR020</t>
        </is>
      </c>
      <c r="B484" t="inlineStr">
        <is>
          <t>営業担当020</t>
        </is>
      </c>
      <c r="C484" t="inlineStr">
        <is>
          <t>インサイドセールス部</t>
        </is>
      </c>
      <c r="D484" s="3" t="n">
        <v>46106</v>
      </c>
      <c r="E484" t="inlineStr">
        <is>
          <t>みらい物流(株)</t>
        </is>
      </c>
      <c r="F484" t="inlineStr">
        <is>
          <t>北海道</t>
        </is>
      </c>
      <c r="G484" t="inlineStr">
        <is>
          <t>ハードウェア</t>
        </is>
      </c>
      <c r="H484" t="inlineStr">
        <is>
          <t>ラベルプリンター</t>
        </is>
      </c>
      <c r="I484" s="4" t="n">
        <v>1</v>
      </c>
      <c r="J484" s="4" t="n">
        <v>38200</v>
      </c>
      <c r="K484" s="4">
        <f>I484*J484</f>
        <v/>
      </c>
      <c r="L484" t="inlineStr">
        <is>
          <t>分納</t>
        </is>
      </c>
    </row>
    <row r="485">
      <c r="A485" t="inlineStr">
        <is>
          <t>SR021</t>
        </is>
      </c>
      <c r="B485" t="inlineStr">
        <is>
          <t>営業担当021</t>
        </is>
      </c>
      <c r="C485" t="inlineStr">
        <is>
          <t>第1営業部</t>
        </is>
      </c>
      <c r="D485" s="3" t="n">
        <v>45754</v>
      </c>
      <c r="E485" t="inlineStr">
        <is>
          <t>ライトホーム株式会社</t>
        </is>
      </c>
      <c r="F485" t="inlineStr">
        <is>
          <t>神奈川県</t>
        </is>
      </c>
      <c r="G485" t="inlineStr">
        <is>
          <t>消耗品</t>
        </is>
      </c>
      <c r="H485" t="inlineStr">
        <is>
          <t>ラベルロール</t>
        </is>
      </c>
      <c r="I485" s="4" t="n">
        <v>6</v>
      </c>
      <c r="J485" s="4" t="n">
        <v>10590</v>
      </c>
      <c r="K485" s="4">
        <f>I485*J485</f>
        <v/>
      </c>
      <c r="L485" t="inlineStr">
        <is>
          <t>リピート受注</t>
        </is>
      </c>
    </row>
    <row r="486">
      <c r="A486" t="inlineStr">
        <is>
          <t>SR021</t>
        </is>
      </c>
      <c r="B486" t="inlineStr">
        <is>
          <t>営業担当021</t>
        </is>
      </c>
      <c r="C486" t="inlineStr">
        <is>
          <t>第1営業部</t>
        </is>
      </c>
      <c r="D486" s="3" t="n">
        <v>45756</v>
      </c>
      <c r="E486" t="inlineStr">
        <is>
          <t>東洋フーズ株式会社</t>
        </is>
      </c>
      <c r="F486" t="inlineStr">
        <is>
          <t>兵庫県</t>
        </is>
      </c>
      <c r="G486" t="inlineStr">
        <is>
          <t>ハードウェア</t>
        </is>
      </c>
      <c r="H486" t="inlineStr">
        <is>
          <t>ネットワークカメラ</t>
        </is>
      </c>
      <c r="I486" s="4" t="n">
        <v>1</v>
      </c>
      <c r="J486" s="4" t="n">
        <v>37200</v>
      </c>
      <c r="K486" s="4">
        <f>I486*J486</f>
        <v/>
      </c>
      <c r="L486" t="inlineStr">
        <is>
          <t>キャンペーン適用</t>
        </is>
      </c>
    </row>
    <row r="487">
      <c r="A487" t="inlineStr">
        <is>
          <t>SR021</t>
        </is>
      </c>
      <c r="B487" t="inlineStr">
        <is>
          <t>営業担当021</t>
        </is>
      </c>
      <c r="C487" t="inlineStr">
        <is>
          <t>第1営業部</t>
        </is>
      </c>
      <c r="D487" s="3" t="n">
        <v>45783</v>
      </c>
      <c r="E487" t="inlineStr">
        <is>
          <t>北斗産業有限会社</t>
        </is>
      </c>
      <c r="F487" t="inlineStr">
        <is>
          <t>広島県</t>
        </is>
      </c>
      <c r="G487" t="inlineStr">
        <is>
          <t>ハードウェア</t>
        </is>
      </c>
      <c r="H487" t="inlineStr">
        <is>
          <t>ネットワークカメラ</t>
        </is>
      </c>
      <c r="I487" s="4" t="n">
        <v>3</v>
      </c>
      <c r="J487" s="4" t="n">
        <v>48000</v>
      </c>
      <c r="K487" s="4">
        <f>I487*J487</f>
        <v/>
      </c>
      <c r="L487" t="inlineStr"/>
    </row>
    <row r="488">
      <c r="A488" t="inlineStr">
        <is>
          <t>SR021</t>
        </is>
      </c>
      <c r="B488" t="inlineStr">
        <is>
          <t>営業担当021</t>
        </is>
      </c>
      <c r="C488" t="inlineStr">
        <is>
          <t>第1営業部</t>
        </is>
      </c>
      <c r="D488" s="3" t="n">
        <v>45798</v>
      </c>
      <c r="E488" t="inlineStr">
        <is>
          <t>アーク電機(株)</t>
        </is>
      </c>
      <c r="F488" t="inlineStr">
        <is>
          <t>宮城県</t>
        </is>
      </c>
      <c r="G488" t="inlineStr">
        <is>
          <t>導入支援</t>
        </is>
      </c>
      <c r="H488" t="inlineStr">
        <is>
          <t>データ移行支援</t>
        </is>
      </c>
      <c r="I488" s="4" t="n">
        <v>1</v>
      </c>
      <c r="J488" s="4" t="n">
        <v>95400</v>
      </c>
      <c r="K488" s="4">
        <f>I488*J488</f>
        <v/>
      </c>
      <c r="L488" t="inlineStr">
        <is>
          <t>値引き調整あり</t>
        </is>
      </c>
    </row>
    <row r="489">
      <c r="A489" t="inlineStr">
        <is>
          <t>SR021</t>
        </is>
      </c>
      <c r="B489" t="inlineStr">
        <is>
          <t>営業担当021</t>
        </is>
      </c>
      <c r="C489" t="inlineStr">
        <is>
          <t>第1営業部</t>
        </is>
      </c>
      <c r="D489" s="3" t="n">
        <v>45809</v>
      </c>
      <c r="E489" t="inlineStr">
        <is>
          <t>みらい物流株式会社</t>
        </is>
      </c>
      <c r="F489" t="inlineStr">
        <is>
          <t>兵庫県</t>
        </is>
      </c>
      <c r="G489" t="inlineStr">
        <is>
          <t>導入支援</t>
        </is>
      </c>
      <c r="H489" t="inlineStr">
        <is>
          <t>初期設定支援</t>
        </is>
      </c>
      <c r="I489" s="4" t="n">
        <v>1</v>
      </c>
      <c r="J489" s="4" t="n">
        <v>209600</v>
      </c>
      <c r="K489" s="4">
        <f>I489*J489</f>
        <v/>
      </c>
      <c r="L489" t="inlineStr">
        <is>
          <t>値引き調整あり</t>
        </is>
      </c>
    </row>
    <row r="490">
      <c r="A490" t="inlineStr">
        <is>
          <t>SR021</t>
        </is>
      </c>
      <c r="B490" t="inlineStr">
        <is>
          <t>営業担当021</t>
        </is>
      </c>
      <c r="C490" t="inlineStr">
        <is>
          <t>第1営業部</t>
        </is>
      </c>
      <c r="D490" s="3" t="n">
        <v>45815</v>
      </c>
      <c r="E490" t="inlineStr">
        <is>
          <t>福岡流通株式会社</t>
        </is>
      </c>
      <c r="F490" t="inlineStr">
        <is>
          <t>北海道</t>
        </is>
      </c>
      <c r="G490" t="inlineStr">
        <is>
          <t>消耗品</t>
        </is>
      </c>
      <c r="H490" t="inlineStr">
        <is>
          <t>ラベルロール</t>
        </is>
      </c>
      <c r="I490" s="4" t="n">
        <v>1</v>
      </c>
      <c r="J490" s="4" t="n">
        <v>2280</v>
      </c>
      <c r="K490" s="4">
        <f>I490*J490</f>
        <v/>
      </c>
      <c r="L490" t="inlineStr">
        <is>
          <t>大型案件</t>
        </is>
      </c>
    </row>
    <row r="491">
      <c r="A491" t="inlineStr">
        <is>
          <t>SR021</t>
        </is>
      </c>
      <c r="B491" t="inlineStr">
        <is>
          <t>営業担当021</t>
        </is>
      </c>
      <c r="C491" t="inlineStr">
        <is>
          <t>第1営業部</t>
        </is>
      </c>
      <c r="D491" s="3" t="n">
        <v>45841</v>
      </c>
      <c r="E491" t="inlineStr">
        <is>
          <t>中央設備(株)</t>
        </is>
      </c>
      <c r="F491" t="inlineStr">
        <is>
          <t>愛知県</t>
        </is>
      </c>
      <c r="G491" t="inlineStr">
        <is>
          <t>導入支援</t>
        </is>
      </c>
      <c r="H491" t="inlineStr">
        <is>
          <t>データ移行支援</t>
        </is>
      </c>
      <c r="I491" s="4" t="n">
        <v>3</v>
      </c>
      <c r="J491" s="4" t="n">
        <v>270100</v>
      </c>
      <c r="K491" s="4">
        <f>I491*J491</f>
        <v/>
      </c>
      <c r="L491" t="inlineStr"/>
    </row>
    <row r="492">
      <c r="A492" t="inlineStr">
        <is>
          <t>SR021</t>
        </is>
      </c>
      <c r="B492" t="inlineStr">
        <is>
          <t>営業担当021</t>
        </is>
      </c>
      <c r="C492" t="inlineStr">
        <is>
          <t>第1営業部</t>
        </is>
      </c>
      <c r="D492" s="3" t="n">
        <v>45846</v>
      </c>
      <c r="E492" t="inlineStr">
        <is>
          <t>福岡流通(株)</t>
        </is>
      </c>
      <c r="F492" t="inlineStr">
        <is>
          <t>福岡県</t>
        </is>
      </c>
      <c r="G492" t="inlineStr">
        <is>
          <t>ソフトウェア</t>
        </is>
      </c>
      <c r="H492" t="inlineStr">
        <is>
          <t>AIチャットボット</t>
        </is>
      </c>
      <c r="I492" s="4" t="n">
        <v>5</v>
      </c>
      <c r="J492" s="4" t="n">
        <v>732200</v>
      </c>
      <c r="K492" s="4">
        <f>I492*J492</f>
        <v/>
      </c>
      <c r="L492" t="inlineStr">
        <is>
          <t>リピート受注</t>
        </is>
      </c>
    </row>
    <row r="493">
      <c r="A493" t="inlineStr">
        <is>
          <t>SR021</t>
        </is>
      </c>
      <c r="B493" t="inlineStr">
        <is>
          <t>営業担当021</t>
        </is>
      </c>
      <c r="C493" t="inlineStr">
        <is>
          <t>第1営業部</t>
        </is>
      </c>
      <c r="D493" s="3" t="n">
        <v>45873</v>
      </c>
      <c r="E493" t="inlineStr">
        <is>
          <t>西日本機工株式会社</t>
        </is>
      </c>
      <c r="F493" t="inlineStr">
        <is>
          <t>神奈川県</t>
        </is>
      </c>
      <c r="G493" t="inlineStr">
        <is>
          <t>保守サービス</t>
        </is>
      </c>
      <c r="H493" t="inlineStr">
        <is>
          <t>ヘルプデスク契約</t>
        </is>
      </c>
      <c r="I493" s="4" t="n">
        <v>3</v>
      </c>
      <c r="J493" s="4" t="n">
        <v>79600</v>
      </c>
      <c r="K493" s="4">
        <f>I493*J493</f>
        <v/>
      </c>
      <c r="L493" t="inlineStr"/>
    </row>
    <row r="494">
      <c r="A494" t="inlineStr">
        <is>
          <t>SR021</t>
        </is>
      </c>
      <c r="B494" t="inlineStr">
        <is>
          <t>営業担当021</t>
        </is>
      </c>
      <c r="C494" t="inlineStr">
        <is>
          <t>第1営業部</t>
        </is>
      </c>
      <c r="D494" s="3" t="n">
        <v>45875</v>
      </c>
      <c r="E494" t="inlineStr">
        <is>
          <t>みらい物流株式会社</t>
        </is>
      </c>
      <c r="F494" t="inlineStr">
        <is>
          <t>神奈川県</t>
        </is>
      </c>
      <c r="G494" t="inlineStr">
        <is>
          <t>保守サービス</t>
        </is>
      </c>
      <c r="H494" t="inlineStr">
        <is>
          <t>オンサイト保守</t>
        </is>
      </c>
      <c r="I494" s="4" t="n">
        <v>5</v>
      </c>
      <c r="J494" s="4" t="n">
        <v>162100</v>
      </c>
      <c r="K494" s="4">
        <f>I494*J494</f>
        <v/>
      </c>
      <c r="L494" t="inlineStr">
        <is>
          <t>値引き調整あり</t>
        </is>
      </c>
    </row>
    <row r="495">
      <c r="A495" t="inlineStr">
        <is>
          <t>SR021</t>
        </is>
      </c>
      <c r="B495" t="inlineStr">
        <is>
          <t>営業担当021</t>
        </is>
      </c>
      <c r="C495" t="inlineStr">
        <is>
          <t>第1営業部</t>
        </is>
      </c>
      <c r="D495" s="3" t="n">
        <v>45904</v>
      </c>
      <c r="E495" t="inlineStr">
        <is>
          <t>北斗産業株式会社</t>
        </is>
      </c>
      <c r="F495" t="inlineStr">
        <is>
          <t>福岡県</t>
        </is>
      </c>
      <c r="G495" t="inlineStr">
        <is>
          <t>ハードウェア</t>
        </is>
      </c>
      <c r="H495" t="inlineStr">
        <is>
          <t>ラベルプリンター</t>
        </is>
      </c>
      <c r="I495" s="4" t="n">
        <v>3</v>
      </c>
      <c r="J495" s="4" t="n">
        <v>83700</v>
      </c>
      <c r="K495" s="4">
        <f>I495*J495</f>
        <v/>
      </c>
      <c r="L495" t="inlineStr">
        <is>
          <t>分納</t>
        </is>
      </c>
    </row>
    <row r="496">
      <c r="A496" t="inlineStr">
        <is>
          <t>SR021</t>
        </is>
      </c>
      <c r="B496" t="inlineStr">
        <is>
          <t>営業担当021</t>
        </is>
      </c>
      <c r="C496" t="inlineStr">
        <is>
          <t>第1営業部</t>
        </is>
      </c>
      <c r="D496" s="3" t="n">
        <v>45911</v>
      </c>
      <c r="E496" t="inlineStr">
        <is>
          <t>アーク電機有限会社</t>
        </is>
      </c>
      <c r="F496" t="inlineStr">
        <is>
          <t>福岡県</t>
        </is>
      </c>
      <c r="G496" t="inlineStr">
        <is>
          <t>保守サービス</t>
        </is>
      </c>
      <c r="H496" t="inlineStr">
        <is>
          <t>オンサイト保守</t>
        </is>
      </c>
      <c r="I496" s="4" t="n">
        <v>3</v>
      </c>
      <c r="J496" s="4" t="n">
        <v>78500</v>
      </c>
      <c r="K496" s="4">
        <f>I496*J496</f>
        <v/>
      </c>
      <c r="L496" t="inlineStr"/>
    </row>
    <row r="497">
      <c r="A497" t="inlineStr">
        <is>
          <t>SR021</t>
        </is>
      </c>
      <c r="B497" t="inlineStr">
        <is>
          <t>営業担当021</t>
        </is>
      </c>
      <c r="C497" t="inlineStr">
        <is>
          <t>第1営業部</t>
        </is>
      </c>
      <c r="D497" s="3" t="n">
        <v>45950</v>
      </c>
      <c r="E497" t="inlineStr">
        <is>
          <t>未来通信有限会社</t>
        </is>
      </c>
      <c r="F497" t="inlineStr">
        <is>
          <t>大阪府</t>
        </is>
      </c>
      <c r="G497" t="inlineStr">
        <is>
          <t>保守サービス</t>
        </is>
      </c>
      <c r="H497" t="inlineStr">
        <is>
          <t>オンサイト保守</t>
        </is>
      </c>
      <c r="I497" s="4" t="n">
        <v>2</v>
      </c>
      <c r="J497" s="4" t="n">
        <v>63300</v>
      </c>
      <c r="K497" s="4">
        <f>I497*J497</f>
        <v/>
      </c>
      <c r="L497" t="inlineStr">
        <is>
          <t>キャンペーン適用</t>
        </is>
      </c>
    </row>
    <row r="498">
      <c r="A498" t="inlineStr">
        <is>
          <t>SR021</t>
        </is>
      </c>
      <c r="B498" t="inlineStr">
        <is>
          <t>営業担当021</t>
        </is>
      </c>
      <c r="C498" t="inlineStr">
        <is>
          <t>第1営業部</t>
        </is>
      </c>
      <c r="D498" s="3" t="n">
        <v>45956</v>
      </c>
      <c r="E498" t="inlineStr">
        <is>
          <t>日新サービス株式会社</t>
        </is>
      </c>
      <c r="F498" t="inlineStr">
        <is>
          <t>愛知県</t>
        </is>
      </c>
      <c r="G498" t="inlineStr">
        <is>
          <t>ハードウェア</t>
        </is>
      </c>
      <c r="H498" t="inlineStr">
        <is>
          <t>小型ハンディ端末</t>
        </is>
      </c>
      <c r="I498" s="4" t="n">
        <v>2</v>
      </c>
      <c r="J498" s="4" t="n">
        <v>47200</v>
      </c>
      <c r="K498" s="4">
        <f>I498*J498</f>
        <v/>
      </c>
      <c r="L498" t="inlineStr">
        <is>
          <t>値引き調整あり</t>
        </is>
      </c>
    </row>
    <row r="499">
      <c r="A499" t="inlineStr">
        <is>
          <t>SR021</t>
        </is>
      </c>
      <c r="B499" t="inlineStr">
        <is>
          <t>営業担当021</t>
        </is>
      </c>
      <c r="C499" t="inlineStr">
        <is>
          <t>第1営業部</t>
        </is>
      </c>
      <c r="D499" s="3" t="n">
        <v>45967</v>
      </c>
      <c r="E499" t="inlineStr">
        <is>
          <t>中央設備(株)</t>
        </is>
      </c>
      <c r="F499" t="inlineStr">
        <is>
          <t>東京都</t>
        </is>
      </c>
      <c r="G499" t="inlineStr">
        <is>
          <t>導入支援</t>
        </is>
      </c>
      <c r="H499" t="inlineStr">
        <is>
          <t>操作研修パック</t>
        </is>
      </c>
      <c r="I499" s="4" t="n">
        <v>3</v>
      </c>
      <c r="J499" s="4" t="n">
        <v>139500</v>
      </c>
      <c r="K499" s="4">
        <f>I499*J499</f>
        <v/>
      </c>
      <c r="L499" t="inlineStr"/>
    </row>
    <row r="500">
      <c r="A500" t="inlineStr">
        <is>
          <t>SR021</t>
        </is>
      </c>
      <c r="B500" t="inlineStr">
        <is>
          <t>営業担当021</t>
        </is>
      </c>
      <c r="C500" t="inlineStr">
        <is>
          <t>第1営業部</t>
        </is>
      </c>
      <c r="D500" s="3" t="n">
        <v>45974</v>
      </c>
      <c r="E500" t="inlineStr">
        <is>
          <t>白峰化学(株)</t>
        </is>
      </c>
      <c r="F500" t="inlineStr">
        <is>
          <t>宮城県</t>
        </is>
      </c>
      <c r="G500" t="inlineStr">
        <is>
          <t>導入支援</t>
        </is>
      </c>
      <c r="H500" t="inlineStr">
        <is>
          <t>データ移行支援</t>
        </is>
      </c>
      <c r="I500" s="4" t="n">
        <v>2</v>
      </c>
      <c r="J500" s="4" t="n">
        <v>126300</v>
      </c>
      <c r="K500" s="4">
        <f>I500*J500</f>
        <v/>
      </c>
      <c r="L500" t="inlineStr"/>
    </row>
    <row r="501">
      <c r="A501" t="inlineStr">
        <is>
          <t>SR021</t>
        </is>
      </c>
      <c r="B501" t="inlineStr">
        <is>
          <t>営業担当021</t>
        </is>
      </c>
      <c r="C501" t="inlineStr">
        <is>
          <t>第1営業部</t>
        </is>
      </c>
      <c r="D501" s="3" t="n">
        <v>46011</v>
      </c>
      <c r="E501" t="inlineStr">
        <is>
          <t>北斗産業有限会社</t>
        </is>
      </c>
      <c r="F501" t="inlineStr">
        <is>
          <t>大阪府</t>
        </is>
      </c>
      <c r="G501" t="inlineStr">
        <is>
          <t>ソフトウェア</t>
        </is>
      </c>
      <c r="H501" t="inlineStr">
        <is>
          <t>在庫管理クラウド</t>
        </is>
      </c>
      <c r="I501" s="4" t="n">
        <v>1</v>
      </c>
      <c r="J501" s="4" t="n">
        <v>350700</v>
      </c>
      <c r="K501" s="4">
        <f>I501*J501</f>
        <v/>
      </c>
      <c r="L501" t="inlineStr">
        <is>
          <t>分納</t>
        </is>
      </c>
    </row>
    <row r="502">
      <c r="A502" t="inlineStr">
        <is>
          <t>SR021</t>
        </is>
      </c>
      <c r="B502" t="inlineStr">
        <is>
          <t>営業担当021</t>
        </is>
      </c>
      <c r="C502" t="inlineStr">
        <is>
          <t>第1営業部</t>
        </is>
      </c>
      <c r="D502" s="3" t="n">
        <v>46014</v>
      </c>
      <c r="E502" t="inlineStr">
        <is>
          <t>北斗産業株式会社</t>
        </is>
      </c>
      <c r="F502" t="inlineStr">
        <is>
          <t>大阪府</t>
        </is>
      </c>
      <c r="G502" t="inlineStr">
        <is>
          <t>導入支援</t>
        </is>
      </c>
      <c r="H502" t="inlineStr">
        <is>
          <t>操作研修パック</t>
        </is>
      </c>
      <c r="I502" s="4" t="n">
        <v>4</v>
      </c>
      <c r="J502" s="4" t="n">
        <v>146500</v>
      </c>
      <c r="K502" s="4">
        <f>I502*J502</f>
        <v/>
      </c>
      <c r="L502" t="inlineStr">
        <is>
          <t>分納</t>
        </is>
      </c>
    </row>
    <row r="503">
      <c r="A503" t="inlineStr">
        <is>
          <t>SR021</t>
        </is>
      </c>
      <c r="B503" t="inlineStr">
        <is>
          <t>営業担当021</t>
        </is>
      </c>
      <c r="C503" t="inlineStr">
        <is>
          <t>第1営業部</t>
        </is>
      </c>
      <c r="D503" s="3" t="n">
        <v>46028</v>
      </c>
      <c r="E503" t="inlineStr">
        <is>
          <t>ライトホーム(株)</t>
        </is>
      </c>
      <c r="F503" t="inlineStr">
        <is>
          <t>北海道</t>
        </is>
      </c>
      <c r="G503" t="inlineStr">
        <is>
          <t>消耗品</t>
        </is>
      </c>
      <c r="H503" t="inlineStr">
        <is>
          <t>ラベルロール</t>
        </is>
      </c>
      <c r="I503" s="4" t="n">
        <v>14</v>
      </c>
      <c r="J503" s="4" t="n">
        <v>4870</v>
      </c>
      <c r="K503" s="4">
        <f>I503*J503</f>
        <v/>
      </c>
      <c r="L503" t="inlineStr">
        <is>
          <t>分納</t>
        </is>
      </c>
    </row>
    <row r="504">
      <c r="A504" t="inlineStr">
        <is>
          <t>SR021</t>
        </is>
      </c>
      <c r="B504" t="inlineStr">
        <is>
          <t>営業担当021</t>
        </is>
      </c>
      <c r="C504" t="inlineStr">
        <is>
          <t>第1営業部</t>
        </is>
      </c>
      <c r="D504" s="3" t="n">
        <v>46035</v>
      </c>
      <c r="E504" t="inlineStr">
        <is>
          <t>中央設備有限会社</t>
        </is>
      </c>
      <c r="F504" t="inlineStr">
        <is>
          <t>神奈川県</t>
        </is>
      </c>
      <c r="G504" t="inlineStr">
        <is>
          <t>導入支援</t>
        </is>
      </c>
      <c r="H504" t="inlineStr">
        <is>
          <t>操作研修パック</t>
        </is>
      </c>
      <c r="I504" s="4" t="n">
        <v>2</v>
      </c>
      <c r="J504" s="4" t="n">
        <v>72000</v>
      </c>
      <c r="K504" s="4">
        <f>I504*J504</f>
        <v/>
      </c>
      <c r="L504" t="inlineStr"/>
    </row>
    <row r="505">
      <c r="A505" t="inlineStr">
        <is>
          <t>SR021</t>
        </is>
      </c>
      <c r="B505" t="inlineStr">
        <is>
          <t>営業担当021</t>
        </is>
      </c>
      <c r="C505" t="inlineStr">
        <is>
          <t>第1営業部</t>
        </is>
      </c>
      <c r="D505" s="3" t="n">
        <v>46063</v>
      </c>
      <c r="E505" t="inlineStr">
        <is>
          <t>アーク電機有限会社</t>
        </is>
      </c>
      <c r="F505" t="inlineStr">
        <is>
          <t>大阪府</t>
        </is>
      </c>
      <c r="G505" t="inlineStr">
        <is>
          <t>消耗品</t>
        </is>
      </c>
      <c r="H505" t="inlineStr">
        <is>
          <t>保守用バッテリー</t>
        </is>
      </c>
      <c r="I505" s="4" t="n">
        <v>10</v>
      </c>
      <c r="J505" s="4" t="n">
        <v>18200</v>
      </c>
      <c r="K505" s="4">
        <f>I505*J505</f>
        <v/>
      </c>
      <c r="L505" t="inlineStr"/>
    </row>
    <row r="506">
      <c r="A506" t="inlineStr">
        <is>
          <t>SR021</t>
        </is>
      </c>
      <c r="B506" t="inlineStr">
        <is>
          <t>営業担当021</t>
        </is>
      </c>
      <c r="C506" t="inlineStr">
        <is>
          <t>第1営業部</t>
        </is>
      </c>
      <c r="D506" s="3" t="n">
        <v>46069</v>
      </c>
      <c r="E506" t="inlineStr">
        <is>
          <t>中央設備(株)</t>
        </is>
      </c>
      <c r="F506" t="inlineStr">
        <is>
          <t>広島県</t>
        </is>
      </c>
      <c r="G506" t="inlineStr">
        <is>
          <t>ソフトウェア</t>
        </is>
      </c>
      <c r="H506" t="inlineStr">
        <is>
          <t>在庫管理クラウド</t>
        </is>
      </c>
      <c r="I506" s="4" t="n">
        <v>3</v>
      </c>
      <c r="J506" s="4" t="n">
        <v>448200</v>
      </c>
      <c r="K506" s="4">
        <f>I506*J506</f>
        <v/>
      </c>
      <c r="L506" t="inlineStr">
        <is>
          <t>新規開拓</t>
        </is>
      </c>
    </row>
    <row r="507">
      <c r="A507" t="inlineStr">
        <is>
          <t>SR021</t>
        </is>
      </c>
      <c r="B507" t="inlineStr">
        <is>
          <t>営業担当021</t>
        </is>
      </c>
      <c r="C507" t="inlineStr">
        <is>
          <t>第1営業部</t>
        </is>
      </c>
      <c r="D507" s="3" t="n">
        <v>46082</v>
      </c>
      <c r="E507" t="inlineStr">
        <is>
          <t>大和精機有限会社</t>
        </is>
      </c>
      <c r="F507" t="inlineStr">
        <is>
          <t>兵庫県</t>
        </is>
      </c>
      <c r="G507" t="inlineStr">
        <is>
          <t>消耗品</t>
        </is>
      </c>
      <c r="H507" t="inlineStr">
        <is>
          <t>ラベルロール</t>
        </is>
      </c>
      <c r="I507" s="4" t="n">
        <v>11</v>
      </c>
      <c r="J507" s="4" t="n">
        <v>9120</v>
      </c>
      <c r="K507" s="4">
        <f>I507*J507</f>
        <v/>
      </c>
      <c r="L507" t="inlineStr">
        <is>
          <t>値引き調整あり</t>
        </is>
      </c>
    </row>
    <row r="508">
      <c r="A508" t="inlineStr">
        <is>
          <t>SR021</t>
        </is>
      </c>
      <c r="B508" t="inlineStr">
        <is>
          <t>営業担当021</t>
        </is>
      </c>
      <c r="C508" t="inlineStr">
        <is>
          <t>第1営業部</t>
        </is>
      </c>
      <c r="D508" s="3" t="n">
        <v>46095</v>
      </c>
      <c r="E508" t="inlineStr">
        <is>
          <t>中央設備有限会社</t>
        </is>
      </c>
      <c r="F508" t="inlineStr">
        <is>
          <t>兵庫県</t>
        </is>
      </c>
      <c r="G508" t="inlineStr">
        <is>
          <t>ソフトウェア</t>
        </is>
      </c>
      <c r="H508" t="inlineStr">
        <is>
          <t>帳票自動化ツール</t>
        </is>
      </c>
      <c r="I508" s="4" t="n">
        <v>1</v>
      </c>
      <c r="J508" s="4" t="n">
        <v>193500</v>
      </c>
      <c r="K508" s="4">
        <f>I508*J508</f>
        <v/>
      </c>
      <c r="L508" t="inlineStr">
        <is>
          <t>分納</t>
        </is>
      </c>
    </row>
    <row r="509">
      <c r="A509" t="inlineStr">
        <is>
          <t>SR022</t>
        </is>
      </c>
      <c r="B509" t="inlineStr">
        <is>
          <t>営業担当022</t>
        </is>
      </c>
      <c r="C509" t="inlineStr">
        <is>
          <t>第2営業部</t>
        </is>
      </c>
      <c r="D509" s="3" t="n">
        <v>45749</v>
      </c>
      <c r="E509" t="inlineStr">
        <is>
          <t>星和商会株式会社</t>
        </is>
      </c>
      <c r="F509" t="inlineStr">
        <is>
          <t>広島県</t>
        </is>
      </c>
      <c r="G509" t="inlineStr">
        <is>
          <t>導入支援</t>
        </is>
      </c>
      <c r="H509" t="inlineStr">
        <is>
          <t>操作研修パック</t>
        </is>
      </c>
      <c r="I509" s="4" t="n">
        <v>5</v>
      </c>
      <c r="J509" s="4" t="n">
        <v>133200</v>
      </c>
      <c r="K509" s="4">
        <f>I509*J509</f>
        <v/>
      </c>
      <c r="L509" t="inlineStr"/>
    </row>
    <row r="510">
      <c r="A510" t="inlineStr">
        <is>
          <t>SR022</t>
        </is>
      </c>
      <c r="B510" t="inlineStr">
        <is>
          <t>営業担当022</t>
        </is>
      </c>
      <c r="C510" t="inlineStr">
        <is>
          <t>第2営業部</t>
        </is>
      </c>
      <c r="D510" s="3" t="n">
        <v>45764</v>
      </c>
      <c r="E510" t="inlineStr">
        <is>
          <t>ライトホーム株式会社</t>
        </is>
      </c>
      <c r="F510" t="inlineStr">
        <is>
          <t>宮城県</t>
        </is>
      </c>
      <c r="G510" t="inlineStr">
        <is>
          <t>ハードウェア</t>
        </is>
      </c>
      <c r="H510" t="inlineStr">
        <is>
          <t>ネットワークカメラ</t>
        </is>
      </c>
      <c r="I510" s="4" t="n">
        <v>3</v>
      </c>
      <c r="J510" s="4" t="n">
        <v>63400</v>
      </c>
      <c r="K510" s="4">
        <f>I510*J510</f>
        <v/>
      </c>
      <c r="L510" t="inlineStr"/>
    </row>
    <row r="511">
      <c r="A511" t="inlineStr">
        <is>
          <t>SR022</t>
        </is>
      </c>
      <c r="B511" t="inlineStr">
        <is>
          <t>営業担当022</t>
        </is>
      </c>
      <c r="C511" t="inlineStr">
        <is>
          <t>第2営業部</t>
        </is>
      </c>
      <c r="D511" s="3" t="n">
        <v>45793</v>
      </c>
      <c r="E511" t="inlineStr">
        <is>
          <t>青葉商事有限会社</t>
        </is>
      </c>
      <c r="F511" t="inlineStr">
        <is>
          <t>東京都</t>
        </is>
      </c>
      <c r="G511" t="inlineStr">
        <is>
          <t>消耗品</t>
        </is>
      </c>
      <c r="H511" t="inlineStr">
        <is>
          <t>保守用バッテリー</t>
        </is>
      </c>
      <c r="I511" s="4" t="n">
        <v>14</v>
      </c>
      <c r="J511" s="4" t="n">
        <v>17780</v>
      </c>
      <c r="K511" s="4">
        <f>I511*J511</f>
        <v/>
      </c>
      <c r="L511" t="inlineStr">
        <is>
          <t>分納</t>
        </is>
      </c>
    </row>
    <row r="512">
      <c r="A512" t="inlineStr">
        <is>
          <t>SR022</t>
        </is>
      </c>
      <c r="B512" t="inlineStr">
        <is>
          <t>営業担当022</t>
        </is>
      </c>
      <c r="C512" t="inlineStr">
        <is>
          <t>第2営業部</t>
        </is>
      </c>
      <c r="D512" s="3" t="n">
        <v>45804</v>
      </c>
      <c r="E512" t="inlineStr">
        <is>
          <t>九州エナジー有限会社</t>
        </is>
      </c>
      <c r="F512" t="inlineStr">
        <is>
          <t>東京都</t>
        </is>
      </c>
      <c r="G512" t="inlineStr">
        <is>
          <t>ソフトウェア</t>
        </is>
      </c>
      <c r="H512" t="inlineStr">
        <is>
          <t>営業支援SaaS</t>
        </is>
      </c>
      <c r="I512" s="4" t="n">
        <v>5</v>
      </c>
      <c r="J512" s="4" t="n">
        <v>312200</v>
      </c>
      <c r="K512" s="4">
        <f>I512*J512</f>
        <v/>
      </c>
      <c r="L512" t="inlineStr">
        <is>
          <t>分納</t>
        </is>
      </c>
    </row>
    <row r="513">
      <c r="A513" t="inlineStr">
        <is>
          <t>SR022</t>
        </is>
      </c>
      <c r="B513" t="inlineStr">
        <is>
          <t>営業担当022</t>
        </is>
      </c>
      <c r="C513" t="inlineStr">
        <is>
          <t>第2営業部</t>
        </is>
      </c>
      <c r="D513" s="3" t="n">
        <v>45825</v>
      </c>
      <c r="E513" t="inlineStr">
        <is>
          <t>西日本機工有限会社</t>
        </is>
      </c>
      <c r="F513" t="inlineStr">
        <is>
          <t>兵庫県</t>
        </is>
      </c>
      <c r="G513" t="inlineStr">
        <is>
          <t>ハードウェア</t>
        </is>
      </c>
      <c r="H513" t="inlineStr">
        <is>
          <t>小型ハンディ端末</t>
        </is>
      </c>
      <c r="I513" s="4" t="n">
        <v>1</v>
      </c>
      <c r="J513" s="4" t="n">
        <v>84600</v>
      </c>
      <c r="K513" s="4">
        <f>I513*J513</f>
        <v/>
      </c>
      <c r="L513" t="inlineStr">
        <is>
          <t>新規開拓</t>
        </is>
      </c>
    </row>
    <row r="514">
      <c r="A514" t="inlineStr">
        <is>
          <t>SR022</t>
        </is>
      </c>
      <c r="B514" t="inlineStr">
        <is>
          <t>営業担当022</t>
        </is>
      </c>
      <c r="C514" t="inlineStr">
        <is>
          <t>第2営業部</t>
        </is>
      </c>
      <c r="D514" s="3" t="n">
        <v>45836</v>
      </c>
      <c r="E514" t="inlineStr">
        <is>
          <t>西日本機工株式会社</t>
        </is>
      </c>
      <c r="F514" t="inlineStr">
        <is>
          <t>広島県</t>
        </is>
      </c>
      <c r="G514" t="inlineStr">
        <is>
          <t>保守サービス</t>
        </is>
      </c>
      <c r="H514" t="inlineStr">
        <is>
          <t>年間保守契約</t>
        </is>
      </c>
      <c r="I514" s="4" t="n">
        <v>3</v>
      </c>
      <c r="J514" s="4" t="n">
        <v>173900</v>
      </c>
      <c r="K514" s="4">
        <f>I514*J514</f>
        <v/>
      </c>
      <c r="L514" t="inlineStr"/>
    </row>
    <row r="515">
      <c r="A515" t="inlineStr">
        <is>
          <t>SR022</t>
        </is>
      </c>
      <c r="B515" t="inlineStr">
        <is>
          <t>営業担当022</t>
        </is>
      </c>
      <c r="C515" t="inlineStr">
        <is>
          <t>第2営業部</t>
        </is>
      </c>
      <c r="D515" s="3" t="n">
        <v>45855</v>
      </c>
      <c r="E515" t="inlineStr">
        <is>
          <t>日新サービス(株)</t>
        </is>
      </c>
      <c r="F515" t="inlineStr">
        <is>
          <t>兵庫県</t>
        </is>
      </c>
      <c r="G515" t="inlineStr">
        <is>
          <t>ハードウェア</t>
        </is>
      </c>
      <c r="H515" t="inlineStr">
        <is>
          <t>ラベルプリンター</t>
        </is>
      </c>
      <c r="I515" s="4" t="n">
        <v>4</v>
      </c>
      <c r="J515" s="4" t="n">
        <v>87300</v>
      </c>
      <c r="K515" s="4">
        <f>I515*J515</f>
        <v/>
      </c>
      <c r="L515" t="inlineStr">
        <is>
          <t>新規開拓</t>
        </is>
      </c>
    </row>
    <row r="516">
      <c r="A516" t="inlineStr">
        <is>
          <t>SR022</t>
        </is>
      </c>
      <c r="B516" t="inlineStr">
        <is>
          <t>営業担当022</t>
        </is>
      </c>
      <c r="C516" t="inlineStr">
        <is>
          <t>第2営業部</t>
        </is>
      </c>
      <c r="D516" s="3" t="n">
        <v>45855</v>
      </c>
      <c r="E516" t="inlineStr">
        <is>
          <t>桜井メディカル有限会社</t>
        </is>
      </c>
      <c r="F516" t="inlineStr">
        <is>
          <t>宮城県</t>
        </is>
      </c>
      <c r="G516" t="inlineStr">
        <is>
          <t>導入支援</t>
        </is>
      </c>
      <c r="H516" t="inlineStr">
        <is>
          <t>初期設定支援</t>
        </is>
      </c>
      <c r="I516" s="4" t="n">
        <v>1</v>
      </c>
      <c r="J516" s="4" t="n">
        <v>144000</v>
      </c>
      <c r="K516" s="4">
        <f>I516*J516</f>
        <v/>
      </c>
      <c r="L516" t="inlineStr">
        <is>
          <t>分納</t>
        </is>
      </c>
    </row>
    <row r="517">
      <c r="A517" t="inlineStr">
        <is>
          <t>SR022</t>
        </is>
      </c>
      <c r="B517" t="inlineStr">
        <is>
          <t>営業担当022</t>
        </is>
      </c>
      <c r="C517" t="inlineStr">
        <is>
          <t>第2営業部</t>
        </is>
      </c>
      <c r="D517" s="3" t="n">
        <v>45879</v>
      </c>
      <c r="E517" t="inlineStr">
        <is>
          <t>白峰化学株式会社</t>
        </is>
      </c>
      <c r="F517" t="inlineStr">
        <is>
          <t>福岡県</t>
        </is>
      </c>
      <c r="G517" t="inlineStr">
        <is>
          <t>導入支援</t>
        </is>
      </c>
      <c r="H517" t="inlineStr">
        <is>
          <t>操作研修パック</t>
        </is>
      </c>
      <c r="I517" s="4" t="n">
        <v>5</v>
      </c>
      <c r="J517" s="4" t="n">
        <v>91200</v>
      </c>
      <c r="K517" s="4">
        <f>I517*J517</f>
        <v/>
      </c>
      <c r="L517" t="inlineStr">
        <is>
          <t>値引き調整あり</t>
        </is>
      </c>
    </row>
    <row r="518">
      <c r="A518" t="inlineStr">
        <is>
          <t>SR022</t>
        </is>
      </c>
      <c r="B518" t="inlineStr">
        <is>
          <t>営業担当022</t>
        </is>
      </c>
      <c r="C518" t="inlineStr">
        <is>
          <t>第2営業部</t>
        </is>
      </c>
      <c r="D518" s="3" t="n">
        <v>45895</v>
      </c>
      <c r="E518" t="inlineStr">
        <is>
          <t>星和商会(株)</t>
        </is>
      </c>
      <c r="F518" t="inlineStr">
        <is>
          <t>大阪府</t>
        </is>
      </c>
      <c r="G518" t="inlineStr">
        <is>
          <t>導入支援</t>
        </is>
      </c>
      <c r="H518" t="inlineStr">
        <is>
          <t>データ移行支援</t>
        </is>
      </c>
      <c r="I518" s="4" t="n">
        <v>3</v>
      </c>
      <c r="J518" s="4" t="n">
        <v>128600</v>
      </c>
      <c r="K518" s="4">
        <f>I518*J518</f>
        <v/>
      </c>
      <c r="L518" t="inlineStr">
        <is>
          <t>分納</t>
        </is>
      </c>
    </row>
    <row r="519">
      <c r="A519" t="inlineStr">
        <is>
          <t>SR022</t>
        </is>
      </c>
      <c r="B519" t="inlineStr">
        <is>
          <t>営業担当022</t>
        </is>
      </c>
      <c r="C519" t="inlineStr">
        <is>
          <t>第2営業部</t>
        </is>
      </c>
      <c r="D519" s="3" t="n">
        <v>45924</v>
      </c>
      <c r="E519" t="inlineStr">
        <is>
          <t>青葉商事株式会社</t>
        </is>
      </c>
      <c r="F519" t="inlineStr">
        <is>
          <t>宮城県</t>
        </is>
      </c>
      <c r="G519" t="inlineStr">
        <is>
          <t>導入支援</t>
        </is>
      </c>
      <c r="H519" t="inlineStr">
        <is>
          <t>初期設定支援</t>
        </is>
      </c>
      <c r="I519" s="4" t="n">
        <v>5</v>
      </c>
      <c r="J519" s="4" t="n">
        <v>162400</v>
      </c>
      <c r="K519" s="4">
        <f>I519*J519</f>
        <v/>
      </c>
      <c r="L519" t="inlineStr"/>
    </row>
    <row r="520">
      <c r="A520" t="inlineStr">
        <is>
          <t>SR022</t>
        </is>
      </c>
      <c r="B520" t="inlineStr">
        <is>
          <t>営業担当022</t>
        </is>
      </c>
      <c r="C520" t="inlineStr">
        <is>
          <t>第2営業部</t>
        </is>
      </c>
      <c r="D520" s="3" t="n">
        <v>45928</v>
      </c>
      <c r="E520" t="inlineStr">
        <is>
          <t>オーシャン製作所有限会社</t>
        </is>
      </c>
      <c r="F520" t="inlineStr">
        <is>
          <t>京都府</t>
        </is>
      </c>
      <c r="G520" t="inlineStr">
        <is>
          <t>ハードウェア</t>
        </is>
      </c>
      <c r="H520" t="inlineStr">
        <is>
          <t>小型ハンディ端末</t>
        </is>
      </c>
      <c r="I520" s="4" t="n">
        <v>2</v>
      </c>
      <c r="J520" s="4" t="n">
        <v>74700</v>
      </c>
      <c r="K520" s="4">
        <f>I520*J520</f>
        <v/>
      </c>
      <c r="L520" t="inlineStr">
        <is>
          <t>新規開拓</t>
        </is>
      </c>
    </row>
    <row r="521">
      <c r="A521" t="inlineStr">
        <is>
          <t>SR022</t>
        </is>
      </c>
      <c r="B521" t="inlineStr">
        <is>
          <t>営業担当022</t>
        </is>
      </c>
      <c r="C521" t="inlineStr">
        <is>
          <t>第2営業部</t>
        </is>
      </c>
      <c r="D521" s="3" t="n">
        <v>45952</v>
      </c>
      <c r="E521" t="inlineStr">
        <is>
          <t>グリーンテック有限会社</t>
        </is>
      </c>
      <c r="F521" t="inlineStr">
        <is>
          <t>福岡県</t>
        </is>
      </c>
      <c r="G521" t="inlineStr">
        <is>
          <t>消耗品</t>
        </is>
      </c>
      <c r="H521" t="inlineStr">
        <is>
          <t>交換用ヘッド</t>
        </is>
      </c>
      <c r="I521" s="4" t="n">
        <v>12</v>
      </c>
      <c r="J521" s="4" t="n">
        <v>38080</v>
      </c>
      <c r="K521" s="4">
        <f>I521*J521</f>
        <v/>
      </c>
      <c r="L521" t="inlineStr">
        <is>
          <t>新規開拓</t>
        </is>
      </c>
    </row>
    <row r="522">
      <c r="A522" t="inlineStr">
        <is>
          <t>SR022</t>
        </is>
      </c>
      <c r="B522" t="inlineStr">
        <is>
          <t>営業担当022</t>
        </is>
      </c>
      <c r="C522" t="inlineStr">
        <is>
          <t>第2営業部</t>
        </is>
      </c>
      <c r="D522" s="3" t="n">
        <v>45957</v>
      </c>
      <c r="E522" t="inlineStr">
        <is>
          <t>みらい物流有限会社</t>
        </is>
      </c>
      <c r="F522" t="inlineStr">
        <is>
          <t>兵庫県</t>
        </is>
      </c>
      <c r="G522" t="inlineStr">
        <is>
          <t>保守サービス</t>
        </is>
      </c>
      <c r="H522" t="inlineStr">
        <is>
          <t>ヘルプデスク契約</t>
        </is>
      </c>
      <c r="I522" s="4" t="n">
        <v>5</v>
      </c>
      <c r="J522" s="4" t="n">
        <v>57100</v>
      </c>
      <c r="K522" s="4">
        <f>I522*J522</f>
        <v/>
      </c>
      <c r="L522" t="inlineStr">
        <is>
          <t>分納</t>
        </is>
      </c>
    </row>
    <row r="523">
      <c r="A523" t="inlineStr">
        <is>
          <t>SR022</t>
        </is>
      </c>
      <c r="B523" t="inlineStr">
        <is>
          <t>営業担当022</t>
        </is>
      </c>
      <c r="C523" t="inlineStr">
        <is>
          <t>第2営業部</t>
        </is>
      </c>
      <c r="D523" s="3" t="n">
        <v>45972</v>
      </c>
      <c r="E523" t="inlineStr">
        <is>
          <t>福岡流通株式会社</t>
        </is>
      </c>
      <c r="F523" t="inlineStr">
        <is>
          <t>愛知県</t>
        </is>
      </c>
      <c r="G523" t="inlineStr">
        <is>
          <t>導入支援</t>
        </is>
      </c>
      <c r="H523" t="inlineStr">
        <is>
          <t>データ移行支援</t>
        </is>
      </c>
      <c r="I523" s="4" t="n">
        <v>5</v>
      </c>
      <c r="J523" s="4" t="n">
        <v>333800</v>
      </c>
      <c r="K523" s="4">
        <f>I523*J523</f>
        <v/>
      </c>
      <c r="L523" t="inlineStr">
        <is>
          <t>分納</t>
        </is>
      </c>
    </row>
    <row r="524">
      <c r="A524" t="inlineStr">
        <is>
          <t>SR022</t>
        </is>
      </c>
      <c r="B524" t="inlineStr">
        <is>
          <t>営業担当022</t>
        </is>
      </c>
      <c r="C524" t="inlineStr">
        <is>
          <t>第2営業部</t>
        </is>
      </c>
      <c r="D524" s="3" t="n">
        <v>45984</v>
      </c>
      <c r="E524" t="inlineStr">
        <is>
          <t>中央設備(株)</t>
        </is>
      </c>
      <c r="F524" t="inlineStr">
        <is>
          <t>京都府</t>
        </is>
      </c>
      <c r="G524" t="inlineStr">
        <is>
          <t>導入支援</t>
        </is>
      </c>
      <c r="H524" t="inlineStr">
        <is>
          <t>操作研修パック</t>
        </is>
      </c>
      <c r="I524" s="4" t="n">
        <v>5</v>
      </c>
      <c r="J524" s="4" t="n">
        <v>115400</v>
      </c>
      <c r="K524" s="4">
        <f>I524*J524</f>
        <v/>
      </c>
      <c r="L524" t="inlineStr">
        <is>
          <t>値引き調整あり</t>
        </is>
      </c>
    </row>
    <row r="525">
      <c r="A525" t="inlineStr">
        <is>
          <t>SR022</t>
        </is>
      </c>
      <c r="B525" t="inlineStr">
        <is>
          <t>営業担当022</t>
        </is>
      </c>
      <c r="C525" t="inlineStr">
        <is>
          <t>第2営業部</t>
        </is>
      </c>
      <c r="D525" s="3" t="n">
        <v>46001</v>
      </c>
      <c r="E525" t="inlineStr">
        <is>
          <t>アーク電機株式会社</t>
        </is>
      </c>
      <c r="F525" t="inlineStr">
        <is>
          <t>京都府</t>
        </is>
      </c>
      <c r="G525" t="inlineStr">
        <is>
          <t>ソフトウェア</t>
        </is>
      </c>
      <c r="H525" t="inlineStr">
        <is>
          <t>在庫管理クラウド</t>
        </is>
      </c>
      <c r="I525" s="4" t="n">
        <v>4</v>
      </c>
      <c r="J525" s="4" t="n">
        <v>239500</v>
      </c>
      <c r="K525" s="4">
        <f>I525*J525</f>
        <v/>
      </c>
      <c r="L525" t="inlineStr"/>
    </row>
    <row r="526">
      <c r="A526" t="inlineStr">
        <is>
          <t>SR022</t>
        </is>
      </c>
      <c r="B526" t="inlineStr">
        <is>
          <t>営業担当022</t>
        </is>
      </c>
      <c r="C526" t="inlineStr">
        <is>
          <t>第2営業部</t>
        </is>
      </c>
      <c r="D526" s="3" t="n">
        <v>46014</v>
      </c>
      <c r="E526" t="inlineStr">
        <is>
          <t>福岡流通有限会社</t>
        </is>
      </c>
      <c r="F526" t="inlineStr">
        <is>
          <t>広島県</t>
        </is>
      </c>
      <c r="G526" t="inlineStr">
        <is>
          <t>ソフトウェア</t>
        </is>
      </c>
      <c r="H526" t="inlineStr">
        <is>
          <t>在庫管理クラウド</t>
        </is>
      </c>
      <c r="I526" s="4" t="n">
        <v>2</v>
      </c>
      <c r="J526" s="4" t="n">
        <v>180800</v>
      </c>
      <c r="K526" s="4">
        <f>I526*J526</f>
        <v/>
      </c>
      <c r="L526" t="inlineStr">
        <is>
          <t>新規開拓</t>
        </is>
      </c>
    </row>
    <row r="527">
      <c r="A527" t="inlineStr">
        <is>
          <t>SR022</t>
        </is>
      </c>
      <c r="B527" t="inlineStr">
        <is>
          <t>営業担当022</t>
        </is>
      </c>
      <c r="C527" t="inlineStr">
        <is>
          <t>第2営業部</t>
        </is>
      </c>
      <c r="D527" s="3" t="n">
        <v>46034</v>
      </c>
      <c r="E527" t="inlineStr">
        <is>
          <t>サンライズ建設有限会社</t>
        </is>
      </c>
      <c r="F527" t="inlineStr">
        <is>
          <t>京都府</t>
        </is>
      </c>
      <c r="G527" t="inlineStr">
        <is>
          <t>保守サービス</t>
        </is>
      </c>
      <c r="H527" t="inlineStr">
        <is>
          <t>ヘルプデスク契約</t>
        </is>
      </c>
      <c r="I527" s="4" t="n">
        <v>1</v>
      </c>
      <c r="J527" s="4" t="n">
        <v>40600</v>
      </c>
      <c r="K527" s="4">
        <f>I527*J527</f>
        <v/>
      </c>
      <c r="L527" t="inlineStr"/>
    </row>
    <row r="528">
      <c r="A528" t="inlineStr">
        <is>
          <t>SR022</t>
        </is>
      </c>
      <c r="B528" t="inlineStr">
        <is>
          <t>営業担当022</t>
        </is>
      </c>
      <c r="C528" t="inlineStr">
        <is>
          <t>第2営業部</t>
        </is>
      </c>
      <c r="D528" s="3" t="n">
        <v>46044</v>
      </c>
      <c r="E528" t="inlineStr">
        <is>
          <t>北斗産業株式会社</t>
        </is>
      </c>
      <c r="F528" t="inlineStr">
        <is>
          <t>神奈川県</t>
        </is>
      </c>
      <c r="G528" t="inlineStr">
        <is>
          <t>ハードウェア</t>
        </is>
      </c>
      <c r="H528" t="inlineStr">
        <is>
          <t>ラベルプリンター</t>
        </is>
      </c>
      <c r="I528" s="4" t="n">
        <v>3</v>
      </c>
      <c r="J528" s="4" t="n">
        <v>45400</v>
      </c>
      <c r="K528" s="4">
        <f>I528*J528</f>
        <v/>
      </c>
      <c r="L528" t="inlineStr"/>
    </row>
    <row r="529">
      <c r="A529" t="inlineStr">
        <is>
          <t>SR022</t>
        </is>
      </c>
      <c r="B529" t="inlineStr">
        <is>
          <t>営業担当022</t>
        </is>
      </c>
      <c r="C529" t="inlineStr">
        <is>
          <t>第2営業部</t>
        </is>
      </c>
      <c r="D529" s="3" t="n">
        <v>46069</v>
      </c>
      <c r="E529" t="inlineStr">
        <is>
          <t>グリーンテック有限会社</t>
        </is>
      </c>
      <c r="F529" t="inlineStr">
        <is>
          <t>宮城県</t>
        </is>
      </c>
      <c r="G529" t="inlineStr">
        <is>
          <t>ソフトウェア</t>
        </is>
      </c>
      <c r="H529" t="inlineStr">
        <is>
          <t>帳票自動化ツール</t>
        </is>
      </c>
      <c r="I529" s="4" t="n">
        <v>5</v>
      </c>
      <c r="J529" s="4" t="n">
        <v>230200</v>
      </c>
      <c r="K529" s="4">
        <f>I529*J529</f>
        <v/>
      </c>
      <c r="L529" t="inlineStr">
        <is>
          <t>大型案件</t>
        </is>
      </c>
    </row>
    <row r="530">
      <c r="A530" t="inlineStr">
        <is>
          <t>SR022</t>
        </is>
      </c>
      <c r="B530" t="inlineStr">
        <is>
          <t>営業担当022</t>
        </is>
      </c>
      <c r="C530" t="inlineStr">
        <is>
          <t>第2営業部</t>
        </is>
      </c>
      <c r="D530" s="3" t="n">
        <v>46076</v>
      </c>
      <c r="E530" t="inlineStr">
        <is>
          <t>サンライズ建設株式会社</t>
        </is>
      </c>
      <c r="F530" t="inlineStr">
        <is>
          <t>京都府</t>
        </is>
      </c>
      <c r="G530" t="inlineStr">
        <is>
          <t>ソフトウェア</t>
        </is>
      </c>
      <c r="H530" t="inlineStr">
        <is>
          <t>帳票自動化ツール</t>
        </is>
      </c>
      <c r="I530" s="4" t="n">
        <v>4</v>
      </c>
      <c r="J530" s="4" t="n">
        <v>191900</v>
      </c>
      <c r="K530" s="4">
        <f>I530*J530</f>
        <v/>
      </c>
      <c r="L530" t="inlineStr">
        <is>
          <t>値引き調整あり</t>
        </is>
      </c>
    </row>
    <row r="531">
      <c r="A531" t="inlineStr">
        <is>
          <t>SR022</t>
        </is>
      </c>
      <c r="B531" t="inlineStr">
        <is>
          <t>営業担当022</t>
        </is>
      </c>
      <c r="C531" t="inlineStr">
        <is>
          <t>第2営業部</t>
        </is>
      </c>
      <c r="D531" s="3" t="n">
        <v>46085</v>
      </c>
      <c r="E531" t="inlineStr">
        <is>
          <t>日新サービス株式会社</t>
        </is>
      </c>
      <c r="F531" t="inlineStr">
        <is>
          <t>広島県</t>
        </is>
      </c>
      <c r="G531" t="inlineStr">
        <is>
          <t>ハードウェア</t>
        </is>
      </c>
      <c r="H531" t="inlineStr">
        <is>
          <t>ラベルプリンター</t>
        </is>
      </c>
      <c r="I531" s="4" t="n">
        <v>1</v>
      </c>
      <c r="J531" s="4" t="n">
        <v>76700</v>
      </c>
      <c r="K531" s="4">
        <f>I531*J531</f>
        <v/>
      </c>
      <c r="L531" t="inlineStr">
        <is>
          <t>キャンペーン適用</t>
        </is>
      </c>
    </row>
    <row r="532">
      <c r="A532" t="inlineStr">
        <is>
          <t>SR022</t>
        </is>
      </c>
      <c r="B532" t="inlineStr">
        <is>
          <t>営業担当022</t>
        </is>
      </c>
      <c r="C532" t="inlineStr">
        <is>
          <t>第2営業部</t>
        </is>
      </c>
      <c r="D532" s="3" t="n">
        <v>46109</v>
      </c>
      <c r="E532" t="inlineStr">
        <is>
          <t>桜井メディカル有限会社</t>
        </is>
      </c>
      <c r="F532" t="inlineStr">
        <is>
          <t>京都府</t>
        </is>
      </c>
      <c r="G532" t="inlineStr">
        <is>
          <t>導入支援</t>
        </is>
      </c>
      <c r="H532" t="inlineStr">
        <is>
          <t>初期設定支援</t>
        </is>
      </c>
      <c r="I532" s="4" t="n">
        <v>5</v>
      </c>
      <c r="J532" s="4" t="n">
        <v>210600</v>
      </c>
      <c r="K532" s="4">
        <f>I532*J532</f>
        <v/>
      </c>
      <c r="L532" t="inlineStr">
        <is>
          <t>リピート受注</t>
        </is>
      </c>
    </row>
    <row r="533">
      <c r="A533" t="inlineStr">
        <is>
          <t>SR023</t>
        </is>
      </c>
      <c r="B533" t="inlineStr">
        <is>
          <t>営業担当023</t>
        </is>
      </c>
      <c r="C533" t="inlineStr">
        <is>
          <t>第3営業部</t>
        </is>
      </c>
      <c r="D533" s="3" t="n">
        <v>45758</v>
      </c>
      <c r="E533" t="inlineStr">
        <is>
          <t>大和精機株式会社</t>
        </is>
      </c>
      <c r="F533" t="inlineStr">
        <is>
          <t>大阪府</t>
        </is>
      </c>
      <c r="G533" t="inlineStr">
        <is>
          <t>ハードウェア</t>
        </is>
      </c>
      <c r="H533" t="inlineStr">
        <is>
          <t>産業用タブレット</t>
        </is>
      </c>
      <c r="I533" s="4" t="n">
        <v>1</v>
      </c>
      <c r="J533" s="4" t="n">
        <v>89500</v>
      </c>
      <c r="K533" s="4">
        <f>I533*J533</f>
        <v/>
      </c>
      <c r="L533" t="inlineStr">
        <is>
          <t>大型案件</t>
        </is>
      </c>
    </row>
    <row r="534">
      <c r="A534" t="inlineStr">
        <is>
          <t>SR023</t>
        </is>
      </c>
      <c r="B534" t="inlineStr">
        <is>
          <t>営業担当023</t>
        </is>
      </c>
      <c r="C534" t="inlineStr">
        <is>
          <t>第3営業部</t>
        </is>
      </c>
      <c r="D534" s="3" t="n">
        <v>45770</v>
      </c>
      <c r="E534" t="inlineStr">
        <is>
          <t>北斗産業(株)</t>
        </is>
      </c>
      <c r="F534" t="inlineStr">
        <is>
          <t>宮城県</t>
        </is>
      </c>
      <c r="G534" t="inlineStr">
        <is>
          <t>導入支援</t>
        </is>
      </c>
      <c r="H534" t="inlineStr">
        <is>
          <t>操作研修パック</t>
        </is>
      </c>
      <c r="I534" s="4" t="n">
        <v>3</v>
      </c>
      <c r="J534" s="4" t="n">
        <v>143000</v>
      </c>
      <c r="K534" s="4">
        <f>I534*J534</f>
        <v/>
      </c>
      <c r="L534" t="inlineStr"/>
    </row>
    <row r="535">
      <c r="A535" t="inlineStr">
        <is>
          <t>SR023</t>
        </is>
      </c>
      <c r="B535" t="inlineStr">
        <is>
          <t>営業担当023</t>
        </is>
      </c>
      <c r="C535" t="inlineStr">
        <is>
          <t>第3営業部</t>
        </is>
      </c>
      <c r="D535" s="3" t="n">
        <v>45778</v>
      </c>
      <c r="E535" t="inlineStr">
        <is>
          <t>未来通信株式会社</t>
        </is>
      </c>
      <c r="F535" t="inlineStr">
        <is>
          <t>兵庫県</t>
        </is>
      </c>
      <c r="G535" t="inlineStr">
        <is>
          <t>導入支援</t>
        </is>
      </c>
      <c r="H535" t="inlineStr">
        <is>
          <t>初期設定支援</t>
        </is>
      </c>
      <c r="I535" s="4" t="n">
        <v>3</v>
      </c>
      <c r="J535" s="4" t="n">
        <v>204600</v>
      </c>
      <c r="K535" s="4">
        <f>I535*J535</f>
        <v/>
      </c>
      <c r="L535" t="inlineStr">
        <is>
          <t>値引き調整あり</t>
        </is>
      </c>
    </row>
    <row r="536">
      <c r="A536" t="inlineStr">
        <is>
          <t>SR023</t>
        </is>
      </c>
      <c r="B536" t="inlineStr">
        <is>
          <t>営業担当023</t>
        </is>
      </c>
      <c r="C536" t="inlineStr">
        <is>
          <t>第3営業部</t>
        </is>
      </c>
      <c r="D536" s="3" t="n">
        <v>45805</v>
      </c>
      <c r="E536" t="inlineStr">
        <is>
          <t>アーク電機株式会社</t>
        </is>
      </c>
      <c r="F536" t="inlineStr">
        <is>
          <t>愛知県</t>
        </is>
      </c>
      <c r="G536" t="inlineStr">
        <is>
          <t>消耗品</t>
        </is>
      </c>
      <c r="H536" t="inlineStr">
        <is>
          <t>交換用ヘッド</t>
        </is>
      </c>
      <c r="I536" s="4" t="n">
        <v>15</v>
      </c>
      <c r="J536" s="4" t="n">
        <v>29820</v>
      </c>
      <c r="K536" s="4">
        <f>I536*J536</f>
        <v/>
      </c>
      <c r="L536" t="inlineStr"/>
    </row>
    <row r="537">
      <c r="A537" t="inlineStr">
        <is>
          <t>SR023</t>
        </is>
      </c>
      <c r="B537" t="inlineStr">
        <is>
          <t>営業担当023</t>
        </is>
      </c>
      <c r="C537" t="inlineStr">
        <is>
          <t>第3営業部</t>
        </is>
      </c>
      <c r="D537" s="3" t="n">
        <v>45832</v>
      </c>
      <c r="E537" t="inlineStr">
        <is>
          <t>ライトホーム株式会社</t>
        </is>
      </c>
      <c r="F537" t="inlineStr">
        <is>
          <t>愛知県</t>
        </is>
      </c>
      <c r="G537" t="inlineStr">
        <is>
          <t>保守サービス</t>
        </is>
      </c>
      <c r="H537" t="inlineStr">
        <is>
          <t>オンサイト保守</t>
        </is>
      </c>
      <c r="I537" s="4" t="n">
        <v>2</v>
      </c>
      <c r="J537" s="4" t="n">
        <v>179800</v>
      </c>
      <c r="K537" s="4">
        <f>I537*J537</f>
        <v/>
      </c>
      <c r="L537" t="inlineStr"/>
    </row>
    <row r="538">
      <c r="A538" t="inlineStr">
        <is>
          <t>SR023</t>
        </is>
      </c>
      <c r="B538" t="inlineStr">
        <is>
          <t>営業担当023</t>
        </is>
      </c>
      <c r="C538" t="inlineStr">
        <is>
          <t>第3営業部</t>
        </is>
      </c>
      <c r="D538" s="3" t="n">
        <v>45832</v>
      </c>
      <c r="E538" t="inlineStr">
        <is>
          <t>グリーンテック株式会社</t>
        </is>
      </c>
      <c r="F538" t="inlineStr">
        <is>
          <t>広島県</t>
        </is>
      </c>
      <c r="G538" t="inlineStr">
        <is>
          <t>保守サービス</t>
        </is>
      </c>
      <c r="H538" t="inlineStr">
        <is>
          <t>年間保守契約</t>
        </is>
      </c>
      <c r="I538" s="4" t="n">
        <v>1</v>
      </c>
      <c r="J538" s="4" t="n">
        <v>90000</v>
      </c>
      <c r="K538" s="4">
        <f>I538*J538</f>
        <v/>
      </c>
      <c r="L538" t="inlineStr"/>
    </row>
    <row r="539">
      <c r="A539" t="inlineStr">
        <is>
          <t>SR023</t>
        </is>
      </c>
      <c r="B539" t="inlineStr">
        <is>
          <t>営業担当023</t>
        </is>
      </c>
      <c r="C539" t="inlineStr">
        <is>
          <t>第3営業部</t>
        </is>
      </c>
      <c r="D539" s="3" t="n">
        <v>45844</v>
      </c>
      <c r="E539" t="inlineStr">
        <is>
          <t>西日本機工有限会社</t>
        </is>
      </c>
      <c r="F539" t="inlineStr">
        <is>
          <t>京都府</t>
        </is>
      </c>
      <c r="G539" t="inlineStr">
        <is>
          <t>ソフトウェア</t>
        </is>
      </c>
      <c r="H539" t="inlineStr">
        <is>
          <t>AIチャットボット</t>
        </is>
      </c>
      <c r="I539" s="4" t="n">
        <v>1</v>
      </c>
      <c r="J539" s="4" t="n">
        <v>601000</v>
      </c>
      <c r="K539" s="4">
        <f>I539*J539</f>
        <v/>
      </c>
      <c r="L539" t="inlineStr">
        <is>
          <t>リピート受注</t>
        </is>
      </c>
    </row>
    <row r="540">
      <c r="A540" t="inlineStr">
        <is>
          <t>SR023</t>
        </is>
      </c>
      <c r="B540" t="inlineStr">
        <is>
          <t>営業担当023</t>
        </is>
      </c>
      <c r="C540" t="inlineStr">
        <is>
          <t>第3営業部</t>
        </is>
      </c>
      <c r="D540" s="3" t="n">
        <v>45844</v>
      </c>
      <c r="E540" t="inlineStr">
        <is>
          <t>未来通信有限会社</t>
        </is>
      </c>
      <c r="F540" t="inlineStr">
        <is>
          <t>大阪府</t>
        </is>
      </c>
      <c r="G540" t="inlineStr">
        <is>
          <t>消耗品</t>
        </is>
      </c>
      <c r="H540" t="inlineStr">
        <is>
          <t>ラベルロール</t>
        </is>
      </c>
      <c r="I540" s="4" t="n">
        <v>15</v>
      </c>
      <c r="J540" s="4" t="n">
        <v>7490</v>
      </c>
      <c r="K540" s="4">
        <f>I540*J540</f>
        <v/>
      </c>
      <c r="L540" t="inlineStr">
        <is>
          <t>キャンペーン適用</t>
        </is>
      </c>
    </row>
    <row r="541">
      <c r="A541" t="inlineStr">
        <is>
          <t>SR023</t>
        </is>
      </c>
      <c r="B541" t="inlineStr">
        <is>
          <t>営業担当023</t>
        </is>
      </c>
      <c r="C541" t="inlineStr">
        <is>
          <t>第3営業部</t>
        </is>
      </c>
      <c r="D541" s="3" t="n">
        <v>45882</v>
      </c>
      <c r="E541" t="inlineStr">
        <is>
          <t>白峰化学有限会社</t>
        </is>
      </c>
      <c r="F541" t="inlineStr">
        <is>
          <t>宮城県</t>
        </is>
      </c>
      <c r="G541" t="inlineStr">
        <is>
          <t>導入支援</t>
        </is>
      </c>
      <c r="H541" t="inlineStr">
        <is>
          <t>データ移行支援</t>
        </is>
      </c>
      <c r="I541" s="4" t="n">
        <v>1</v>
      </c>
      <c r="J541" s="4" t="n">
        <v>239500</v>
      </c>
      <c r="K541" s="4">
        <f>I541*J541</f>
        <v/>
      </c>
      <c r="L541" t="inlineStr"/>
    </row>
    <row r="542">
      <c r="A542" t="inlineStr">
        <is>
          <t>SR023</t>
        </is>
      </c>
      <c r="B542" t="inlineStr">
        <is>
          <t>営業担当023</t>
        </is>
      </c>
      <c r="C542" t="inlineStr">
        <is>
          <t>第3営業部</t>
        </is>
      </c>
      <c r="D542" s="3" t="n">
        <v>45887</v>
      </c>
      <c r="E542" t="inlineStr">
        <is>
          <t>未来通信株式会社</t>
        </is>
      </c>
      <c r="F542" t="inlineStr">
        <is>
          <t>福岡県</t>
        </is>
      </c>
      <c r="G542" t="inlineStr">
        <is>
          <t>消耗品</t>
        </is>
      </c>
      <c r="H542" t="inlineStr">
        <is>
          <t>保守用バッテリー</t>
        </is>
      </c>
      <c r="I542" s="4" t="n">
        <v>1</v>
      </c>
      <c r="J542" s="4" t="n">
        <v>12560</v>
      </c>
      <c r="K542" s="4">
        <f>I542*J542</f>
        <v/>
      </c>
      <c r="L542" t="inlineStr">
        <is>
          <t>分納</t>
        </is>
      </c>
    </row>
    <row r="543">
      <c r="A543" t="inlineStr">
        <is>
          <t>SR023</t>
        </is>
      </c>
      <c r="B543" t="inlineStr">
        <is>
          <t>営業担当023</t>
        </is>
      </c>
      <c r="C543" t="inlineStr">
        <is>
          <t>第3営業部</t>
        </is>
      </c>
      <c r="D543" s="3" t="n">
        <v>45918</v>
      </c>
      <c r="E543" t="inlineStr">
        <is>
          <t>青葉商事有限会社</t>
        </is>
      </c>
      <c r="F543" t="inlineStr">
        <is>
          <t>兵庫県</t>
        </is>
      </c>
      <c r="G543" t="inlineStr">
        <is>
          <t>ソフトウェア</t>
        </is>
      </c>
      <c r="H543" t="inlineStr">
        <is>
          <t>在庫管理クラウド</t>
        </is>
      </c>
      <c r="I543" s="4" t="n">
        <v>1</v>
      </c>
      <c r="J543" s="4" t="n">
        <v>326500</v>
      </c>
      <c r="K543" s="4">
        <f>I543*J543</f>
        <v/>
      </c>
      <c r="L543" t="inlineStr">
        <is>
          <t>値引き調整あり</t>
        </is>
      </c>
    </row>
    <row r="544">
      <c r="A544" t="inlineStr">
        <is>
          <t>SR023</t>
        </is>
      </c>
      <c r="B544" t="inlineStr">
        <is>
          <t>営業担当023</t>
        </is>
      </c>
      <c r="C544" t="inlineStr">
        <is>
          <t>第3営業部</t>
        </is>
      </c>
      <c r="D544" s="3" t="n">
        <v>45923</v>
      </c>
      <c r="E544" t="inlineStr">
        <is>
          <t>グリーンテック株式会社</t>
        </is>
      </c>
      <c r="F544" t="inlineStr">
        <is>
          <t>福岡県</t>
        </is>
      </c>
      <c r="G544" t="inlineStr">
        <is>
          <t>保守サービス</t>
        </is>
      </c>
      <c r="H544" t="inlineStr">
        <is>
          <t>ヘルプデスク契約</t>
        </is>
      </c>
      <c r="I544" s="4" t="n">
        <v>1</v>
      </c>
      <c r="J544" s="4" t="n">
        <v>115200</v>
      </c>
      <c r="K544" s="4">
        <f>I544*J544</f>
        <v/>
      </c>
      <c r="L544" t="inlineStr">
        <is>
          <t>リピート受注</t>
        </is>
      </c>
    </row>
    <row r="545">
      <c r="A545" t="inlineStr">
        <is>
          <t>SR023</t>
        </is>
      </c>
      <c r="B545" t="inlineStr">
        <is>
          <t>営業担当023</t>
        </is>
      </c>
      <c r="C545" t="inlineStr">
        <is>
          <t>第3営業部</t>
        </is>
      </c>
      <c r="D545" s="3" t="n">
        <v>45934</v>
      </c>
      <c r="E545" t="inlineStr">
        <is>
          <t>サンライズ建設有限会社</t>
        </is>
      </c>
      <c r="F545" t="inlineStr">
        <is>
          <t>神奈川県</t>
        </is>
      </c>
      <c r="G545" t="inlineStr">
        <is>
          <t>消耗品</t>
        </is>
      </c>
      <c r="H545" t="inlineStr">
        <is>
          <t>ラベルロール</t>
        </is>
      </c>
      <c r="I545" s="4" t="n">
        <v>5</v>
      </c>
      <c r="J545" s="4" t="n">
        <v>11160</v>
      </c>
      <c r="K545" s="4">
        <f>I545*J545</f>
        <v/>
      </c>
      <c r="L545" t="inlineStr">
        <is>
          <t>キャンペーン適用</t>
        </is>
      </c>
    </row>
    <row r="546">
      <c r="A546" t="inlineStr">
        <is>
          <t>SR023</t>
        </is>
      </c>
      <c r="B546" t="inlineStr">
        <is>
          <t>営業担当023</t>
        </is>
      </c>
      <c r="C546" t="inlineStr">
        <is>
          <t>第3営業部</t>
        </is>
      </c>
      <c r="D546" s="3" t="n">
        <v>45946</v>
      </c>
      <c r="E546" t="inlineStr">
        <is>
          <t>星和商会有限会社</t>
        </is>
      </c>
      <c r="F546" t="inlineStr">
        <is>
          <t>北海道</t>
        </is>
      </c>
      <c r="G546" t="inlineStr">
        <is>
          <t>ソフトウェア</t>
        </is>
      </c>
      <c r="H546" t="inlineStr">
        <is>
          <t>帳票自動化ツール</t>
        </is>
      </c>
      <c r="I546" s="4" t="n">
        <v>5</v>
      </c>
      <c r="J546" s="4" t="n">
        <v>240000</v>
      </c>
      <c r="K546" s="4">
        <f>I546*J546</f>
        <v/>
      </c>
      <c r="L546" t="inlineStr"/>
    </row>
    <row r="547">
      <c r="A547" t="inlineStr">
        <is>
          <t>SR023</t>
        </is>
      </c>
      <c r="B547" t="inlineStr">
        <is>
          <t>営業担当023</t>
        </is>
      </c>
      <c r="C547" t="inlineStr">
        <is>
          <t>第3営業部</t>
        </is>
      </c>
      <c r="D547" s="3" t="n">
        <v>45974</v>
      </c>
      <c r="E547" t="inlineStr">
        <is>
          <t>青葉商事(株)</t>
        </is>
      </c>
      <c r="F547" t="inlineStr">
        <is>
          <t>福岡県</t>
        </is>
      </c>
      <c r="G547" t="inlineStr">
        <is>
          <t>消耗品</t>
        </is>
      </c>
      <c r="H547" t="inlineStr">
        <is>
          <t>ラベルロール</t>
        </is>
      </c>
      <c r="I547" s="4" t="n">
        <v>3</v>
      </c>
      <c r="J547" s="4" t="n">
        <v>10200</v>
      </c>
      <c r="K547" s="4">
        <f>I547*J547</f>
        <v/>
      </c>
      <c r="L547" t="inlineStr">
        <is>
          <t>値引き調整あり</t>
        </is>
      </c>
    </row>
    <row r="548">
      <c r="A548" t="inlineStr">
        <is>
          <t>SR023</t>
        </is>
      </c>
      <c r="B548" t="inlineStr">
        <is>
          <t>営業担当023</t>
        </is>
      </c>
      <c r="C548" t="inlineStr">
        <is>
          <t>第3営業部</t>
        </is>
      </c>
      <c r="D548" s="3" t="n">
        <v>45978</v>
      </c>
      <c r="E548" t="inlineStr">
        <is>
          <t>みらい物流有限会社</t>
        </is>
      </c>
      <c r="F548" t="inlineStr">
        <is>
          <t>福岡県</t>
        </is>
      </c>
      <c r="G548" t="inlineStr">
        <is>
          <t>導入支援</t>
        </is>
      </c>
      <c r="H548" t="inlineStr">
        <is>
          <t>操作研修パック</t>
        </is>
      </c>
      <c r="I548" s="4" t="n">
        <v>5</v>
      </c>
      <c r="J548" s="4" t="n">
        <v>112600</v>
      </c>
      <c r="K548" s="4">
        <f>I548*J548</f>
        <v/>
      </c>
      <c r="L548" t="inlineStr"/>
    </row>
    <row r="549">
      <c r="A549" t="inlineStr">
        <is>
          <t>SR023</t>
        </is>
      </c>
      <c r="B549" t="inlineStr">
        <is>
          <t>営業担当023</t>
        </is>
      </c>
      <c r="C549" t="inlineStr">
        <is>
          <t>第3営業部</t>
        </is>
      </c>
      <c r="D549" s="3" t="n">
        <v>46001</v>
      </c>
      <c r="E549" t="inlineStr">
        <is>
          <t>グリーンテック(株)</t>
        </is>
      </c>
      <c r="F549" t="inlineStr">
        <is>
          <t>北海道</t>
        </is>
      </c>
      <c r="G549" t="inlineStr">
        <is>
          <t>ソフトウェア</t>
        </is>
      </c>
      <c r="H549" t="inlineStr">
        <is>
          <t>営業支援SaaS</t>
        </is>
      </c>
      <c r="I549" s="4" t="n">
        <v>1</v>
      </c>
      <c r="J549" s="4" t="n">
        <v>137100</v>
      </c>
      <c r="K549" s="4">
        <f>I549*J549</f>
        <v/>
      </c>
      <c r="L549" t="inlineStr"/>
    </row>
    <row r="550">
      <c r="A550" t="inlineStr">
        <is>
          <t>SR023</t>
        </is>
      </c>
      <c r="B550" t="inlineStr">
        <is>
          <t>営業担当023</t>
        </is>
      </c>
      <c r="C550" t="inlineStr">
        <is>
          <t>第3営業部</t>
        </is>
      </c>
      <c r="D550" s="3" t="n">
        <v>46003</v>
      </c>
      <c r="E550" t="inlineStr">
        <is>
          <t>桜井メディカル株式会社</t>
        </is>
      </c>
      <c r="F550" t="inlineStr">
        <is>
          <t>北海道</t>
        </is>
      </c>
      <c r="G550" t="inlineStr">
        <is>
          <t>保守サービス</t>
        </is>
      </c>
      <c r="H550" t="inlineStr">
        <is>
          <t>オンサイト保守</t>
        </is>
      </c>
      <c r="I550" s="4" t="n">
        <v>3</v>
      </c>
      <c r="J550" s="4" t="n">
        <v>84700</v>
      </c>
      <c r="K550" s="4">
        <f>I550*J550</f>
        <v/>
      </c>
      <c r="L550" t="inlineStr">
        <is>
          <t>値引き調整あり</t>
        </is>
      </c>
    </row>
    <row r="551">
      <c r="A551" t="inlineStr">
        <is>
          <t>SR023</t>
        </is>
      </c>
      <c r="B551" t="inlineStr">
        <is>
          <t>営業担当023</t>
        </is>
      </c>
      <c r="C551" t="inlineStr">
        <is>
          <t>第3営業部</t>
        </is>
      </c>
      <c r="D551" s="3" t="n">
        <v>46038</v>
      </c>
      <c r="E551" t="inlineStr">
        <is>
          <t>九州エナジー有限会社</t>
        </is>
      </c>
      <c r="F551" t="inlineStr">
        <is>
          <t>東京都</t>
        </is>
      </c>
      <c r="G551" t="inlineStr">
        <is>
          <t>ソフトウェア</t>
        </is>
      </c>
      <c r="H551" t="inlineStr">
        <is>
          <t>帳票自動化ツール</t>
        </is>
      </c>
      <c r="I551" s="4" t="n">
        <v>4</v>
      </c>
      <c r="J551" s="4" t="n">
        <v>248400</v>
      </c>
      <c r="K551" s="4">
        <f>I551*J551</f>
        <v/>
      </c>
      <c r="L551" t="inlineStr">
        <is>
          <t>大型案件</t>
        </is>
      </c>
    </row>
    <row r="552">
      <c r="A552" t="inlineStr">
        <is>
          <t>SR023</t>
        </is>
      </c>
      <c r="B552" t="inlineStr">
        <is>
          <t>営業担当023</t>
        </is>
      </c>
      <c r="C552" t="inlineStr">
        <is>
          <t>第3営業部</t>
        </is>
      </c>
      <c r="D552" s="3" t="n">
        <v>46041</v>
      </c>
      <c r="E552" t="inlineStr">
        <is>
          <t>ライトホーム(株)</t>
        </is>
      </c>
      <c r="F552" t="inlineStr">
        <is>
          <t>京都府</t>
        </is>
      </c>
      <c r="G552" t="inlineStr">
        <is>
          <t>消耗品</t>
        </is>
      </c>
      <c r="H552" t="inlineStr">
        <is>
          <t>ラベルロール</t>
        </is>
      </c>
      <c r="I552" s="4" t="n">
        <v>5</v>
      </c>
      <c r="J552" s="4" t="n">
        <v>6500</v>
      </c>
      <c r="K552" s="4">
        <f>I552*J552</f>
        <v/>
      </c>
      <c r="L552" t="inlineStr">
        <is>
          <t>新規開拓</t>
        </is>
      </c>
    </row>
    <row r="553">
      <c r="A553" t="inlineStr">
        <is>
          <t>SR023</t>
        </is>
      </c>
      <c r="B553" t="inlineStr">
        <is>
          <t>営業担当023</t>
        </is>
      </c>
      <c r="C553" t="inlineStr">
        <is>
          <t>第3営業部</t>
        </is>
      </c>
      <c r="D553" s="3" t="n">
        <v>46055</v>
      </c>
      <c r="E553" t="inlineStr">
        <is>
          <t>オーシャン製作所(株)</t>
        </is>
      </c>
      <c r="F553" t="inlineStr">
        <is>
          <t>大阪府</t>
        </is>
      </c>
      <c r="G553" t="inlineStr">
        <is>
          <t>導入支援</t>
        </is>
      </c>
      <c r="H553" t="inlineStr">
        <is>
          <t>データ移行支援</t>
        </is>
      </c>
      <c r="I553" s="4" t="n">
        <v>5</v>
      </c>
      <c r="J553" s="4" t="n">
        <v>195800</v>
      </c>
      <c r="K553" s="4">
        <f>I553*J553</f>
        <v/>
      </c>
      <c r="L553" t="inlineStr"/>
    </row>
    <row r="554">
      <c r="A554" t="inlineStr">
        <is>
          <t>SR023</t>
        </is>
      </c>
      <c r="B554" t="inlineStr">
        <is>
          <t>営業担当023</t>
        </is>
      </c>
      <c r="C554" t="inlineStr">
        <is>
          <t>第3営業部</t>
        </is>
      </c>
      <c r="D554" s="3" t="n">
        <v>46060</v>
      </c>
      <c r="E554" t="inlineStr">
        <is>
          <t>アーク電機有限会社</t>
        </is>
      </c>
      <c r="F554" t="inlineStr">
        <is>
          <t>京都府</t>
        </is>
      </c>
      <c r="G554" t="inlineStr">
        <is>
          <t>ハードウェア</t>
        </is>
      </c>
      <c r="H554" t="inlineStr">
        <is>
          <t>小型ハンディ端末</t>
        </is>
      </c>
      <c r="I554" s="4" t="n">
        <v>2</v>
      </c>
      <c r="J554" s="4" t="n">
        <v>67600</v>
      </c>
      <c r="K554" s="4">
        <f>I554*J554</f>
        <v/>
      </c>
      <c r="L554" t="inlineStr">
        <is>
          <t>リピート受注</t>
        </is>
      </c>
    </row>
    <row r="555">
      <c r="A555" t="inlineStr">
        <is>
          <t>SR023</t>
        </is>
      </c>
      <c r="B555" t="inlineStr">
        <is>
          <t>営業担当023</t>
        </is>
      </c>
      <c r="C555" t="inlineStr">
        <is>
          <t>第3営業部</t>
        </is>
      </c>
      <c r="D555" s="3" t="n">
        <v>46088</v>
      </c>
      <c r="E555" t="inlineStr">
        <is>
          <t>中央設備株式会社</t>
        </is>
      </c>
      <c r="F555" t="inlineStr">
        <is>
          <t>兵庫県</t>
        </is>
      </c>
      <c r="G555" t="inlineStr">
        <is>
          <t>ソフトウェア</t>
        </is>
      </c>
      <c r="H555" t="inlineStr">
        <is>
          <t>AIチャットボット</t>
        </is>
      </c>
      <c r="I555" s="4" t="n">
        <v>5</v>
      </c>
      <c r="J555" s="4" t="n">
        <v>309900</v>
      </c>
      <c r="K555" s="4">
        <f>I555*J555</f>
        <v/>
      </c>
      <c r="L555" t="inlineStr">
        <is>
          <t>リピート受注</t>
        </is>
      </c>
    </row>
    <row r="556">
      <c r="A556" t="inlineStr">
        <is>
          <t>SR023</t>
        </is>
      </c>
      <c r="B556" t="inlineStr">
        <is>
          <t>営業担当023</t>
        </is>
      </c>
      <c r="C556" t="inlineStr">
        <is>
          <t>第3営業部</t>
        </is>
      </c>
      <c r="D556" s="3" t="n">
        <v>46098</v>
      </c>
      <c r="E556" t="inlineStr">
        <is>
          <t>福岡流通有限会社</t>
        </is>
      </c>
      <c r="F556" t="inlineStr">
        <is>
          <t>京都府</t>
        </is>
      </c>
      <c r="G556" t="inlineStr">
        <is>
          <t>導入支援</t>
        </is>
      </c>
      <c r="H556" t="inlineStr">
        <is>
          <t>データ移行支援</t>
        </is>
      </c>
      <c r="I556" s="4" t="n">
        <v>1</v>
      </c>
      <c r="J556" s="4" t="n">
        <v>201400</v>
      </c>
      <c r="K556" s="4">
        <f>I556*J556</f>
        <v/>
      </c>
      <c r="L556" t="inlineStr">
        <is>
          <t>大型案件</t>
        </is>
      </c>
    </row>
    <row r="557">
      <c r="A557" t="inlineStr">
        <is>
          <t>SR024</t>
        </is>
      </c>
      <c r="B557" t="inlineStr">
        <is>
          <t>営業担当024</t>
        </is>
      </c>
      <c r="C557" t="inlineStr">
        <is>
          <t>パートナー営業部</t>
        </is>
      </c>
      <c r="D557" s="3" t="n">
        <v>45755</v>
      </c>
      <c r="E557" t="inlineStr">
        <is>
          <t>みらい物流(株)</t>
        </is>
      </c>
      <c r="F557" t="inlineStr">
        <is>
          <t>北海道</t>
        </is>
      </c>
      <c r="G557" t="inlineStr">
        <is>
          <t>ハードウェア</t>
        </is>
      </c>
      <c r="H557" t="inlineStr">
        <is>
          <t>産業用タブレット</t>
        </is>
      </c>
      <c r="I557" s="4" t="n">
        <v>2</v>
      </c>
      <c r="J557" s="4" t="n">
        <v>121000</v>
      </c>
      <c r="K557" s="4">
        <f>I557*J557</f>
        <v/>
      </c>
      <c r="L557" t="inlineStr">
        <is>
          <t>新規開拓</t>
        </is>
      </c>
    </row>
    <row r="558">
      <c r="A558" t="inlineStr">
        <is>
          <t>SR024</t>
        </is>
      </c>
      <c r="B558" t="inlineStr">
        <is>
          <t>営業担当024</t>
        </is>
      </c>
      <c r="C558" t="inlineStr">
        <is>
          <t>パートナー営業部</t>
        </is>
      </c>
      <c r="D558" s="3" t="n">
        <v>45769</v>
      </c>
      <c r="E558" t="inlineStr">
        <is>
          <t>みらい物流(株)</t>
        </is>
      </c>
      <c r="F558" t="inlineStr">
        <is>
          <t>大阪府</t>
        </is>
      </c>
      <c r="G558" t="inlineStr">
        <is>
          <t>ハードウェア</t>
        </is>
      </c>
      <c r="H558" t="inlineStr">
        <is>
          <t>ネットワークカメラ</t>
        </is>
      </c>
      <c r="I558" s="4" t="n">
        <v>3</v>
      </c>
      <c r="J558" s="4" t="n">
        <v>60500</v>
      </c>
      <c r="K558" s="4">
        <f>I558*J558</f>
        <v/>
      </c>
      <c r="L558" t="inlineStr"/>
    </row>
    <row r="559">
      <c r="A559" t="inlineStr">
        <is>
          <t>SR024</t>
        </is>
      </c>
      <c r="B559" t="inlineStr">
        <is>
          <t>営業担当024</t>
        </is>
      </c>
      <c r="C559" t="inlineStr">
        <is>
          <t>パートナー営業部</t>
        </is>
      </c>
      <c r="D559" s="3" t="n">
        <v>45790</v>
      </c>
      <c r="E559" t="inlineStr">
        <is>
          <t>ネクストソリューション(株)</t>
        </is>
      </c>
      <c r="F559" t="inlineStr">
        <is>
          <t>東京都</t>
        </is>
      </c>
      <c r="G559" t="inlineStr">
        <is>
          <t>ソフトウェア</t>
        </is>
      </c>
      <c r="H559" t="inlineStr">
        <is>
          <t>帳票自動化ツール</t>
        </is>
      </c>
      <c r="I559" s="4" t="n">
        <v>1</v>
      </c>
      <c r="J559" s="4" t="n">
        <v>363500</v>
      </c>
      <c r="K559" s="4">
        <f>I559*J559</f>
        <v/>
      </c>
      <c r="L559" t="inlineStr">
        <is>
          <t>リピート受注</t>
        </is>
      </c>
    </row>
    <row r="560">
      <c r="A560" t="inlineStr">
        <is>
          <t>SR024</t>
        </is>
      </c>
      <c r="B560" t="inlineStr">
        <is>
          <t>営業担当024</t>
        </is>
      </c>
      <c r="C560" t="inlineStr">
        <is>
          <t>パートナー営業部</t>
        </is>
      </c>
      <c r="D560" s="3" t="n">
        <v>45799</v>
      </c>
      <c r="E560" t="inlineStr">
        <is>
          <t>桜井メディカル株式会社</t>
        </is>
      </c>
      <c r="F560" t="inlineStr">
        <is>
          <t>神奈川県</t>
        </is>
      </c>
      <c r="G560" t="inlineStr">
        <is>
          <t>消耗品</t>
        </is>
      </c>
      <c r="H560" t="inlineStr">
        <is>
          <t>ラベルロール</t>
        </is>
      </c>
      <c r="I560" s="4" t="n">
        <v>15</v>
      </c>
      <c r="J560" s="4" t="n">
        <v>6160</v>
      </c>
      <c r="K560" s="4">
        <f>I560*J560</f>
        <v/>
      </c>
      <c r="L560" t="inlineStr">
        <is>
          <t>新規開拓</t>
        </is>
      </c>
    </row>
    <row r="561">
      <c r="A561" t="inlineStr">
        <is>
          <t>SR024</t>
        </is>
      </c>
      <c r="B561" t="inlineStr">
        <is>
          <t>営業担当024</t>
        </is>
      </c>
      <c r="C561" t="inlineStr">
        <is>
          <t>パートナー営業部</t>
        </is>
      </c>
      <c r="D561" s="3" t="n">
        <v>45824</v>
      </c>
      <c r="E561" t="inlineStr">
        <is>
          <t>白峰化学(株)</t>
        </is>
      </c>
      <c r="F561" t="inlineStr">
        <is>
          <t>兵庫県</t>
        </is>
      </c>
      <c r="G561" t="inlineStr">
        <is>
          <t>保守サービス</t>
        </is>
      </c>
      <c r="H561" t="inlineStr">
        <is>
          <t>ヘルプデスク契約</t>
        </is>
      </c>
      <c r="I561" s="4" t="n">
        <v>5</v>
      </c>
      <c r="J561" s="4" t="n">
        <v>51600</v>
      </c>
      <c r="K561" s="4">
        <f>I561*J561</f>
        <v/>
      </c>
      <c r="L561" t="inlineStr">
        <is>
          <t>新規開拓</t>
        </is>
      </c>
    </row>
    <row r="562">
      <c r="A562" t="inlineStr">
        <is>
          <t>SR024</t>
        </is>
      </c>
      <c r="B562" t="inlineStr">
        <is>
          <t>営業担当024</t>
        </is>
      </c>
      <c r="C562" t="inlineStr">
        <is>
          <t>パートナー営業部</t>
        </is>
      </c>
      <c r="D562" s="3" t="n">
        <v>45835</v>
      </c>
      <c r="E562" t="inlineStr">
        <is>
          <t>未来通信有限会社</t>
        </is>
      </c>
      <c r="F562" t="inlineStr">
        <is>
          <t>京都府</t>
        </is>
      </c>
      <c r="G562" t="inlineStr">
        <is>
          <t>消耗品</t>
        </is>
      </c>
      <c r="H562" t="inlineStr">
        <is>
          <t>ラベルロール</t>
        </is>
      </c>
      <c r="I562" s="4" t="n">
        <v>7</v>
      </c>
      <c r="J562" s="4" t="n">
        <v>9950</v>
      </c>
      <c r="K562" s="4">
        <f>I562*J562</f>
        <v/>
      </c>
      <c r="L562" t="inlineStr">
        <is>
          <t>新規開拓</t>
        </is>
      </c>
    </row>
    <row r="563">
      <c r="A563" t="inlineStr">
        <is>
          <t>SR024</t>
        </is>
      </c>
      <c r="B563" t="inlineStr">
        <is>
          <t>営業担当024</t>
        </is>
      </c>
      <c r="C563" t="inlineStr">
        <is>
          <t>パートナー営業部</t>
        </is>
      </c>
      <c r="D563" s="3" t="n">
        <v>45857</v>
      </c>
      <c r="E563" t="inlineStr">
        <is>
          <t>みらい物流有限会社</t>
        </is>
      </c>
      <c r="F563" t="inlineStr">
        <is>
          <t>神奈川県</t>
        </is>
      </c>
      <c r="G563" t="inlineStr">
        <is>
          <t>導入支援</t>
        </is>
      </c>
      <c r="H563" t="inlineStr">
        <is>
          <t>初期設定支援</t>
        </is>
      </c>
      <c r="I563" s="4" t="n">
        <v>5</v>
      </c>
      <c r="J563" s="4" t="n">
        <v>133100</v>
      </c>
      <c r="K563" s="4">
        <f>I563*J563</f>
        <v/>
      </c>
      <c r="L563" t="inlineStr">
        <is>
          <t>新規開拓</t>
        </is>
      </c>
    </row>
    <row r="564">
      <c r="A564" t="inlineStr">
        <is>
          <t>SR024</t>
        </is>
      </c>
      <c r="B564" t="inlineStr">
        <is>
          <t>営業担当024</t>
        </is>
      </c>
      <c r="C564" t="inlineStr">
        <is>
          <t>パートナー営業部</t>
        </is>
      </c>
      <c r="D564" s="3" t="n">
        <v>45864</v>
      </c>
      <c r="E564" t="inlineStr">
        <is>
          <t>オーシャン製作所(株)</t>
        </is>
      </c>
      <c r="F564" t="inlineStr">
        <is>
          <t>福岡県</t>
        </is>
      </c>
      <c r="G564" t="inlineStr">
        <is>
          <t>ソフトウェア</t>
        </is>
      </c>
      <c r="H564" t="inlineStr">
        <is>
          <t>帳票自動化ツール</t>
        </is>
      </c>
      <c r="I564" s="4" t="n">
        <v>2</v>
      </c>
      <c r="J564" s="4" t="n">
        <v>240700</v>
      </c>
      <c r="K564" s="4">
        <f>I564*J564</f>
        <v/>
      </c>
      <c r="L564" t="inlineStr">
        <is>
          <t>キャンペーン適用</t>
        </is>
      </c>
    </row>
    <row r="565">
      <c r="A565" t="inlineStr">
        <is>
          <t>SR024</t>
        </is>
      </c>
      <c r="B565" t="inlineStr">
        <is>
          <t>営業担当024</t>
        </is>
      </c>
      <c r="C565" t="inlineStr">
        <is>
          <t>パートナー営業部</t>
        </is>
      </c>
      <c r="D565" s="3" t="n">
        <v>45878</v>
      </c>
      <c r="E565" t="inlineStr">
        <is>
          <t>福岡流通株式会社</t>
        </is>
      </c>
      <c r="F565" t="inlineStr">
        <is>
          <t>北海道</t>
        </is>
      </c>
      <c r="G565" t="inlineStr">
        <is>
          <t>導入支援</t>
        </is>
      </c>
      <c r="H565" t="inlineStr">
        <is>
          <t>データ移行支援</t>
        </is>
      </c>
      <c r="I565" s="4" t="n">
        <v>4</v>
      </c>
      <c r="J565" s="4" t="n">
        <v>226900</v>
      </c>
      <c r="K565" s="4">
        <f>I565*J565</f>
        <v/>
      </c>
      <c r="L565" t="inlineStr">
        <is>
          <t>リピート受注</t>
        </is>
      </c>
    </row>
    <row r="566">
      <c r="A566" t="inlineStr">
        <is>
          <t>SR024</t>
        </is>
      </c>
      <c r="B566" t="inlineStr">
        <is>
          <t>営業担当024</t>
        </is>
      </c>
      <c r="C566" t="inlineStr">
        <is>
          <t>パートナー営業部</t>
        </is>
      </c>
      <c r="D566" s="3" t="n">
        <v>45896</v>
      </c>
      <c r="E566" t="inlineStr">
        <is>
          <t>福岡流通(株)</t>
        </is>
      </c>
      <c r="F566" t="inlineStr">
        <is>
          <t>広島県</t>
        </is>
      </c>
      <c r="G566" t="inlineStr">
        <is>
          <t>消耗品</t>
        </is>
      </c>
      <c r="H566" t="inlineStr">
        <is>
          <t>ラベルロール</t>
        </is>
      </c>
      <c r="I566" s="4" t="n">
        <v>9</v>
      </c>
      <c r="J566" s="4" t="n">
        <v>5040</v>
      </c>
      <c r="K566" s="4">
        <f>I566*J566</f>
        <v/>
      </c>
      <c r="L566" t="inlineStr">
        <is>
          <t>分納</t>
        </is>
      </c>
    </row>
    <row r="567">
      <c r="A567" t="inlineStr">
        <is>
          <t>SR024</t>
        </is>
      </c>
      <c r="B567" t="inlineStr">
        <is>
          <t>営業担当024</t>
        </is>
      </c>
      <c r="C567" t="inlineStr">
        <is>
          <t>パートナー営業部</t>
        </is>
      </c>
      <c r="D567" s="3" t="n">
        <v>45906</v>
      </c>
      <c r="E567" t="inlineStr">
        <is>
          <t>桜井メディカル株式会社</t>
        </is>
      </c>
      <c r="F567" t="inlineStr">
        <is>
          <t>京都府</t>
        </is>
      </c>
      <c r="G567" t="inlineStr">
        <is>
          <t>保守サービス</t>
        </is>
      </c>
      <c r="H567" t="inlineStr">
        <is>
          <t>年間保守契約</t>
        </is>
      </c>
      <c r="I567" s="4" t="n">
        <v>2</v>
      </c>
      <c r="J567" s="4" t="n">
        <v>136500</v>
      </c>
      <c r="K567" s="4">
        <f>I567*J567</f>
        <v/>
      </c>
      <c r="L567" t="inlineStr"/>
    </row>
    <row r="568">
      <c r="A568" t="inlineStr">
        <is>
          <t>SR024</t>
        </is>
      </c>
      <c r="B568" t="inlineStr">
        <is>
          <t>営業担当024</t>
        </is>
      </c>
      <c r="C568" t="inlineStr">
        <is>
          <t>パートナー営業部</t>
        </is>
      </c>
      <c r="D568" s="3" t="n">
        <v>45916</v>
      </c>
      <c r="E568" t="inlineStr">
        <is>
          <t>九州エナジー株式会社</t>
        </is>
      </c>
      <c r="F568" t="inlineStr">
        <is>
          <t>福岡県</t>
        </is>
      </c>
      <c r="G568" t="inlineStr">
        <is>
          <t>消耗品</t>
        </is>
      </c>
      <c r="H568" t="inlineStr">
        <is>
          <t>ラベルロール</t>
        </is>
      </c>
      <c r="I568" s="4" t="n">
        <v>14</v>
      </c>
      <c r="J568" s="4" t="n">
        <v>7940</v>
      </c>
      <c r="K568" s="4">
        <f>I568*J568</f>
        <v/>
      </c>
      <c r="L568" t="inlineStr"/>
    </row>
    <row r="569">
      <c r="A569" t="inlineStr">
        <is>
          <t>SR024</t>
        </is>
      </c>
      <c r="B569" t="inlineStr">
        <is>
          <t>営業担当024</t>
        </is>
      </c>
      <c r="C569" t="inlineStr">
        <is>
          <t>パートナー営業部</t>
        </is>
      </c>
      <c r="D569" s="3" t="n">
        <v>45942</v>
      </c>
      <c r="E569" t="inlineStr">
        <is>
          <t>ライトホーム有限会社</t>
        </is>
      </c>
      <c r="F569" t="inlineStr">
        <is>
          <t>大阪府</t>
        </is>
      </c>
      <c r="G569" t="inlineStr">
        <is>
          <t>ハードウェア</t>
        </is>
      </c>
      <c r="H569" t="inlineStr">
        <is>
          <t>ネットワークカメラ</t>
        </is>
      </c>
      <c r="I569" s="4" t="n">
        <v>3</v>
      </c>
      <c r="J569" s="4" t="n">
        <v>35600</v>
      </c>
      <c r="K569" s="4">
        <f>I569*J569</f>
        <v/>
      </c>
      <c r="L569" t="inlineStr">
        <is>
          <t>分納</t>
        </is>
      </c>
    </row>
    <row r="570">
      <c r="A570" t="inlineStr">
        <is>
          <t>SR024</t>
        </is>
      </c>
      <c r="B570" t="inlineStr">
        <is>
          <t>営業担当024</t>
        </is>
      </c>
      <c r="C570" t="inlineStr">
        <is>
          <t>パートナー営業部</t>
        </is>
      </c>
      <c r="D570" s="3" t="n">
        <v>45948</v>
      </c>
      <c r="E570" t="inlineStr">
        <is>
          <t>東洋フーズ(株)</t>
        </is>
      </c>
      <c r="F570" t="inlineStr">
        <is>
          <t>大阪府</t>
        </is>
      </c>
      <c r="G570" t="inlineStr">
        <is>
          <t>ソフトウェア</t>
        </is>
      </c>
      <c r="H570" t="inlineStr">
        <is>
          <t>在庫管理クラウド</t>
        </is>
      </c>
      <c r="I570" s="4" t="n">
        <v>5</v>
      </c>
      <c r="J570" s="4" t="n">
        <v>438700</v>
      </c>
      <c r="K570" s="4">
        <f>I570*J570</f>
        <v/>
      </c>
      <c r="L570" t="inlineStr"/>
    </row>
    <row r="571">
      <c r="A571" t="inlineStr">
        <is>
          <t>SR024</t>
        </is>
      </c>
      <c r="B571" t="inlineStr">
        <is>
          <t>営業担当024</t>
        </is>
      </c>
      <c r="C571" t="inlineStr">
        <is>
          <t>パートナー営業部</t>
        </is>
      </c>
      <c r="D571" s="3" t="n">
        <v>45983</v>
      </c>
      <c r="E571" t="inlineStr">
        <is>
          <t>ネクストソリューション(株)</t>
        </is>
      </c>
      <c r="F571" t="inlineStr">
        <is>
          <t>愛知県</t>
        </is>
      </c>
      <c r="G571" t="inlineStr">
        <is>
          <t>消耗品</t>
        </is>
      </c>
      <c r="H571" t="inlineStr">
        <is>
          <t>ラベルロール</t>
        </is>
      </c>
      <c r="I571" s="4" t="n">
        <v>11</v>
      </c>
      <c r="J571" s="4" t="n">
        <v>10610</v>
      </c>
      <c r="K571" s="4">
        <f>I571*J571</f>
        <v/>
      </c>
      <c r="L571" t="inlineStr"/>
    </row>
    <row r="572">
      <c r="A572" t="inlineStr">
        <is>
          <t>SR024</t>
        </is>
      </c>
      <c r="B572" t="inlineStr">
        <is>
          <t>営業担当024</t>
        </is>
      </c>
      <c r="C572" t="inlineStr">
        <is>
          <t>パートナー営業部</t>
        </is>
      </c>
      <c r="D572" s="3" t="n">
        <v>45988</v>
      </c>
      <c r="E572" t="inlineStr">
        <is>
          <t>星和商会有限会社</t>
        </is>
      </c>
      <c r="F572" t="inlineStr">
        <is>
          <t>宮城県</t>
        </is>
      </c>
      <c r="G572" t="inlineStr">
        <is>
          <t>消耗品</t>
        </is>
      </c>
      <c r="H572" t="inlineStr">
        <is>
          <t>ラベルロール</t>
        </is>
      </c>
      <c r="I572" s="4" t="n">
        <v>15</v>
      </c>
      <c r="J572" s="4" t="n">
        <v>2950</v>
      </c>
      <c r="K572" s="4">
        <f>I572*J572</f>
        <v/>
      </c>
      <c r="L572" t="inlineStr">
        <is>
          <t>値引き調整あり</t>
        </is>
      </c>
    </row>
    <row r="573">
      <c r="A573" t="inlineStr">
        <is>
          <t>SR024</t>
        </is>
      </c>
      <c r="B573" t="inlineStr">
        <is>
          <t>営業担当024</t>
        </is>
      </c>
      <c r="C573" t="inlineStr">
        <is>
          <t>パートナー営業部</t>
        </is>
      </c>
      <c r="D573" s="3" t="n">
        <v>45999</v>
      </c>
      <c r="E573" t="inlineStr">
        <is>
          <t>北斗産業株式会社</t>
        </is>
      </c>
      <c r="F573" t="inlineStr">
        <is>
          <t>兵庫県</t>
        </is>
      </c>
      <c r="G573" t="inlineStr">
        <is>
          <t>消耗品</t>
        </is>
      </c>
      <c r="H573" t="inlineStr">
        <is>
          <t>ラベルロール</t>
        </is>
      </c>
      <c r="I573" s="4" t="n">
        <v>3</v>
      </c>
      <c r="J573" s="4" t="n">
        <v>12690</v>
      </c>
      <c r="K573" s="4">
        <f>I573*J573</f>
        <v/>
      </c>
      <c r="L573" t="inlineStr"/>
    </row>
    <row r="574">
      <c r="A574" t="inlineStr">
        <is>
          <t>SR024</t>
        </is>
      </c>
      <c r="B574" t="inlineStr">
        <is>
          <t>営業担当024</t>
        </is>
      </c>
      <c r="C574" t="inlineStr">
        <is>
          <t>パートナー営業部</t>
        </is>
      </c>
      <c r="D574" s="3" t="n">
        <v>46000</v>
      </c>
      <c r="E574" t="inlineStr">
        <is>
          <t>九州エナジー有限会社</t>
        </is>
      </c>
      <c r="F574" t="inlineStr">
        <is>
          <t>広島県</t>
        </is>
      </c>
      <c r="G574" t="inlineStr">
        <is>
          <t>ハードウェア</t>
        </is>
      </c>
      <c r="H574" t="inlineStr">
        <is>
          <t>ラベルプリンター</t>
        </is>
      </c>
      <c r="I574" s="4" t="n">
        <v>4</v>
      </c>
      <c r="J574" s="4" t="n">
        <v>49400</v>
      </c>
      <c r="K574" s="4">
        <f>I574*J574</f>
        <v/>
      </c>
      <c r="L574" t="inlineStr">
        <is>
          <t>リピート受注</t>
        </is>
      </c>
    </row>
    <row r="575">
      <c r="A575" t="inlineStr">
        <is>
          <t>SR024</t>
        </is>
      </c>
      <c r="B575" t="inlineStr">
        <is>
          <t>営業担当024</t>
        </is>
      </c>
      <c r="C575" t="inlineStr">
        <is>
          <t>パートナー営業部</t>
        </is>
      </c>
      <c r="D575" s="3" t="n">
        <v>46027</v>
      </c>
      <c r="E575" t="inlineStr">
        <is>
          <t>白峰化学有限会社</t>
        </is>
      </c>
      <c r="F575" t="inlineStr">
        <is>
          <t>京都府</t>
        </is>
      </c>
      <c r="G575" t="inlineStr">
        <is>
          <t>ソフトウェア</t>
        </is>
      </c>
      <c r="H575" t="inlineStr">
        <is>
          <t>AIチャットボット</t>
        </is>
      </c>
      <c r="I575" s="4" t="n">
        <v>3</v>
      </c>
      <c r="J575" s="4" t="n">
        <v>661300</v>
      </c>
      <c r="K575" s="4">
        <f>I575*J575</f>
        <v/>
      </c>
      <c r="L575" t="inlineStr"/>
    </row>
    <row r="576">
      <c r="A576" t="inlineStr">
        <is>
          <t>SR024</t>
        </is>
      </c>
      <c r="B576" t="inlineStr">
        <is>
          <t>営業担当024</t>
        </is>
      </c>
      <c r="C576" t="inlineStr">
        <is>
          <t>パートナー営業部</t>
        </is>
      </c>
      <c r="D576" s="3" t="n">
        <v>46041</v>
      </c>
      <c r="E576" t="inlineStr">
        <is>
          <t>グリーンテック株式会社</t>
        </is>
      </c>
      <c r="F576" t="inlineStr">
        <is>
          <t>福岡県</t>
        </is>
      </c>
      <c r="G576" t="inlineStr">
        <is>
          <t>保守サービス</t>
        </is>
      </c>
      <c r="H576" t="inlineStr">
        <is>
          <t>年間保守契約</t>
        </is>
      </c>
      <c r="I576" s="4" t="n">
        <v>5</v>
      </c>
      <c r="J576" s="4" t="n">
        <v>226000</v>
      </c>
      <c r="K576" s="4">
        <f>I576*J576</f>
        <v/>
      </c>
      <c r="L576" t="inlineStr"/>
    </row>
    <row r="577">
      <c r="A577" t="inlineStr">
        <is>
          <t>SR024</t>
        </is>
      </c>
      <c r="B577" t="inlineStr">
        <is>
          <t>営業担当024</t>
        </is>
      </c>
      <c r="C577" t="inlineStr">
        <is>
          <t>パートナー営業部</t>
        </is>
      </c>
      <c r="D577" s="3" t="n">
        <v>46075</v>
      </c>
      <c r="E577" t="inlineStr">
        <is>
          <t>桜井メディカル有限会社</t>
        </is>
      </c>
      <c r="F577" t="inlineStr">
        <is>
          <t>福岡県</t>
        </is>
      </c>
      <c r="G577" t="inlineStr">
        <is>
          <t>消耗品</t>
        </is>
      </c>
      <c r="H577" t="inlineStr">
        <is>
          <t>ラベルロール</t>
        </is>
      </c>
      <c r="I577" s="4" t="n">
        <v>8</v>
      </c>
      <c r="J577" s="4" t="n">
        <v>5460</v>
      </c>
      <c r="K577" s="4">
        <f>I577*J577</f>
        <v/>
      </c>
      <c r="L577" t="inlineStr"/>
    </row>
    <row r="578">
      <c r="A578" t="inlineStr">
        <is>
          <t>SR024</t>
        </is>
      </c>
      <c r="B578" t="inlineStr">
        <is>
          <t>営業担当024</t>
        </is>
      </c>
      <c r="C578" t="inlineStr">
        <is>
          <t>パートナー営業部</t>
        </is>
      </c>
      <c r="D578" s="3" t="n">
        <v>46077</v>
      </c>
      <c r="E578" t="inlineStr">
        <is>
          <t>サンライズ建設株式会社</t>
        </is>
      </c>
      <c r="F578" t="inlineStr">
        <is>
          <t>愛知県</t>
        </is>
      </c>
      <c r="G578" t="inlineStr">
        <is>
          <t>導入支援</t>
        </is>
      </c>
      <c r="H578" t="inlineStr">
        <is>
          <t>操作研修パック</t>
        </is>
      </c>
      <c r="I578" s="4" t="n">
        <v>4</v>
      </c>
      <c r="J578" s="4" t="n">
        <v>128600</v>
      </c>
      <c r="K578" s="4">
        <f>I578*J578</f>
        <v/>
      </c>
      <c r="L578" t="inlineStr"/>
    </row>
    <row r="579">
      <c r="A579" t="inlineStr">
        <is>
          <t>SR024</t>
        </is>
      </c>
      <c r="B579" t="inlineStr">
        <is>
          <t>営業担当024</t>
        </is>
      </c>
      <c r="C579" t="inlineStr">
        <is>
          <t>パートナー営業部</t>
        </is>
      </c>
      <c r="D579" s="3" t="n">
        <v>46089</v>
      </c>
      <c r="E579" t="inlineStr">
        <is>
          <t>アーク電機有限会社</t>
        </is>
      </c>
      <c r="F579" t="inlineStr">
        <is>
          <t>福岡県</t>
        </is>
      </c>
      <c r="G579" t="inlineStr">
        <is>
          <t>消耗品</t>
        </is>
      </c>
      <c r="H579" t="inlineStr">
        <is>
          <t>ラベルロール</t>
        </is>
      </c>
      <c r="I579" s="4" t="n">
        <v>10</v>
      </c>
      <c r="J579" s="4" t="n">
        <v>12660</v>
      </c>
      <c r="K579" s="4">
        <f>I579*J579</f>
        <v/>
      </c>
      <c r="L579" t="inlineStr">
        <is>
          <t>リピート受注</t>
        </is>
      </c>
    </row>
    <row r="580">
      <c r="A580" t="inlineStr">
        <is>
          <t>SR024</t>
        </is>
      </c>
      <c r="B580" t="inlineStr">
        <is>
          <t>営業担当024</t>
        </is>
      </c>
      <c r="C580" t="inlineStr">
        <is>
          <t>パートナー営業部</t>
        </is>
      </c>
      <c r="D580" s="3" t="n">
        <v>46100</v>
      </c>
      <c r="E580" t="inlineStr">
        <is>
          <t>星和商会有限会社</t>
        </is>
      </c>
      <c r="F580" t="inlineStr">
        <is>
          <t>福岡県</t>
        </is>
      </c>
      <c r="G580" t="inlineStr">
        <is>
          <t>導入支援</t>
        </is>
      </c>
      <c r="H580" t="inlineStr">
        <is>
          <t>データ移行支援</t>
        </is>
      </c>
      <c r="I580" s="4" t="n">
        <v>1</v>
      </c>
      <c r="J580" s="4" t="n">
        <v>169600</v>
      </c>
      <c r="K580" s="4">
        <f>I580*J580</f>
        <v/>
      </c>
      <c r="L580" t="inlineStr">
        <is>
          <t>分納</t>
        </is>
      </c>
    </row>
    <row r="581">
      <c r="A581" t="inlineStr">
        <is>
          <t>SR025</t>
        </is>
      </c>
      <c r="B581" t="inlineStr">
        <is>
          <t>営業担当025</t>
        </is>
      </c>
      <c r="C581" t="inlineStr">
        <is>
          <t>インサイドセールス部</t>
        </is>
      </c>
      <c r="D581" s="3" t="n">
        <v>45753</v>
      </c>
      <c r="E581" t="inlineStr">
        <is>
          <t>オーシャン製作所(株)</t>
        </is>
      </c>
      <c r="F581" t="inlineStr">
        <is>
          <t>兵庫県</t>
        </is>
      </c>
      <c r="G581" t="inlineStr">
        <is>
          <t>消耗品</t>
        </is>
      </c>
      <c r="H581" t="inlineStr">
        <is>
          <t>ラベルロール</t>
        </is>
      </c>
      <c r="I581" s="4" t="n">
        <v>4</v>
      </c>
      <c r="J581" s="4" t="n">
        <v>9940</v>
      </c>
      <c r="K581" s="4">
        <f>I581*J581</f>
        <v/>
      </c>
      <c r="L581" t="inlineStr">
        <is>
          <t>キャンペーン適用</t>
        </is>
      </c>
    </row>
    <row r="582">
      <c r="A582" t="inlineStr">
        <is>
          <t>SR025</t>
        </is>
      </c>
      <c r="B582" t="inlineStr">
        <is>
          <t>営業担当025</t>
        </is>
      </c>
      <c r="C582" t="inlineStr">
        <is>
          <t>インサイドセールス部</t>
        </is>
      </c>
      <c r="D582" s="3" t="n">
        <v>45775</v>
      </c>
      <c r="E582" t="inlineStr">
        <is>
          <t>中央設備有限会社</t>
        </is>
      </c>
      <c r="F582" t="inlineStr">
        <is>
          <t>愛知県</t>
        </is>
      </c>
      <c r="G582" t="inlineStr">
        <is>
          <t>導入支援</t>
        </is>
      </c>
      <c r="H582" t="inlineStr">
        <is>
          <t>操作研修パック</t>
        </is>
      </c>
      <c r="I582" s="4" t="n">
        <v>2</v>
      </c>
      <c r="J582" s="4" t="n">
        <v>50500</v>
      </c>
      <c r="K582" s="4">
        <f>I582*J582</f>
        <v/>
      </c>
      <c r="L582" t="inlineStr">
        <is>
          <t>大型案件</t>
        </is>
      </c>
    </row>
    <row r="583">
      <c r="A583" t="inlineStr">
        <is>
          <t>SR025</t>
        </is>
      </c>
      <c r="B583" t="inlineStr">
        <is>
          <t>営業担当025</t>
        </is>
      </c>
      <c r="C583" t="inlineStr">
        <is>
          <t>インサイドセールス部</t>
        </is>
      </c>
      <c r="D583" s="3" t="n">
        <v>45782</v>
      </c>
      <c r="E583" t="inlineStr">
        <is>
          <t>中央設備株式会社</t>
        </is>
      </c>
      <c r="F583" t="inlineStr">
        <is>
          <t>愛知県</t>
        </is>
      </c>
      <c r="G583" t="inlineStr">
        <is>
          <t>消耗品</t>
        </is>
      </c>
      <c r="H583" t="inlineStr">
        <is>
          <t>交換用ヘッド</t>
        </is>
      </c>
      <c r="I583" s="4" t="n">
        <v>11</v>
      </c>
      <c r="J583" s="4" t="n">
        <v>29190</v>
      </c>
      <c r="K583" s="4">
        <f>I583*J583</f>
        <v/>
      </c>
      <c r="L583" t="inlineStr"/>
    </row>
    <row r="584">
      <c r="A584" t="inlineStr">
        <is>
          <t>SR025</t>
        </is>
      </c>
      <c r="B584" t="inlineStr">
        <is>
          <t>営業担当025</t>
        </is>
      </c>
      <c r="C584" t="inlineStr">
        <is>
          <t>インサイドセールス部</t>
        </is>
      </c>
      <c r="D584" s="3" t="n">
        <v>45794</v>
      </c>
      <c r="E584" t="inlineStr">
        <is>
          <t>日新サービス(株)</t>
        </is>
      </c>
      <c r="F584" t="inlineStr">
        <is>
          <t>京都府</t>
        </is>
      </c>
      <c r="G584" t="inlineStr">
        <is>
          <t>消耗品</t>
        </is>
      </c>
      <c r="H584" t="inlineStr">
        <is>
          <t>交換用ヘッド</t>
        </is>
      </c>
      <c r="I584" s="4" t="n">
        <v>11</v>
      </c>
      <c r="J584" s="4" t="n">
        <v>40950</v>
      </c>
      <c r="K584" s="4">
        <f>I584*J584</f>
        <v/>
      </c>
      <c r="L584" t="inlineStr"/>
    </row>
    <row r="585">
      <c r="A585" t="inlineStr">
        <is>
          <t>SR025</t>
        </is>
      </c>
      <c r="B585" t="inlineStr">
        <is>
          <t>営業担当025</t>
        </is>
      </c>
      <c r="C585" t="inlineStr">
        <is>
          <t>インサイドセールス部</t>
        </is>
      </c>
      <c r="D585" s="3" t="n">
        <v>45814</v>
      </c>
      <c r="E585" t="inlineStr">
        <is>
          <t>日新サービス有限会社</t>
        </is>
      </c>
      <c r="F585" t="inlineStr">
        <is>
          <t>東京都</t>
        </is>
      </c>
      <c r="G585" t="inlineStr">
        <is>
          <t>ソフトウェア</t>
        </is>
      </c>
      <c r="H585" t="inlineStr">
        <is>
          <t>営業支援SaaS</t>
        </is>
      </c>
      <c r="I585" s="4" t="n">
        <v>4</v>
      </c>
      <c r="J585" s="4" t="n">
        <v>298300</v>
      </c>
      <c r="K585" s="4">
        <f>I585*J585</f>
        <v/>
      </c>
      <c r="L585" t="inlineStr"/>
    </row>
    <row r="586">
      <c r="A586" t="inlineStr">
        <is>
          <t>SR025</t>
        </is>
      </c>
      <c r="B586" t="inlineStr">
        <is>
          <t>営業担当025</t>
        </is>
      </c>
      <c r="C586" t="inlineStr">
        <is>
          <t>インサイドセールス部</t>
        </is>
      </c>
      <c r="D586" s="3" t="n">
        <v>45828</v>
      </c>
      <c r="E586" t="inlineStr">
        <is>
          <t>中央設備株式会社</t>
        </is>
      </c>
      <c r="F586" t="inlineStr">
        <is>
          <t>広島県</t>
        </is>
      </c>
      <c r="G586" t="inlineStr">
        <is>
          <t>消耗品</t>
        </is>
      </c>
      <c r="H586" t="inlineStr">
        <is>
          <t>交換用ヘッド</t>
        </is>
      </c>
      <c r="I586" s="4" t="n">
        <v>1</v>
      </c>
      <c r="J586" s="4" t="n">
        <v>33760</v>
      </c>
      <c r="K586" s="4">
        <f>I586*J586</f>
        <v/>
      </c>
      <c r="L586" t="inlineStr">
        <is>
          <t>値引き調整あり</t>
        </is>
      </c>
    </row>
    <row r="587">
      <c r="A587" t="inlineStr">
        <is>
          <t>SR025</t>
        </is>
      </c>
      <c r="B587" t="inlineStr">
        <is>
          <t>営業担当025</t>
        </is>
      </c>
      <c r="C587" t="inlineStr">
        <is>
          <t>インサイドセールス部</t>
        </is>
      </c>
      <c r="D587" s="3" t="n">
        <v>45841</v>
      </c>
      <c r="E587" t="inlineStr">
        <is>
          <t>未来通信株式会社</t>
        </is>
      </c>
      <c r="F587" t="inlineStr">
        <is>
          <t>北海道</t>
        </is>
      </c>
      <c r="G587" t="inlineStr">
        <is>
          <t>ソフトウェア</t>
        </is>
      </c>
      <c r="H587" t="inlineStr">
        <is>
          <t>在庫管理クラウド</t>
        </is>
      </c>
      <c r="I587" s="4" t="n">
        <v>4</v>
      </c>
      <c r="J587" s="4" t="n">
        <v>344100</v>
      </c>
      <c r="K587" s="4">
        <f>I587*J587</f>
        <v/>
      </c>
      <c r="L587" t="inlineStr">
        <is>
          <t>値引き調整あり</t>
        </is>
      </c>
    </row>
    <row r="588">
      <c r="A588" t="inlineStr">
        <is>
          <t>SR025</t>
        </is>
      </c>
      <c r="B588" t="inlineStr">
        <is>
          <t>営業担当025</t>
        </is>
      </c>
      <c r="C588" t="inlineStr">
        <is>
          <t>インサイドセールス部</t>
        </is>
      </c>
      <c r="D588" s="3" t="n">
        <v>45863</v>
      </c>
      <c r="E588" t="inlineStr">
        <is>
          <t>中央設備株式会社</t>
        </is>
      </c>
      <c r="F588" t="inlineStr">
        <is>
          <t>広島県</t>
        </is>
      </c>
      <c r="G588" t="inlineStr">
        <is>
          <t>ハードウェア</t>
        </is>
      </c>
      <c r="H588" t="inlineStr">
        <is>
          <t>産業用タブレット</t>
        </is>
      </c>
      <c r="I588" s="4" t="n">
        <v>4</v>
      </c>
      <c r="J588" s="4" t="n">
        <v>121400</v>
      </c>
      <c r="K588" s="4">
        <f>I588*J588</f>
        <v/>
      </c>
      <c r="L588" t="inlineStr">
        <is>
          <t>キャンペーン適用</t>
        </is>
      </c>
    </row>
    <row r="589">
      <c r="A589" t="inlineStr">
        <is>
          <t>SR025</t>
        </is>
      </c>
      <c r="B589" t="inlineStr">
        <is>
          <t>営業担当025</t>
        </is>
      </c>
      <c r="C589" t="inlineStr">
        <is>
          <t>インサイドセールス部</t>
        </is>
      </c>
      <c r="D589" s="3" t="n">
        <v>45879</v>
      </c>
      <c r="E589" t="inlineStr">
        <is>
          <t>ライトホーム株式会社</t>
        </is>
      </c>
      <c r="F589" t="inlineStr">
        <is>
          <t>福岡県</t>
        </is>
      </c>
      <c r="G589" t="inlineStr">
        <is>
          <t>導入支援</t>
        </is>
      </c>
      <c r="H589" t="inlineStr">
        <is>
          <t>データ移行支援</t>
        </is>
      </c>
      <c r="I589" s="4" t="n">
        <v>1</v>
      </c>
      <c r="J589" s="4" t="n">
        <v>162600</v>
      </c>
      <c r="K589" s="4">
        <f>I589*J589</f>
        <v/>
      </c>
      <c r="L589" t="inlineStr">
        <is>
          <t>値引き調整あり</t>
        </is>
      </c>
    </row>
    <row r="590">
      <c r="A590" t="inlineStr">
        <is>
          <t>SR025</t>
        </is>
      </c>
      <c r="B590" t="inlineStr">
        <is>
          <t>営業担当025</t>
        </is>
      </c>
      <c r="C590" t="inlineStr">
        <is>
          <t>インサイドセールス部</t>
        </is>
      </c>
      <c r="D590" s="3" t="n">
        <v>45881</v>
      </c>
      <c r="E590" t="inlineStr">
        <is>
          <t>北斗産業有限会社</t>
        </is>
      </c>
      <c r="F590" t="inlineStr">
        <is>
          <t>京都府</t>
        </is>
      </c>
      <c r="G590" t="inlineStr">
        <is>
          <t>導入支援</t>
        </is>
      </c>
      <c r="H590" t="inlineStr">
        <is>
          <t>初期設定支援</t>
        </is>
      </c>
      <c r="I590" s="4" t="n">
        <v>4</v>
      </c>
      <c r="J590" s="4" t="n">
        <v>211700</v>
      </c>
      <c r="K590" s="4">
        <f>I590*J590</f>
        <v/>
      </c>
      <c r="L590" t="inlineStr">
        <is>
          <t>キャンペーン適用</t>
        </is>
      </c>
    </row>
    <row r="591">
      <c r="A591" t="inlineStr">
        <is>
          <t>SR025</t>
        </is>
      </c>
      <c r="B591" t="inlineStr">
        <is>
          <t>営業担当025</t>
        </is>
      </c>
      <c r="C591" t="inlineStr">
        <is>
          <t>インサイドセールス部</t>
        </is>
      </c>
      <c r="D591" s="3" t="n">
        <v>45910</v>
      </c>
      <c r="E591" t="inlineStr">
        <is>
          <t>東洋フーズ株式会社</t>
        </is>
      </c>
      <c r="F591" t="inlineStr">
        <is>
          <t>兵庫県</t>
        </is>
      </c>
      <c r="G591" t="inlineStr">
        <is>
          <t>消耗品</t>
        </is>
      </c>
      <c r="H591" t="inlineStr">
        <is>
          <t>交換用ヘッド</t>
        </is>
      </c>
      <c r="I591" s="4" t="n">
        <v>12</v>
      </c>
      <c r="J591" s="4" t="n">
        <v>21480</v>
      </c>
      <c r="K591" s="4">
        <f>I591*J591</f>
        <v/>
      </c>
      <c r="L591" t="inlineStr"/>
    </row>
    <row r="592">
      <c r="A592" t="inlineStr">
        <is>
          <t>SR025</t>
        </is>
      </c>
      <c r="B592" t="inlineStr">
        <is>
          <t>営業担当025</t>
        </is>
      </c>
      <c r="C592" t="inlineStr">
        <is>
          <t>インサイドセールス部</t>
        </is>
      </c>
      <c r="D592" s="3" t="n">
        <v>45912</v>
      </c>
      <c r="E592" t="inlineStr">
        <is>
          <t>星和商会有限会社</t>
        </is>
      </c>
      <c r="F592" t="inlineStr">
        <is>
          <t>兵庫県</t>
        </is>
      </c>
      <c r="G592" t="inlineStr">
        <is>
          <t>ソフトウェア</t>
        </is>
      </c>
      <c r="H592" t="inlineStr">
        <is>
          <t>AIチャットボット</t>
        </is>
      </c>
      <c r="I592" s="4" t="n">
        <v>2</v>
      </c>
      <c r="J592" s="4" t="n">
        <v>458500</v>
      </c>
      <c r="K592" s="4">
        <f>I592*J592</f>
        <v/>
      </c>
      <c r="L592" t="inlineStr">
        <is>
          <t>分納</t>
        </is>
      </c>
    </row>
    <row r="593">
      <c r="A593" t="inlineStr">
        <is>
          <t>SR025</t>
        </is>
      </c>
      <c r="B593" t="inlineStr">
        <is>
          <t>営業担当025</t>
        </is>
      </c>
      <c r="C593" t="inlineStr">
        <is>
          <t>インサイドセールス部</t>
        </is>
      </c>
      <c r="D593" s="3" t="n">
        <v>45952</v>
      </c>
      <c r="E593" t="inlineStr">
        <is>
          <t>北斗産業(株)</t>
        </is>
      </c>
      <c r="F593" t="inlineStr">
        <is>
          <t>愛知県</t>
        </is>
      </c>
      <c r="G593" t="inlineStr">
        <is>
          <t>ソフトウェア</t>
        </is>
      </c>
      <c r="H593" t="inlineStr">
        <is>
          <t>営業支援SaaS</t>
        </is>
      </c>
      <c r="I593" s="4" t="n">
        <v>1</v>
      </c>
      <c r="J593" s="4" t="n">
        <v>233000</v>
      </c>
      <c r="K593" s="4">
        <f>I593*J593</f>
        <v/>
      </c>
      <c r="L593" t="inlineStr">
        <is>
          <t>キャンペーン適用</t>
        </is>
      </c>
    </row>
    <row r="594">
      <c r="A594" t="inlineStr">
        <is>
          <t>SR025</t>
        </is>
      </c>
      <c r="B594" t="inlineStr">
        <is>
          <t>営業担当025</t>
        </is>
      </c>
      <c r="C594" t="inlineStr">
        <is>
          <t>インサイドセールス部</t>
        </is>
      </c>
      <c r="D594" s="3" t="n">
        <v>45955</v>
      </c>
      <c r="E594" t="inlineStr">
        <is>
          <t>桜井メディカル株式会社</t>
        </is>
      </c>
      <c r="F594" t="inlineStr">
        <is>
          <t>神奈川県</t>
        </is>
      </c>
      <c r="G594" t="inlineStr">
        <is>
          <t>消耗品</t>
        </is>
      </c>
      <c r="H594" t="inlineStr">
        <is>
          <t>交換用ヘッド</t>
        </is>
      </c>
      <c r="I594" s="4" t="n">
        <v>7</v>
      </c>
      <c r="J594" s="4" t="n">
        <v>22550</v>
      </c>
      <c r="K594" s="4">
        <f>I594*J594</f>
        <v/>
      </c>
      <c r="L594" t="inlineStr">
        <is>
          <t>大型案件</t>
        </is>
      </c>
    </row>
    <row r="595">
      <c r="A595" t="inlineStr">
        <is>
          <t>SR025</t>
        </is>
      </c>
      <c r="B595" t="inlineStr">
        <is>
          <t>営業担当025</t>
        </is>
      </c>
      <c r="C595" t="inlineStr">
        <is>
          <t>インサイドセールス部</t>
        </is>
      </c>
      <c r="D595" s="3" t="n">
        <v>45962</v>
      </c>
      <c r="E595" t="inlineStr">
        <is>
          <t>青葉商事有限会社</t>
        </is>
      </c>
      <c r="F595" t="inlineStr">
        <is>
          <t>京都府</t>
        </is>
      </c>
      <c r="G595" t="inlineStr">
        <is>
          <t>ソフトウェア</t>
        </is>
      </c>
      <c r="H595" t="inlineStr">
        <is>
          <t>在庫管理クラウド</t>
        </is>
      </c>
      <c r="I595" s="4" t="n">
        <v>4</v>
      </c>
      <c r="J595" s="4" t="n">
        <v>448100</v>
      </c>
      <c r="K595" s="4">
        <f>I595*J595</f>
        <v/>
      </c>
      <c r="L595" t="inlineStr">
        <is>
          <t>大型案件</t>
        </is>
      </c>
    </row>
    <row r="596">
      <c r="A596" t="inlineStr">
        <is>
          <t>SR025</t>
        </is>
      </c>
      <c r="B596" t="inlineStr">
        <is>
          <t>営業担当025</t>
        </is>
      </c>
      <c r="C596" t="inlineStr">
        <is>
          <t>インサイドセールス部</t>
        </is>
      </c>
      <c r="D596" s="3" t="n">
        <v>45973</v>
      </c>
      <c r="E596" t="inlineStr">
        <is>
          <t>日新サービス(株)</t>
        </is>
      </c>
      <c r="F596" t="inlineStr">
        <is>
          <t>兵庫県</t>
        </is>
      </c>
      <c r="G596" t="inlineStr">
        <is>
          <t>ハードウェア</t>
        </is>
      </c>
      <c r="H596" t="inlineStr">
        <is>
          <t>産業用タブレット</t>
        </is>
      </c>
      <c r="I596" s="4" t="n">
        <v>1</v>
      </c>
      <c r="J596" s="4" t="n">
        <v>77200</v>
      </c>
      <c r="K596" s="4">
        <f>I596*J596</f>
        <v/>
      </c>
      <c r="L596" t="inlineStr">
        <is>
          <t>値引き調整あり</t>
        </is>
      </c>
    </row>
    <row r="597">
      <c r="A597" t="inlineStr">
        <is>
          <t>SR025</t>
        </is>
      </c>
      <c r="B597" t="inlineStr">
        <is>
          <t>営業担当025</t>
        </is>
      </c>
      <c r="C597" t="inlineStr">
        <is>
          <t>インサイドセールス部</t>
        </is>
      </c>
      <c r="D597" s="3" t="n">
        <v>46001</v>
      </c>
      <c r="E597" t="inlineStr">
        <is>
          <t>九州エナジー有限会社</t>
        </is>
      </c>
      <c r="F597" t="inlineStr">
        <is>
          <t>北海道</t>
        </is>
      </c>
      <c r="G597" t="inlineStr">
        <is>
          <t>保守サービス</t>
        </is>
      </c>
      <c r="H597" t="inlineStr">
        <is>
          <t>オンサイト保守</t>
        </is>
      </c>
      <c r="I597" s="4" t="n">
        <v>2</v>
      </c>
      <c r="J597" s="4" t="n">
        <v>164100</v>
      </c>
      <c r="K597" s="4">
        <f>I597*J597</f>
        <v/>
      </c>
      <c r="L597" t="inlineStr">
        <is>
          <t>大型案件</t>
        </is>
      </c>
    </row>
    <row r="598">
      <c r="A598" t="inlineStr">
        <is>
          <t>SR025</t>
        </is>
      </c>
      <c r="B598" t="inlineStr">
        <is>
          <t>営業担当025</t>
        </is>
      </c>
      <c r="C598" t="inlineStr">
        <is>
          <t>インサイドセールス部</t>
        </is>
      </c>
      <c r="D598" s="3" t="n">
        <v>46014</v>
      </c>
      <c r="E598" t="inlineStr">
        <is>
          <t>オーシャン製作所(株)</t>
        </is>
      </c>
      <c r="F598" t="inlineStr">
        <is>
          <t>北海道</t>
        </is>
      </c>
      <c r="G598" t="inlineStr">
        <is>
          <t>ソフトウェア</t>
        </is>
      </c>
      <c r="H598" t="inlineStr">
        <is>
          <t>営業支援SaaS</t>
        </is>
      </c>
      <c r="I598" s="4" t="n">
        <v>4</v>
      </c>
      <c r="J598" s="4" t="n">
        <v>359700</v>
      </c>
      <c r="K598" s="4">
        <f>I598*J598</f>
        <v/>
      </c>
      <c r="L598" t="inlineStr">
        <is>
          <t>リピート受注</t>
        </is>
      </c>
    </row>
    <row r="599">
      <c r="A599" t="inlineStr">
        <is>
          <t>SR025</t>
        </is>
      </c>
      <c r="B599" t="inlineStr">
        <is>
          <t>営業担当025</t>
        </is>
      </c>
      <c r="C599" t="inlineStr">
        <is>
          <t>インサイドセールス部</t>
        </is>
      </c>
      <c r="D599" s="3" t="n">
        <v>46031</v>
      </c>
      <c r="E599" t="inlineStr">
        <is>
          <t>九州エナジー(株)</t>
        </is>
      </c>
      <c r="F599" t="inlineStr">
        <is>
          <t>兵庫県</t>
        </is>
      </c>
      <c r="G599" t="inlineStr">
        <is>
          <t>保守サービス</t>
        </is>
      </c>
      <c r="H599" t="inlineStr">
        <is>
          <t>ヘルプデスク契約</t>
        </is>
      </c>
      <c r="I599" s="4" t="n">
        <v>3</v>
      </c>
      <c r="J599" s="4" t="n">
        <v>105600</v>
      </c>
      <c r="K599" s="4">
        <f>I599*J599</f>
        <v/>
      </c>
      <c r="L599" t="inlineStr">
        <is>
          <t>キャンペーン適用</t>
        </is>
      </c>
    </row>
    <row r="600">
      <c r="A600" t="inlineStr">
        <is>
          <t>SR025</t>
        </is>
      </c>
      <c r="B600" t="inlineStr">
        <is>
          <t>営業担当025</t>
        </is>
      </c>
      <c r="C600" t="inlineStr">
        <is>
          <t>インサイドセールス部</t>
        </is>
      </c>
      <c r="D600" s="3" t="n">
        <v>46037</v>
      </c>
      <c r="E600" t="inlineStr">
        <is>
          <t>日新サービス有限会社</t>
        </is>
      </c>
      <c r="F600" t="inlineStr">
        <is>
          <t>東京都</t>
        </is>
      </c>
      <c r="G600" t="inlineStr">
        <is>
          <t>保守サービス</t>
        </is>
      </c>
      <c r="H600" t="inlineStr">
        <is>
          <t>年間保守契約</t>
        </is>
      </c>
      <c r="I600" s="4" t="n">
        <v>4</v>
      </c>
      <c r="J600" s="4" t="n">
        <v>267300</v>
      </c>
      <c r="K600" s="4">
        <f>I600*J600</f>
        <v/>
      </c>
      <c r="L600" t="inlineStr"/>
    </row>
    <row r="601">
      <c r="A601" t="inlineStr">
        <is>
          <t>SR025</t>
        </is>
      </c>
      <c r="B601" t="inlineStr">
        <is>
          <t>営業担当025</t>
        </is>
      </c>
      <c r="C601" t="inlineStr">
        <is>
          <t>インサイドセールス部</t>
        </is>
      </c>
      <c r="D601" s="3" t="n">
        <v>46071</v>
      </c>
      <c r="E601" t="inlineStr">
        <is>
          <t>みらい物流有限会社</t>
        </is>
      </c>
      <c r="F601" t="inlineStr">
        <is>
          <t>神奈川県</t>
        </is>
      </c>
      <c r="G601" t="inlineStr">
        <is>
          <t>保守サービス</t>
        </is>
      </c>
      <c r="H601" t="inlineStr">
        <is>
          <t>年間保守契約</t>
        </is>
      </c>
      <c r="I601" s="4" t="n">
        <v>5</v>
      </c>
      <c r="J601" s="4" t="n">
        <v>165500</v>
      </c>
      <c r="K601" s="4">
        <f>I601*J601</f>
        <v/>
      </c>
      <c r="L601" t="inlineStr">
        <is>
          <t>値引き調整あり</t>
        </is>
      </c>
    </row>
    <row r="602">
      <c r="A602" t="inlineStr">
        <is>
          <t>SR025</t>
        </is>
      </c>
      <c r="B602" t="inlineStr">
        <is>
          <t>営業担当025</t>
        </is>
      </c>
      <c r="C602" t="inlineStr">
        <is>
          <t>インサイドセールス部</t>
        </is>
      </c>
      <c r="D602" s="3" t="n">
        <v>46078</v>
      </c>
      <c r="E602" t="inlineStr">
        <is>
          <t>東洋フーズ(株)</t>
        </is>
      </c>
      <c r="F602" t="inlineStr">
        <is>
          <t>京都府</t>
        </is>
      </c>
      <c r="G602" t="inlineStr">
        <is>
          <t>消耗品</t>
        </is>
      </c>
      <c r="H602" t="inlineStr">
        <is>
          <t>保守用バッテリー</t>
        </is>
      </c>
      <c r="I602" s="4" t="n">
        <v>3</v>
      </c>
      <c r="J602" s="4" t="n">
        <v>13380</v>
      </c>
      <c r="K602" s="4">
        <f>I602*J602</f>
        <v/>
      </c>
      <c r="L602" t="inlineStr">
        <is>
          <t>値引き調整あり</t>
        </is>
      </c>
    </row>
    <row r="603">
      <c r="A603" t="inlineStr">
        <is>
          <t>SR025</t>
        </is>
      </c>
      <c r="B603" t="inlineStr">
        <is>
          <t>営業担当025</t>
        </is>
      </c>
      <c r="C603" t="inlineStr">
        <is>
          <t>インサイドセールス部</t>
        </is>
      </c>
      <c r="D603" s="3" t="n">
        <v>46099</v>
      </c>
      <c r="E603" t="inlineStr">
        <is>
          <t>ネクストソリューション(株)</t>
        </is>
      </c>
      <c r="F603" t="inlineStr">
        <is>
          <t>神奈川県</t>
        </is>
      </c>
      <c r="G603" t="inlineStr">
        <is>
          <t>消耗品</t>
        </is>
      </c>
      <c r="H603" t="inlineStr">
        <is>
          <t>保守用バッテリー</t>
        </is>
      </c>
      <c r="I603" s="4" t="n">
        <v>13</v>
      </c>
      <c r="J603" s="4" t="n">
        <v>13950</v>
      </c>
      <c r="K603" s="4">
        <f>I603*J603</f>
        <v/>
      </c>
      <c r="L603" t="inlineStr"/>
    </row>
    <row r="604">
      <c r="A604" t="inlineStr">
        <is>
          <t>SR025</t>
        </is>
      </c>
      <c r="B604" t="inlineStr">
        <is>
          <t>営業担当025</t>
        </is>
      </c>
      <c r="C604" t="inlineStr">
        <is>
          <t>インサイドセールス部</t>
        </is>
      </c>
      <c r="D604" s="3" t="n">
        <v>46108</v>
      </c>
      <c r="E604" t="inlineStr">
        <is>
          <t>星和商会(株)</t>
        </is>
      </c>
      <c r="F604" t="inlineStr">
        <is>
          <t>広島県</t>
        </is>
      </c>
      <c r="G604" t="inlineStr">
        <is>
          <t>導入支援</t>
        </is>
      </c>
      <c r="H604" t="inlineStr">
        <is>
          <t>操作研修パック</t>
        </is>
      </c>
      <c r="I604" s="4" t="n">
        <v>4</v>
      </c>
      <c r="J604" s="4" t="n">
        <v>79800</v>
      </c>
      <c r="K604" s="4">
        <f>I604*J604</f>
        <v/>
      </c>
      <c r="L604" t="inlineStr">
        <is>
          <t>新規開拓</t>
        </is>
      </c>
    </row>
    <row r="605">
      <c r="A605" t="inlineStr">
        <is>
          <t>SR026</t>
        </is>
      </c>
      <c r="B605" t="inlineStr">
        <is>
          <t>営業担当026</t>
        </is>
      </c>
      <c r="C605" t="inlineStr">
        <is>
          <t>第1営業部</t>
        </is>
      </c>
      <c r="D605" s="3" t="n">
        <v>45753</v>
      </c>
      <c r="E605" t="inlineStr">
        <is>
          <t>ネクストソリューション(株)</t>
        </is>
      </c>
      <c r="F605" t="inlineStr">
        <is>
          <t>愛知県</t>
        </is>
      </c>
      <c r="G605" t="inlineStr">
        <is>
          <t>導入支援</t>
        </is>
      </c>
      <c r="H605" t="inlineStr">
        <is>
          <t>操作研修パック</t>
        </is>
      </c>
      <c r="I605" s="4" t="n">
        <v>3</v>
      </c>
      <c r="J605" s="4" t="n">
        <v>104700</v>
      </c>
      <c r="K605" s="4">
        <f>I605*J605</f>
        <v/>
      </c>
      <c r="L605" t="inlineStr">
        <is>
          <t>キャンペーン適用</t>
        </is>
      </c>
    </row>
    <row r="606">
      <c r="A606" t="inlineStr">
        <is>
          <t>SR026</t>
        </is>
      </c>
      <c r="B606" t="inlineStr">
        <is>
          <t>営業担当026</t>
        </is>
      </c>
      <c r="C606" t="inlineStr">
        <is>
          <t>第1営業部</t>
        </is>
      </c>
      <c r="D606" s="3" t="n">
        <v>45772</v>
      </c>
      <c r="E606" t="inlineStr">
        <is>
          <t>白峰化学有限会社</t>
        </is>
      </c>
      <c r="F606" t="inlineStr">
        <is>
          <t>広島県</t>
        </is>
      </c>
      <c r="G606" t="inlineStr">
        <is>
          <t>消耗品</t>
        </is>
      </c>
      <c r="H606" t="inlineStr">
        <is>
          <t>ラベルロール</t>
        </is>
      </c>
      <c r="I606" s="4" t="n">
        <v>8</v>
      </c>
      <c r="J606" s="4" t="n">
        <v>4580</v>
      </c>
      <c r="K606" s="4">
        <f>I606*J606</f>
        <v/>
      </c>
      <c r="L606" t="inlineStr">
        <is>
          <t>リピート受注</t>
        </is>
      </c>
    </row>
    <row r="607">
      <c r="A607" t="inlineStr">
        <is>
          <t>SR026</t>
        </is>
      </c>
      <c r="B607" t="inlineStr">
        <is>
          <t>営業担当026</t>
        </is>
      </c>
      <c r="C607" t="inlineStr">
        <is>
          <t>第1営業部</t>
        </is>
      </c>
      <c r="D607" s="3" t="n">
        <v>45780</v>
      </c>
      <c r="E607" t="inlineStr">
        <is>
          <t>日新サービス有限会社</t>
        </is>
      </c>
      <c r="F607" t="inlineStr">
        <is>
          <t>愛知県</t>
        </is>
      </c>
      <c r="G607" t="inlineStr">
        <is>
          <t>ハードウェア</t>
        </is>
      </c>
      <c r="H607" t="inlineStr">
        <is>
          <t>ラベルプリンター</t>
        </is>
      </c>
      <c r="I607" s="4" t="n">
        <v>4</v>
      </c>
      <c r="J607" s="4" t="n">
        <v>86900</v>
      </c>
      <c r="K607" s="4">
        <f>I607*J607</f>
        <v/>
      </c>
      <c r="L607" t="inlineStr">
        <is>
          <t>新規開拓</t>
        </is>
      </c>
    </row>
    <row r="608">
      <c r="A608" t="inlineStr">
        <is>
          <t>SR026</t>
        </is>
      </c>
      <c r="B608" t="inlineStr">
        <is>
          <t>営業担当026</t>
        </is>
      </c>
      <c r="C608" t="inlineStr">
        <is>
          <t>第1営業部</t>
        </is>
      </c>
      <c r="D608" s="3" t="n">
        <v>45786</v>
      </c>
      <c r="E608" t="inlineStr">
        <is>
          <t>白峰化学株式会社</t>
        </is>
      </c>
      <c r="F608" t="inlineStr">
        <is>
          <t>兵庫県</t>
        </is>
      </c>
      <c r="G608" t="inlineStr">
        <is>
          <t>ハードウェア</t>
        </is>
      </c>
      <c r="H608" t="inlineStr">
        <is>
          <t>小型ハンディ端末</t>
        </is>
      </c>
      <c r="I608" s="4" t="n">
        <v>1</v>
      </c>
      <c r="J608" s="4" t="n">
        <v>72600</v>
      </c>
      <c r="K608" s="4">
        <f>I608*J608</f>
        <v/>
      </c>
      <c r="L608" t="inlineStr">
        <is>
          <t>大型案件</t>
        </is>
      </c>
    </row>
    <row r="609">
      <c r="A609" t="inlineStr">
        <is>
          <t>SR026</t>
        </is>
      </c>
      <c r="B609" t="inlineStr">
        <is>
          <t>営業担当026</t>
        </is>
      </c>
      <c r="C609" t="inlineStr">
        <is>
          <t>第1営業部</t>
        </is>
      </c>
      <c r="D609" s="3" t="n">
        <v>45825</v>
      </c>
      <c r="E609" t="inlineStr">
        <is>
          <t>九州エナジー株式会社</t>
        </is>
      </c>
      <c r="F609" t="inlineStr">
        <is>
          <t>神奈川県</t>
        </is>
      </c>
      <c r="G609" t="inlineStr">
        <is>
          <t>ハードウェア</t>
        </is>
      </c>
      <c r="H609" t="inlineStr">
        <is>
          <t>ラベルプリンター</t>
        </is>
      </c>
      <c r="I609" s="4" t="n">
        <v>1</v>
      </c>
      <c r="J609" s="4" t="n">
        <v>58400</v>
      </c>
      <c r="K609" s="4">
        <f>I609*J609</f>
        <v/>
      </c>
      <c r="L609" t="inlineStr">
        <is>
          <t>新規開拓</t>
        </is>
      </c>
    </row>
    <row r="610">
      <c r="A610" t="inlineStr">
        <is>
          <t>SR026</t>
        </is>
      </c>
      <c r="B610" t="inlineStr">
        <is>
          <t>営業担当026</t>
        </is>
      </c>
      <c r="C610" t="inlineStr">
        <is>
          <t>第1営業部</t>
        </is>
      </c>
      <c r="D610" s="3" t="n">
        <v>45826</v>
      </c>
      <c r="E610" t="inlineStr">
        <is>
          <t>アーク電機(株)</t>
        </is>
      </c>
      <c r="F610" t="inlineStr">
        <is>
          <t>愛知県</t>
        </is>
      </c>
      <c r="G610" t="inlineStr">
        <is>
          <t>ハードウェア</t>
        </is>
      </c>
      <c r="H610" t="inlineStr">
        <is>
          <t>小型ハンディ端末</t>
        </is>
      </c>
      <c r="I610" s="4" t="n">
        <v>4</v>
      </c>
      <c r="J610" s="4" t="n">
        <v>45900</v>
      </c>
      <c r="K610" s="4">
        <f>I610*J610</f>
        <v/>
      </c>
      <c r="L610" t="inlineStr"/>
    </row>
    <row r="611">
      <c r="A611" t="inlineStr">
        <is>
          <t>SR026</t>
        </is>
      </c>
      <c r="B611" t="inlineStr">
        <is>
          <t>営業担当026</t>
        </is>
      </c>
      <c r="C611" t="inlineStr">
        <is>
          <t>第1営業部</t>
        </is>
      </c>
      <c r="D611" s="3" t="n">
        <v>45841</v>
      </c>
      <c r="E611" t="inlineStr">
        <is>
          <t>九州エナジー株式会社</t>
        </is>
      </c>
      <c r="F611" t="inlineStr">
        <is>
          <t>広島県</t>
        </is>
      </c>
      <c r="G611" t="inlineStr">
        <is>
          <t>保守サービス</t>
        </is>
      </c>
      <c r="H611" t="inlineStr">
        <is>
          <t>オンサイト保守</t>
        </is>
      </c>
      <c r="I611" s="4" t="n">
        <v>2</v>
      </c>
      <c r="J611" s="4" t="n">
        <v>157400</v>
      </c>
      <c r="K611" s="4">
        <f>I611*J611</f>
        <v/>
      </c>
      <c r="L611" t="inlineStr">
        <is>
          <t>リピート受注</t>
        </is>
      </c>
    </row>
    <row r="612">
      <c r="A612" t="inlineStr">
        <is>
          <t>SR026</t>
        </is>
      </c>
      <c r="B612" t="inlineStr">
        <is>
          <t>営業担当026</t>
        </is>
      </c>
      <c r="C612" t="inlineStr">
        <is>
          <t>第1営業部</t>
        </is>
      </c>
      <c r="D612" s="3" t="n">
        <v>45852</v>
      </c>
      <c r="E612" t="inlineStr">
        <is>
          <t>ネクストソリューション株式会社</t>
        </is>
      </c>
      <c r="F612" t="inlineStr">
        <is>
          <t>京都府</t>
        </is>
      </c>
      <c r="G612" t="inlineStr">
        <is>
          <t>消耗品</t>
        </is>
      </c>
      <c r="H612" t="inlineStr">
        <is>
          <t>交換用ヘッド</t>
        </is>
      </c>
      <c r="I612" s="4" t="n">
        <v>6</v>
      </c>
      <c r="J612" s="4" t="n">
        <v>31930</v>
      </c>
      <c r="K612" s="4">
        <f>I612*J612</f>
        <v/>
      </c>
      <c r="L612" t="inlineStr">
        <is>
          <t>リピート受注</t>
        </is>
      </c>
    </row>
    <row r="613">
      <c r="A613" t="inlineStr">
        <is>
          <t>SR026</t>
        </is>
      </c>
      <c r="B613" t="inlineStr">
        <is>
          <t>営業担当026</t>
        </is>
      </c>
      <c r="C613" t="inlineStr">
        <is>
          <t>第1営業部</t>
        </is>
      </c>
      <c r="D613" s="3" t="n">
        <v>45875</v>
      </c>
      <c r="E613" t="inlineStr">
        <is>
          <t>東洋フーズ(株)</t>
        </is>
      </c>
      <c r="F613" t="inlineStr">
        <is>
          <t>愛知県</t>
        </is>
      </c>
      <c r="G613" t="inlineStr">
        <is>
          <t>ハードウェア</t>
        </is>
      </c>
      <c r="H613" t="inlineStr">
        <is>
          <t>小型ハンディ端末</t>
        </is>
      </c>
      <c r="I613" s="4" t="n">
        <v>3</v>
      </c>
      <c r="J613" s="4" t="n">
        <v>66100</v>
      </c>
      <c r="K613" s="4">
        <f>I613*J613</f>
        <v/>
      </c>
      <c r="L613" t="inlineStr">
        <is>
          <t>大型案件</t>
        </is>
      </c>
    </row>
    <row r="614">
      <c r="A614" t="inlineStr">
        <is>
          <t>SR026</t>
        </is>
      </c>
      <c r="B614" t="inlineStr">
        <is>
          <t>営業担当026</t>
        </is>
      </c>
      <c r="C614" t="inlineStr">
        <is>
          <t>第1営業部</t>
        </is>
      </c>
      <c r="D614" s="3" t="n">
        <v>45878</v>
      </c>
      <c r="E614" t="inlineStr">
        <is>
          <t>九州エナジー有限会社</t>
        </is>
      </c>
      <c r="F614" t="inlineStr">
        <is>
          <t>東京都</t>
        </is>
      </c>
      <c r="G614" t="inlineStr">
        <is>
          <t>導入支援</t>
        </is>
      </c>
      <c r="H614" t="inlineStr">
        <is>
          <t>初期設定支援</t>
        </is>
      </c>
      <c r="I614" s="4" t="n">
        <v>2</v>
      </c>
      <c r="J614" s="4" t="n">
        <v>62200</v>
      </c>
      <c r="K614" s="4">
        <f>I614*J614</f>
        <v/>
      </c>
      <c r="L614" t="inlineStr">
        <is>
          <t>大型案件</t>
        </is>
      </c>
    </row>
    <row r="615">
      <c r="A615" t="inlineStr">
        <is>
          <t>SR026</t>
        </is>
      </c>
      <c r="B615" t="inlineStr">
        <is>
          <t>営業担当026</t>
        </is>
      </c>
      <c r="C615" t="inlineStr">
        <is>
          <t>第1営業部</t>
        </is>
      </c>
      <c r="D615" s="3" t="n">
        <v>45907</v>
      </c>
      <c r="E615" t="inlineStr">
        <is>
          <t>桜井メディカル有限会社</t>
        </is>
      </c>
      <c r="F615" t="inlineStr">
        <is>
          <t>北海道</t>
        </is>
      </c>
      <c r="G615" t="inlineStr">
        <is>
          <t>ハードウェア</t>
        </is>
      </c>
      <c r="H615" t="inlineStr">
        <is>
          <t>産業用タブレット</t>
        </is>
      </c>
      <c r="I615" s="4" t="n">
        <v>1</v>
      </c>
      <c r="J615" s="4" t="n">
        <v>76000</v>
      </c>
      <c r="K615" s="4">
        <f>I615*J615</f>
        <v/>
      </c>
      <c r="L615" t="inlineStr">
        <is>
          <t>分納</t>
        </is>
      </c>
    </row>
    <row r="616">
      <c r="A616" t="inlineStr">
        <is>
          <t>SR026</t>
        </is>
      </c>
      <c r="B616" t="inlineStr">
        <is>
          <t>営業担当026</t>
        </is>
      </c>
      <c r="C616" t="inlineStr">
        <is>
          <t>第1営業部</t>
        </is>
      </c>
      <c r="D616" s="3" t="n">
        <v>45927</v>
      </c>
      <c r="E616" t="inlineStr">
        <is>
          <t>未来通信(株)</t>
        </is>
      </c>
      <c r="F616" t="inlineStr">
        <is>
          <t>大阪府</t>
        </is>
      </c>
      <c r="G616" t="inlineStr">
        <is>
          <t>導入支援</t>
        </is>
      </c>
      <c r="H616" t="inlineStr">
        <is>
          <t>操作研修パック</t>
        </is>
      </c>
      <c r="I616" s="4" t="n">
        <v>3</v>
      </c>
      <c r="J616" s="4" t="n">
        <v>83200</v>
      </c>
      <c r="K616" s="4">
        <f>I616*J616</f>
        <v/>
      </c>
      <c r="L616" t="inlineStr">
        <is>
          <t>新規開拓</t>
        </is>
      </c>
    </row>
    <row r="617">
      <c r="A617" t="inlineStr">
        <is>
          <t>SR026</t>
        </is>
      </c>
      <c r="B617" t="inlineStr">
        <is>
          <t>営業担当026</t>
        </is>
      </c>
      <c r="C617" t="inlineStr">
        <is>
          <t>第1営業部</t>
        </is>
      </c>
      <c r="D617" s="3" t="n">
        <v>45942</v>
      </c>
      <c r="E617" t="inlineStr">
        <is>
          <t>九州エナジー有限会社</t>
        </is>
      </c>
      <c r="F617" t="inlineStr">
        <is>
          <t>神奈川県</t>
        </is>
      </c>
      <c r="G617" t="inlineStr">
        <is>
          <t>保守サービス</t>
        </is>
      </c>
      <c r="H617" t="inlineStr">
        <is>
          <t>年間保守契約</t>
        </is>
      </c>
      <c r="I617" s="4" t="n">
        <v>4</v>
      </c>
      <c r="J617" s="4" t="n">
        <v>109600</v>
      </c>
      <c r="K617" s="4">
        <f>I617*J617</f>
        <v/>
      </c>
      <c r="L617" t="inlineStr">
        <is>
          <t>新規開拓</t>
        </is>
      </c>
    </row>
    <row r="618">
      <c r="A618" t="inlineStr">
        <is>
          <t>SR026</t>
        </is>
      </c>
      <c r="B618" t="inlineStr">
        <is>
          <t>営業担当026</t>
        </is>
      </c>
      <c r="C618" t="inlineStr">
        <is>
          <t>第1営業部</t>
        </is>
      </c>
      <c r="D618" s="3" t="n">
        <v>45950</v>
      </c>
      <c r="E618" t="inlineStr">
        <is>
          <t>青葉商事有限会社</t>
        </is>
      </c>
      <c r="F618" t="inlineStr">
        <is>
          <t>東京都</t>
        </is>
      </c>
      <c r="G618" t="inlineStr">
        <is>
          <t>導入支援</t>
        </is>
      </c>
      <c r="H618" t="inlineStr">
        <is>
          <t>データ移行支援</t>
        </is>
      </c>
      <c r="I618" s="4" t="n">
        <v>5</v>
      </c>
      <c r="J618" s="4" t="n">
        <v>209100</v>
      </c>
      <c r="K618" s="4">
        <f>I618*J618</f>
        <v/>
      </c>
      <c r="L618" t="inlineStr">
        <is>
          <t>分納</t>
        </is>
      </c>
    </row>
    <row r="619">
      <c r="A619" t="inlineStr">
        <is>
          <t>SR026</t>
        </is>
      </c>
      <c r="B619" t="inlineStr">
        <is>
          <t>営業担当026</t>
        </is>
      </c>
      <c r="C619" t="inlineStr">
        <is>
          <t>第1営業部</t>
        </is>
      </c>
      <c r="D619" s="3" t="n">
        <v>45980</v>
      </c>
      <c r="E619" t="inlineStr">
        <is>
          <t>未来通信(株)</t>
        </is>
      </c>
      <c r="F619" t="inlineStr">
        <is>
          <t>福岡県</t>
        </is>
      </c>
      <c r="G619" t="inlineStr">
        <is>
          <t>消耗品</t>
        </is>
      </c>
      <c r="H619" t="inlineStr">
        <is>
          <t>保守用バッテリー</t>
        </is>
      </c>
      <c r="I619" s="4" t="n">
        <v>7</v>
      </c>
      <c r="J619" s="4" t="n">
        <v>10340</v>
      </c>
      <c r="K619" s="4">
        <f>I619*J619</f>
        <v/>
      </c>
      <c r="L619" t="inlineStr"/>
    </row>
    <row r="620">
      <c r="A620" t="inlineStr">
        <is>
          <t>SR026</t>
        </is>
      </c>
      <c r="B620" t="inlineStr">
        <is>
          <t>営業担当026</t>
        </is>
      </c>
      <c r="C620" t="inlineStr">
        <is>
          <t>第1営業部</t>
        </is>
      </c>
      <c r="D620" s="3" t="n">
        <v>45989</v>
      </c>
      <c r="E620" t="inlineStr">
        <is>
          <t>ライトホーム株式会社</t>
        </is>
      </c>
      <c r="F620" t="inlineStr">
        <is>
          <t>兵庫県</t>
        </is>
      </c>
      <c r="G620" t="inlineStr">
        <is>
          <t>消耗品</t>
        </is>
      </c>
      <c r="H620" t="inlineStr">
        <is>
          <t>交換用ヘッド</t>
        </is>
      </c>
      <c r="I620" s="4" t="n">
        <v>11</v>
      </c>
      <c r="J620" s="4" t="n">
        <v>34050</v>
      </c>
      <c r="K620" s="4">
        <f>I620*J620</f>
        <v/>
      </c>
      <c r="L620" t="inlineStr"/>
    </row>
    <row r="621">
      <c r="A621" t="inlineStr">
        <is>
          <t>SR026</t>
        </is>
      </c>
      <c r="B621" t="inlineStr">
        <is>
          <t>営業担当026</t>
        </is>
      </c>
      <c r="C621" t="inlineStr">
        <is>
          <t>第1営業部</t>
        </is>
      </c>
      <c r="D621" s="3" t="n">
        <v>45993</v>
      </c>
      <c r="E621" t="inlineStr">
        <is>
          <t>大和精機(株)</t>
        </is>
      </c>
      <c r="F621" t="inlineStr">
        <is>
          <t>広島県</t>
        </is>
      </c>
      <c r="G621" t="inlineStr">
        <is>
          <t>消耗品</t>
        </is>
      </c>
      <c r="H621" t="inlineStr">
        <is>
          <t>ラベルロール</t>
        </is>
      </c>
      <c r="I621" s="4" t="n">
        <v>9</v>
      </c>
      <c r="J621" s="4" t="n">
        <v>9310</v>
      </c>
      <c r="K621" s="4">
        <f>I621*J621</f>
        <v/>
      </c>
      <c r="L621" t="inlineStr">
        <is>
          <t>キャンペーン適用</t>
        </is>
      </c>
    </row>
    <row r="622">
      <c r="A622" t="inlineStr">
        <is>
          <t>SR026</t>
        </is>
      </c>
      <c r="B622" t="inlineStr">
        <is>
          <t>営業担当026</t>
        </is>
      </c>
      <c r="C622" t="inlineStr">
        <is>
          <t>第1営業部</t>
        </is>
      </c>
      <c r="D622" s="3" t="n">
        <v>46016</v>
      </c>
      <c r="E622" t="inlineStr">
        <is>
          <t>サンライズ建設(株)</t>
        </is>
      </c>
      <c r="F622" t="inlineStr">
        <is>
          <t>北海道</t>
        </is>
      </c>
      <c r="G622" t="inlineStr">
        <is>
          <t>消耗品</t>
        </is>
      </c>
      <c r="H622" t="inlineStr">
        <is>
          <t>保守用バッテリー</t>
        </is>
      </c>
      <c r="I622" s="4" t="n">
        <v>13</v>
      </c>
      <c r="J622" s="4" t="n">
        <v>14950</v>
      </c>
      <c r="K622" s="4">
        <f>I622*J622</f>
        <v/>
      </c>
      <c r="L622" t="inlineStr"/>
    </row>
    <row r="623">
      <c r="A623" t="inlineStr">
        <is>
          <t>SR026</t>
        </is>
      </c>
      <c r="B623" t="inlineStr">
        <is>
          <t>営業担当026</t>
        </is>
      </c>
      <c r="C623" t="inlineStr">
        <is>
          <t>第1営業部</t>
        </is>
      </c>
      <c r="D623" s="3" t="n">
        <v>46035</v>
      </c>
      <c r="E623" t="inlineStr">
        <is>
          <t>ライトホーム(株)</t>
        </is>
      </c>
      <c r="F623" t="inlineStr">
        <is>
          <t>広島県</t>
        </is>
      </c>
      <c r="G623" t="inlineStr">
        <is>
          <t>ハードウェア</t>
        </is>
      </c>
      <c r="H623" t="inlineStr">
        <is>
          <t>小型ハンディ端末</t>
        </is>
      </c>
      <c r="I623" s="4" t="n">
        <v>3</v>
      </c>
      <c r="J623" s="4" t="n">
        <v>88100</v>
      </c>
      <c r="K623" s="4">
        <f>I623*J623</f>
        <v/>
      </c>
      <c r="L623" t="inlineStr">
        <is>
          <t>キャンペーン適用</t>
        </is>
      </c>
    </row>
    <row r="624">
      <c r="A624" t="inlineStr">
        <is>
          <t>SR026</t>
        </is>
      </c>
      <c r="B624" t="inlineStr">
        <is>
          <t>営業担当026</t>
        </is>
      </c>
      <c r="C624" t="inlineStr">
        <is>
          <t>第1営業部</t>
        </is>
      </c>
      <c r="D624" s="3" t="n">
        <v>46050</v>
      </c>
      <c r="E624" t="inlineStr">
        <is>
          <t>西日本機工(株)</t>
        </is>
      </c>
      <c r="F624" t="inlineStr">
        <is>
          <t>大阪府</t>
        </is>
      </c>
      <c r="G624" t="inlineStr">
        <is>
          <t>消耗品</t>
        </is>
      </c>
      <c r="H624" t="inlineStr">
        <is>
          <t>保守用バッテリー</t>
        </is>
      </c>
      <c r="I624" s="4" t="n">
        <v>6</v>
      </c>
      <c r="J624" s="4" t="n">
        <v>5970</v>
      </c>
      <c r="K624" s="4">
        <f>I624*J624</f>
        <v/>
      </c>
      <c r="L624" t="inlineStr"/>
    </row>
    <row r="625">
      <c r="A625" t="inlineStr">
        <is>
          <t>SR026</t>
        </is>
      </c>
      <c r="B625" t="inlineStr">
        <is>
          <t>営業担当026</t>
        </is>
      </c>
      <c r="C625" t="inlineStr">
        <is>
          <t>第1営業部</t>
        </is>
      </c>
      <c r="D625" s="3" t="n">
        <v>46075</v>
      </c>
      <c r="E625" t="inlineStr">
        <is>
          <t>東洋フーズ(株)</t>
        </is>
      </c>
      <c r="F625" t="inlineStr">
        <is>
          <t>兵庫県</t>
        </is>
      </c>
      <c r="G625" t="inlineStr">
        <is>
          <t>ソフトウェア</t>
        </is>
      </c>
      <c r="H625" t="inlineStr">
        <is>
          <t>帳票自動化ツール</t>
        </is>
      </c>
      <c r="I625" s="4" t="n">
        <v>3</v>
      </c>
      <c r="J625" s="4" t="n">
        <v>400900</v>
      </c>
      <c r="K625" s="4">
        <f>I625*J625</f>
        <v/>
      </c>
      <c r="L625" t="inlineStr">
        <is>
          <t>リピート受注</t>
        </is>
      </c>
    </row>
    <row r="626">
      <c r="A626" t="inlineStr">
        <is>
          <t>SR026</t>
        </is>
      </c>
      <c r="B626" t="inlineStr">
        <is>
          <t>営業担当026</t>
        </is>
      </c>
      <c r="C626" t="inlineStr">
        <is>
          <t>第1営業部</t>
        </is>
      </c>
      <c r="D626" s="3" t="n">
        <v>46081</v>
      </c>
      <c r="E626" t="inlineStr">
        <is>
          <t>みらい物流株式会社</t>
        </is>
      </c>
      <c r="F626" t="inlineStr">
        <is>
          <t>福岡県</t>
        </is>
      </c>
      <c r="G626" t="inlineStr">
        <is>
          <t>保守サービス</t>
        </is>
      </c>
      <c r="H626" t="inlineStr">
        <is>
          <t>年間保守契約</t>
        </is>
      </c>
      <c r="I626" s="4" t="n">
        <v>3</v>
      </c>
      <c r="J626" s="4" t="n">
        <v>189700</v>
      </c>
      <c r="K626" s="4">
        <f>I626*J626</f>
        <v/>
      </c>
      <c r="L626" t="inlineStr">
        <is>
          <t>リピート受注</t>
        </is>
      </c>
    </row>
    <row r="627">
      <c r="A627" t="inlineStr">
        <is>
          <t>SR026</t>
        </is>
      </c>
      <c r="B627" t="inlineStr">
        <is>
          <t>営業担当026</t>
        </is>
      </c>
      <c r="C627" t="inlineStr">
        <is>
          <t>第1営業部</t>
        </is>
      </c>
      <c r="D627" s="3" t="n">
        <v>46087</v>
      </c>
      <c r="E627" t="inlineStr">
        <is>
          <t>九州エナジー(株)</t>
        </is>
      </c>
      <c r="F627" t="inlineStr">
        <is>
          <t>愛知県</t>
        </is>
      </c>
      <c r="G627" t="inlineStr">
        <is>
          <t>保守サービス</t>
        </is>
      </c>
      <c r="H627" t="inlineStr">
        <is>
          <t>オンサイト保守</t>
        </is>
      </c>
      <c r="I627" s="4" t="n">
        <v>5</v>
      </c>
      <c r="J627" s="4" t="n">
        <v>110200</v>
      </c>
      <c r="K627" s="4">
        <f>I627*J627</f>
        <v/>
      </c>
      <c r="L627" t="inlineStr">
        <is>
          <t>新規開拓</t>
        </is>
      </c>
    </row>
    <row r="628">
      <c r="A628" t="inlineStr">
        <is>
          <t>SR026</t>
        </is>
      </c>
      <c r="B628" t="inlineStr">
        <is>
          <t>営業担当026</t>
        </is>
      </c>
      <c r="C628" t="inlineStr">
        <is>
          <t>第1営業部</t>
        </is>
      </c>
      <c r="D628" s="3" t="n">
        <v>46104</v>
      </c>
      <c r="E628" t="inlineStr">
        <is>
          <t>未来通信有限会社</t>
        </is>
      </c>
      <c r="F628" t="inlineStr">
        <is>
          <t>宮城県</t>
        </is>
      </c>
      <c r="G628" t="inlineStr">
        <is>
          <t>保守サービス</t>
        </is>
      </c>
      <c r="H628" t="inlineStr">
        <is>
          <t>オンサイト保守</t>
        </is>
      </c>
      <c r="I628" s="4" t="n">
        <v>3</v>
      </c>
      <c r="J628" s="4" t="n">
        <v>160200</v>
      </c>
      <c r="K628" s="4">
        <f>I628*J628</f>
        <v/>
      </c>
      <c r="L628" t="inlineStr">
        <is>
          <t>値引き調整あり</t>
        </is>
      </c>
    </row>
    <row r="629">
      <c r="A629" t="inlineStr">
        <is>
          <t>SR027</t>
        </is>
      </c>
      <c r="B629" t="inlineStr">
        <is>
          <t>営業担当027</t>
        </is>
      </c>
      <c r="C629" t="inlineStr">
        <is>
          <t>第2営業部</t>
        </is>
      </c>
      <c r="D629" s="3" t="n">
        <v>45762</v>
      </c>
      <c r="E629" t="inlineStr">
        <is>
          <t>アーク電機株式会社</t>
        </is>
      </c>
      <c r="F629" t="inlineStr">
        <is>
          <t>福岡県</t>
        </is>
      </c>
      <c r="G629" t="inlineStr">
        <is>
          <t>ソフトウェア</t>
        </is>
      </c>
      <c r="H629" t="inlineStr">
        <is>
          <t>営業支援SaaS</t>
        </is>
      </c>
      <c r="I629" s="4" t="n">
        <v>2</v>
      </c>
      <c r="J629" s="4" t="n">
        <v>223000</v>
      </c>
      <c r="K629" s="4">
        <f>I629*J629</f>
        <v/>
      </c>
      <c r="L629" t="inlineStr"/>
    </row>
    <row r="630">
      <c r="A630" t="inlineStr">
        <is>
          <t>SR027</t>
        </is>
      </c>
      <c r="B630" t="inlineStr">
        <is>
          <t>営業担当027</t>
        </is>
      </c>
      <c r="C630" t="inlineStr">
        <is>
          <t>第2営業部</t>
        </is>
      </c>
      <c r="D630" s="3" t="n">
        <v>45768</v>
      </c>
      <c r="E630" t="inlineStr">
        <is>
          <t>桜井メディカル有限会社</t>
        </is>
      </c>
      <c r="F630" t="inlineStr">
        <is>
          <t>兵庫県</t>
        </is>
      </c>
      <c r="G630" t="inlineStr">
        <is>
          <t>保守サービス</t>
        </is>
      </c>
      <c r="H630" t="inlineStr">
        <is>
          <t>オンサイト保守</t>
        </is>
      </c>
      <c r="I630" s="4" t="n">
        <v>5</v>
      </c>
      <c r="J630" s="4" t="n">
        <v>95000</v>
      </c>
      <c r="K630" s="4">
        <f>I630*J630</f>
        <v/>
      </c>
      <c r="L630" t="inlineStr">
        <is>
          <t>キャンペーン適用</t>
        </is>
      </c>
    </row>
    <row r="631">
      <c r="A631" t="inlineStr">
        <is>
          <t>SR027</t>
        </is>
      </c>
      <c r="B631" t="inlineStr">
        <is>
          <t>営業担当027</t>
        </is>
      </c>
      <c r="C631" t="inlineStr">
        <is>
          <t>第2営業部</t>
        </is>
      </c>
      <c r="D631" s="3" t="n">
        <v>45784</v>
      </c>
      <c r="E631" t="inlineStr">
        <is>
          <t>西日本機工(株)</t>
        </is>
      </c>
      <c r="F631" t="inlineStr">
        <is>
          <t>大阪府</t>
        </is>
      </c>
      <c r="G631" t="inlineStr">
        <is>
          <t>ソフトウェア</t>
        </is>
      </c>
      <c r="H631" t="inlineStr">
        <is>
          <t>在庫管理クラウド</t>
        </is>
      </c>
      <c r="I631" s="4" t="n">
        <v>4</v>
      </c>
      <c r="J631" s="4" t="n">
        <v>404600</v>
      </c>
      <c r="K631" s="4">
        <f>I631*J631</f>
        <v/>
      </c>
      <c r="L631" t="inlineStr"/>
    </row>
    <row r="632">
      <c r="A632" t="inlineStr">
        <is>
          <t>SR027</t>
        </is>
      </c>
      <c r="B632" t="inlineStr">
        <is>
          <t>営業担当027</t>
        </is>
      </c>
      <c r="C632" t="inlineStr">
        <is>
          <t>第2営業部</t>
        </is>
      </c>
      <c r="D632" s="3" t="n">
        <v>45784</v>
      </c>
      <c r="E632" t="inlineStr">
        <is>
          <t>みらい物流株式会社</t>
        </is>
      </c>
      <c r="F632" t="inlineStr">
        <is>
          <t>福岡県</t>
        </is>
      </c>
      <c r="G632" t="inlineStr">
        <is>
          <t>保守サービス</t>
        </is>
      </c>
      <c r="H632" t="inlineStr">
        <is>
          <t>年間保守契約</t>
        </is>
      </c>
      <c r="I632" s="4" t="n">
        <v>4</v>
      </c>
      <c r="J632" s="4" t="n">
        <v>245400</v>
      </c>
      <c r="K632" s="4">
        <f>I632*J632</f>
        <v/>
      </c>
      <c r="L632" t="inlineStr">
        <is>
          <t>リピート受注</t>
        </is>
      </c>
    </row>
    <row r="633">
      <c r="A633" t="inlineStr">
        <is>
          <t>SR027</t>
        </is>
      </c>
      <c r="B633" t="inlineStr">
        <is>
          <t>営業担当027</t>
        </is>
      </c>
      <c r="C633" t="inlineStr">
        <is>
          <t>第2営業部</t>
        </is>
      </c>
      <c r="D633" s="3" t="n">
        <v>45809</v>
      </c>
      <c r="E633" t="inlineStr">
        <is>
          <t>日新サービス有限会社</t>
        </is>
      </c>
      <c r="F633" t="inlineStr">
        <is>
          <t>大阪府</t>
        </is>
      </c>
      <c r="G633" t="inlineStr">
        <is>
          <t>ソフトウェア</t>
        </is>
      </c>
      <c r="H633" t="inlineStr">
        <is>
          <t>帳票自動化ツール</t>
        </is>
      </c>
      <c r="I633" s="4" t="n">
        <v>5</v>
      </c>
      <c r="J633" s="4" t="n">
        <v>213600</v>
      </c>
      <c r="K633" s="4">
        <f>I633*J633</f>
        <v/>
      </c>
      <c r="L633" t="inlineStr"/>
    </row>
    <row r="634">
      <c r="A634" t="inlineStr">
        <is>
          <t>SR027</t>
        </is>
      </c>
      <c r="B634" t="inlineStr">
        <is>
          <t>営業担当027</t>
        </is>
      </c>
      <c r="C634" t="inlineStr">
        <is>
          <t>第2営業部</t>
        </is>
      </c>
      <c r="D634" s="3" t="n">
        <v>45831</v>
      </c>
      <c r="E634" t="inlineStr">
        <is>
          <t>ライトホーム(株)</t>
        </is>
      </c>
      <c r="F634" t="inlineStr">
        <is>
          <t>愛知県</t>
        </is>
      </c>
      <c r="G634" t="inlineStr">
        <is>
          <t>保守サービス</t>
        </is>
      </c>
      <c r="H634" t="inlineStr">
        <is>
          <t>年間保守契約</t>
        </is>
      </c>
      <c r="I634" s="4" t="n">
        <v>2</v>
      </c>
      <c r="J634" s="4" t="n">
        <v>80300</v>
      </c>
      <c r="K634" s="4">
        <f>I634*J634</f>
        <v/>
      </c>
      <c r="L634" t="inlineStr">
        <is>
          <t>値引き調整あり</t>
        </is>
      </c>
    </row>
    <row r="635">
      <c r="A635" t="inlineStr">
        <is>
          <t>SR027</t>
        </is>
      </c>
      <c r="B635" t="inlineStr">
        <is>
          <t>営業担当027</t>
        </is>
      </c>
      <c r="C635" t="inlineStr">
        <is>
          <t>第2営業部</t>
        </is>
      </c>
      <c r="D635" s="3" t="n">
        <v>45839</v>
      </c>
      <c r="E635" t="inlineStr">
        <is>
          <t>西日本機工株式会社</t>
        </is>
      </c>
      <c r="F635" t="inlineStr">
        <is>
          <t>神奈川県</t>
        </is>
      </c>
      <c r="G635" t="inlineStr">
        <is>
          <t>保守サービス</t>
        </is>
      </c>
      <c r="H635" t="inlineStr">
        <is>
          <t>年間保守契約</t>
        </is>
      </c>
      <c r="I635" s="4" t="n">
        <v>4</v>
      </c>
      <c r="J635" s="4" t="n">
        <v>63300</v>
      </c>
      <c r="K635" s="4">
        <f>I635*J635</f>
        <v/>
      </c>
      <c r="L635" t="inlineStr">
        <is>
          <t>大型案件</t>
        </is>
      </c>
    </row>
    <row r="636">
      <c r="A636" t="inlineStr">
        <is>
          <t>SR027</t>
        </is>
      </c>
      <c r="B636" t="inlineStr">
        <is>
          <t>営業担当027</t>
        </is>
      </c>
      <c r="C636" t="inlineStr">
        <is>
          <t>第2営業部</t>
        </is>
      </c>
      <c r="D636" s="3" t="n">
        <v>45859</v>
      </c>
      <c r="E636" t="inlineStr">
        <is>
          <t>日新サービス(株)</t>
        </is>
      </c>
      <c r="F636" t="inlineStr">
        <is>
          <t>愛知県</t>
        </is>
      </c>
      <c r="G636" t="inlineStr">
        <is>
          <t>ハードウェア</t>
        </is>
      </c>
      <c r="H636" t="inlineStr">
        <is>
          <t>ラベルプリンター</t>
        </is>
      </c>
      <c r="I636" s="4" t="n">
        <v>4</v>
      </c>
      <c r="J636" s="4" t="n">
        <v>70000</v>
      </c>
      <c r="K636" s="4">
        <f>I636*J636</f>
        <v/>
      </c>
      <c r="L636" t="inlineStr"/>
    </row>
    <row r="637">
      <c r="A637" t="inlineStr">
        <is>
          <t>SR027</t>
        </is>
      </c>
      <c r="B637" t="inlineStr">
        <is>
          <t>営業担当027</t>
        </is>
      </c>
      <c r="C637" t="inlineStr">
        <is>
          <t>第2営業部</t>
        </is>
      </c>
      <c r="D637" s="3" t="n">
        <v>45872</v>
      </c>
      <c r="E637" t="inlineStr">
        <is>
          <t>グリーンテック株式会社</t>
        </is>
      </c>
      <c r="F637" t="inlineStr">
        <is>
          <t>広島県</t>
        </is>
      </c>
      <c r="G637" t="inlineStr">
        <is>
          <t>ハードウェア</t>
        </is>
      </c>
      <c r="H637" t="inlineStr">
        <is>
          <t>ラベルプリンター</t>
        </is>
      </c>
      <c r="I637" s="4" t="n">
        <v>4</v>
      </c>
      <c r="J637" s="4" t="n">
        <v>53900</v>
      </c>
      <c r="K637" s="4">
        <f>I637*J637</f>
        <v/>
      </c>
      <c r="L637" t="inlineStr">
        <is>
          <t>分納</t>
        </is>
      </c>
    </row>
    <row r="638">
      <c r="A638" t="inlineStr">
        <is>
          <t>SR027</t>
        </is>
      </c>
      <c r="B638" t="inlineStr">
        <is>
          <t>営業担当027</t>
        </is>
      </c>
      <c r="C638" t="inlineStr">
        <is>
          <t>第2営業部</t>
        </is>
      </c>
      <c r="D638" s="3" t="n">
        <v>45874</v>
      </c>
      <c r="E638" t="inlineStr">
        <is>
          <t>大和精機株式会社</t>
        </is>
      </c>
      <c r="F638" t="inlineStr">
        <is>
          <t>東京都</t>
        </is>
      </c>
      <c r="G638" t="inlineStr">
        <is>
          <t>ソフトウェア</t>
        </is>
      </c>
      <c r="H638" t="inlineStr">
        <is>
          <t>帳票自動化ツール</t>
        </is>
      </c>
      <c r="I638" s="4" t="n">
        <v>3</v>
      </c>
      <c r="J638" s="4" t="n">
        <v>345000</v>
      </c>
      <c r="K638" s="4">
        <f>I638*J638</f>
        <v/>
      </c>
      <c r="L638" t="inlineStr">
        <is>
          <t>分納</t>
        </is>
      </c>
    </row>
    <row r="639">
      <c r="A639" t="inlineStr">
        <is>
          <t>SR027</t>
        </is>
      </c>
      <c r="B639" t="inlineStr">
        <is>
          <t>営業担当027</t>
        </is>
      </c>
      <c r="C639" t="inlineStr">
        <is>
          <t>第2営業部</t>
        </is>
      </c>
      <c r="D639" s="3" t="n">
        <v>45912</v>
      </c>
      <c r="E639" t="inlineStr">
        <is>
          <t>白峰化学有限会社</t>
        </is>
      </c>
      <c r="F639" t="inlineStr">
        <is>
          <t>東京都</t>
        </is>
      </c>
      <c r="G639" t="inlineStr">
        <is>
          <t>保守サービス</t>
        </is>
      </c>
      <c r="H639" t="inlineStr">
        <is>
          <t>年間保守契約</t>
        </is>
      </c>
      <c r="I639" s="4" t="n">
        <v>2</v>
      </c>
      <c r="J639" s="4" t="n">
        <v>82900</v>
      </c>
      <c r="K639" s="4">
        <f>I639*J639</f>
        <v/>
      </c>
      <c r="L639" t="inlineStr">
        <is>
          <t>リピート受注</t>
        </is>
      </c>
    </row>
    <row r="640">
      <c r="A640" t="inlineStr">
        <is>
          <t>SR027</t>
        </is>
      </c>
      <c r="B640" t="inlineStr">
        <is>
          <t>営業担当027</t>
        </is>
      </c>
      <c r="C640" t="inlineStr">
        <is>
          <t>第2営業部</t>
        </is>
      </c>
      <c r="D640" s="3" t="n">
        <v>45928</v>
      </c>
      <c r="E640" t="inlineStr">
        <is>
          <t>九州エナジー(株)</t>
        </is>
      </c>
      <c r="F640" t="inlineStr">
        <is>
          <t>京都府</t>
        </is>
      </c>
      <c r="G640" t="inlineStr">
        <is>
          <t>導入支援</t>
        </is>
      </c>
      <c r="H640" t="inlineStr">
        <is>
          <t>初期設定支援</t>
        </is>
      </c>
      <c r="I640" s="4" t="n">
        <v>5</v>
      </c>
      <c r="J640" s="4" t="n">
        <v>86200</v>
      </c>
      <c r="K640" s="4">
        <f>I640*J640</f>
        <v/>
      </c>
      <c r="L640" t="inlineStr">
        <is>
          <t>分納</t>
        </is>
      </c>
    </row>
    <row r="641">
      <c r="A641" t="inlineStr">
        <is>
          <t>SR027</t>
        </is>
      </c>
      <c r="B641" t="inlineStr">
        <is>
          <t>営業担当027</t>
        </is>
      </c>
      <c r="C641" t="inlineStr">
        <is>
          <t>第2営業部</t>
        </is>
      </c>
      <c r="D641" s="3" t="n">
        <v>45951</v>
      </c>
      <c r="E641" t="inlineStr">
        <is>
          <t>星和商会(株)</t>
        </is>
      </c>
      <c r="F641" t="inlineStr">
        <is>
          <t>京都府</t>
        </is>
      </c>
      <c r="G641" t="inlineStr">
        <is>
          <t>消耗品</t>
        </is>
      </c>
      <c r="H641" t="inlineStr">
        <is>
          <t>保守用バッテリー</t>
        </is>
      </c>
      <c r="I641" s="4" t="n">
        <v>15</v>
      </c>
      <c r="J641" s="4" t="n">
        <v>12910</v>
      </c>
      <c r="K641" s="4">
        <f>I641*J641</f>
        <v/>
      </c>
      <c r="L641" t="inlineStr">
        <is>
          <t>分納</t>
        </is>
      </c>
    </row>
    <row r="642">
      <c r="A642" t="inlineStr">
        <is>
          <t>SR027</t>
        </is>
      </c>
      <c r="B642" t="inlineStr">
        <is>
          <t>営業担当027</t>
        </is>
      </c>
      <c r="C642" t="inlineStr">
        <is>
          <t>第2営業部</t>
        </is>
      </c>
      <c r="D642" s="3" t="n">
        <v>45955</v>
      </c>
      <c r="E642" t="inlineStr">
        <is>
          <t>日新サービス株式会社</t>
        </is>
      </c>
      <c r="F642" t="inlineStr">
        <is>
          <t>京都府</t>
        </is>
      </c>
      <c r="G642" t="inlineStr">
        <is>
          <t>導入支援</t>
        </is>
      </c>
      <c r="H642" t="inlineStr">
        <is>
          <t>初期設定支援</t>
        </is>
      </c>
      <c r="I642" s="4" t="n">
        <v>2</v>
      </c>
      <c r="J642" s="4" t="n">
        <v>101200</v>
      </c>
      <c r="K642" s="4">
        <f>I642*J642</f>
        <v/>
      </c>
      <c r="L642" t="inlineStr">
        <is>
          <t>キャンペーン適用</t>
        </is>
      </c>
    </row>
    <row r="643">
      <c r="A643" t="inlineStr">
        <is>
          <t>SR027</t>
        </is>
      </c>
      <c r="B643" t="inlineStr">
        <is>
          <t>営業担当027</t>
        </is>
      </c>
      <c r="C643" t="inlineStr">
        <is>
          <t>第2営業部</t>
        </is>
      </c>
      <c r="D643" s="3" t="n">
        <v>45979</v>
      </c>
      <c r="E643" t="inlineStr">
        <is>
          <t>桜井メディカル株式会社</t>
        </is>
      </c>
      <c r="F643" t="inlineStr">
        <is>
          <t>広島県</t>
        </is>
      </c>
      <c r="G643" t="inlineStr">
        <is>
          <t>保守サービス</t>
        </is>
      </c>
      <c r="H643" t="inlineStr">
        <is>
          <t>オンサイト保守</t>
        </is>
      </c>
      <c r="I643" s="4" t="n">
        <v>4</v>
      </c>
      <c r="J643" s="4" t="n">
        <v>93200</v>
      </c>
      <c r="K643" s="4">
        <f>I643*J643</f>
        <v/>
      </c>
      <c r="L643" t="inlineStr"/>
    </row>
    <row r="644">
      <c r="A644" t="inlineStr">
        <is>
          <t>SR027</t>
        </is>
      </c>
      <c r="B644" t="inlineStr">
        <is>
          <t>営業担当027</t>
        </is>
      </c>
      <c r="C644" t="inlineStr">
        <is>
          <t>第2営業部</t>
        </is>
      </c>
      <c r="D644" s="3" t="n">
        <v>45988</v>
      </c>
      <c r="E644" t="inlineStr">
        <is>
          <t>青葉商事株式会社</t>
        </is>
      </c>
      <c r="F644" t="inlineStr">
        <is>
          <t>愛知県</t>
        </is>
      </c>
      <c r="G644" t="inlineStr">
        <is>
          <t>導入支援</t>
        </is>
      </c>
      <c r="H644" t="inlineStr">
        <is>
          <t>データ移行支援</t>
        </is>
      </c>
      <c r="I644" s="4" t="n">
        <v>2</v>
      </c>
      <c r="J644" s="4" t="n">
        <v>93700</v>
      </c>
      <c r="K644" s="4">
        <f>I644*J644</f>
        <v/>
      </c>
      <c r="L644" t="inlineStr">
        <is>
          <t>大型案件</t>
        </is>
      </c>
    </row>
    <row r="645">
      <c r="A645" t="inlineStr">
        <is>
          <t>SR027</t>
        </is>
      </c>
      <c r="B645" t="inlineStr">
        <is>
          <t>営業担当027</t>
        </is>
      </c>
      <c r="C645" t="inlineStr">
        <is>
          <t>第2営業部</t>
        </is>
      </c>
      <c r="D645" s="3" t="n">
        <v>46001</v>
      </c>
      <c r="E645" t="inlineStr">
        <is>
          <t>青葉商事株式会社</t>
        </is>
      </c>
      <c r="F645" t="inlineStr">
        <is>
          <t>京都府</t>
        </is>
      </c>
      <c r="G645" t="inlineStr">
        <is>
          <t>ハードウェア</t>
        </is>
      </c>
      <c r="H645" t="inlineStr">
        <is>
          <t>ラベルプリンター</t>
        </is>
      </c>
      <c r="I645" s="4" t="n">
        <v>3</v>
      </c>
      <c r="J645" s="4" t="n">
        <v>62000</v>
      </c>
      <c r="K645" s="4">
        <f>I645*J645</f>
        <v/>
      </c>
      <c r="L645" t="inlineStr">
        <is>
          <t>値引き調整あり</t>
        </is>
      </c>
    </row>
    <row r="646">
      <c r="A646" t="inlineStr">
        <is>
          <t>SR027</t>
        </is>
      </c>
      <c r="B646" t="inlineStr">
        <is>
          <t>営業担当027</t>
        </is>
      </c>
      <c r="C646" t="inlineStr">
        <is>
          <t>第2営業部</t>
        </is>
      </c>
      <c r="D646" s="3" t="n">
        <v>46006</v>
      </c>
      <c r="E646" t="inlineStr">
        <is>
          <t>中央設備有限会社</t>
        </is>
      </c>
      <c r="F646" t="inlineStr">
        <is>
          <t>愛知県</t>
        </is>
      </c>
      <c r="G646" t="inlineStr">
        <is>
          <t>導入支援</t>
        </is>
      </c>
      <c r="H646" t="inlineStr">
        <is>
          <t>データ移行支援</t>
        </is>
      </c>
      <c r="I646" s="4" t="n">
        <v>3</v>
      </c>
      <c r="J646" s="4" t="n">
        <v>212300</v>
      </c>
      <c r="K646" s="4">
        <f>I646*J646</f>
        <v/>
      </c>
      <c r="L646" t="inlineStr"/>
    </row>
    <row r="647">
      <c r="A647" t="inlineStr">
        <is>
          <t>SR027</t>
        </is>
      </c>
      <c r="B647" t="inlineStr">
        <is>
          <t>営業担当027</t>
        </is>
      </c>
      <c r="C647" t="inlineStr">
        <is>
          <t>第2営業部</t>
        </is>
      </c>
      <c r="D647" s="3" t="n">
        <v>46023</v>
      </c>
      <c r="E647" t="inlineStr">
        <is>
          <t>ネクストソリューション(株)</t>
        </is>
      </c>
      <c r="F647" t="inlineStr">
        <is>
          <t>神奈川県</t>
        </is>
      </c>
      <c r="G647" t="inlineStr">
        <is>
          <t>ソフトウェア</t>
        </is>
      </c>
      <c r="H647" t="inlineStr">
        <is>
          <t>AIチャットボット</t>
        </is>
      </c>
      <c r="I647" s="4" t="n">
        <v>3</v>
      </c>
      <c r="J647" s="4" t="n">
        <v>739000</v>
      </c>
      <c r="K647" s="4">
        <f>I647*J647</f>
        <v/>
      </c>
      <c r="L647" t="inlineStr">
        <is>
          <t>大型案件</t>
        </is>
      </c>
    </row>
    <row r="648">
      <c r="A648" t="inlineStr">
        <is>
          <t>SR027</t>
        </is>
      </c>
      <c r="B648" t="inlineStr">
        <is>
          <t>営業担当027</t>
        </is>
      </c>
      <c r="C648" t="inlineStr">
        <is>
          <t>第2営業部</t>
        </is>
      </c>
      <c r="D648" s="3" t="n">
        <v>46043</v>
      </c>
      <c r="E648" t="inlineStr">
        <is>
          <t>北斗産業有限会社</t>
        </is>
      </c>
      <c r="F648" t="inlineStr">
        <is>
          <t>京都府</t>
        </is>
      </c>
      <c r="G648" t="inlineStr">
        <is>
          <t>消耗品</t>
        </is>
      </c>
      <c r="H648" t="inlineStr">
        <is>
          <t>ラベルロール</t>
        </is>
      </c>
      <c r="I648" s="4" t="n">
        <v>5</v>
      </c>
      <c r="J648" s="4" t="n">
        <v>12050</v>
      </c>
      <c r="K648" s="4">
        <f>I648*J648</f>
        <v/>
      </c>
      <c r="L648" t="inlineStr">
        <is>
          <t>リピート受注</t>
        </is>
      </c>
    </row>
    <row r="649">
      <c r="A649" t="inlineStr">
        <is>
          <t>SR027</t>
        </is>
      </c>
      <c r="B649" t="inlineStr">
        <is>
          <t>営業担当027</t>
        </is>
      </c>
      <c r="C649" t="inlineStr">
        <is>
          <t>第2営業部</t>
        </is>
      </c>
      <c r="D649" s="3" t="n">
        <v>46060</v>
      </c>
      <c r="E649" t="inlineStr">
        <is>
          <t>福岡流通株式会社</t>
        </is>
      </c>
      <c r="F649" t="inlineStr">
        <is>
          <t>愛知県</t>
        </is>
      </c>
      <c r="G649" t="inlineStr">
        <is>
          <t>ソフトウェア</t>
        </is>
      </c>
      <c r="H649" t="inlineStr">
        <is>
          <t>営業支援SaaS</t>
        </is>
      </c>
      <c r="I649" s="4" t="n">
        <v>4</v>
      </c>
      <c r="J649" s="4" t="n">
        <v>252900</v>
      </c>
      <c r="K649" s="4">
        <f>I649*J649</f>
        <v/>
      </c>
      <c r="L649" t="inlineStr"/>
    </row>
    <row r="650">
      <c r="A650" t="inlineStr">
        <is>
          <t>SR027</t>
        </is>
      </c>
      <c r="B650" t="inlineStr">
        <is>
          <t>営業担当027</t>
        </is>
      </c>
      <c r="C650" t="inlineStr">
        <is>
          <t>第2営業部</t>
        </is>
      </c>
      <c r="D650" s="3" t="n">
        <v>46079</v>
      </c>
      <c r="E650" t="inlineStr">
        <is>
          <t>青葉商事有限会社</t>
        </is>
      </c>
      <c r="F650" t="inlineStr">
        <is>
          <t>北海道</t>
        </is>
      </c>
      <c r="G650" t="inlineStr">
        <is>
          <t>ハードウェア</t>
        </is>
      </c>
      <c r="H650" t="inlineStr">
        <is>
          <t>ネットワークカメラ</t>
        </is>
      </c>
      <c r="I650" s="4" t="n">
        <v>5</v>
      </c>
      <c r="J650" s="4" t="n">
        <v>68700</v>
      </c>
      <c r="K650" s="4">
        <f>I650*J650</f>
        <v/>
      </c>
      <c r="L650" t="inlineStr">
        <is>
          <t>キャンペーン適用</t>
        </is>
      </c>
    </row>
    <row r="651">
      <c r="A651" t="inlineStr">
        <is>
          <t>SR027</t>
        </is>
      </c>
      <c r="B651" t="inlineStr">
        <is>
          <t>営業担当027</t>
        </is>
      </c>
      <c r="C651" t="inlineStr">
        <is>
          <t>第2営業部</t>
        </is>
      </c>
      <c r="D651" s="3" t="n">
        <v>46087</v>
      </c>
      <c r="E651" t="inlineStr">
        <is>
          <t>未来通信有限会社</t>
        </is>
      </c>
      <c r="F651" t="inlineStr">
        <is>
          <t>大阪府</t>
        </is>
      </c>
      <c r="G651" t="inlineStr">
        <is>
          <t>導入支援</t>
        </is>
      </c>
      <c r="H651" t="inlineStr">
        <is>
          <t>初期設定支援</t>
        </is>
      </c>
      <c r="I651" s="4" t="n">
        <v>1</v>
      </c>
      <c r="J651" s="4" t="n">
        <v>58600</v>
      </c>
      <c r="K651" s="4">
        <f>I651*J651</f>
        <v/>
      </c>
      <c r="L651" t="inlineStr">
        <is>
          <t>分納</t>
        </is>
      </c>
    </row>
    <row r="652">
      <c r="A652" t="inlineStr">
        <is>
          <t>SR027</t>
        </is>
      </c>
      <c r="B652" t="inlineStr">
        <is>
          <t>営業担当027</t>
        </is>
      </c>
      <c r="C652" t="inlineStr">
        <is>
          <t>第2営業部</t>
        </is>
      </c>
      <c r="D652" s="3" t="n">
        <v>46089</v>
      </c>
      <c r="E652" t="inlineStr">
        <is>
          <t>西日本機工有限会社</t>
        </is>
      </c>
      <c r="F652" t="inlineStr">
        <is>
          <t>宮城県</t>
        </is>
      </c>
      <c r="G652" t="inlineStr">
        <is>
          <t>導入支援</t>
        </is>
      </c>
      <c r="H652" t="inlineStr">
        <is>
          <t>初期設定支援</t>
        </is>
      </c>
      <c r="I652" s="4" t="n">
        <v>3</v>
      </c>
      <c r="J652" s="4" t="n">
        <v>66200</v>
      </c>
      <c r="K652" s="4">
        <f>I652*J652</f>
        <v/>
      </c>
      <c r="L652" t="inlineStr">
        <is>
          <t>キャンペーン適用</t>
        </is>
      </c>
    </row>
    <row r="653">
      <c r="A653" t="inlineStr">
        <is>
          <t>SR028</t>
        </is>
      </c>
      <c r="B653" t="inlineStr">
        <is>
          <t>営業担当028</t>
        </is>
      </c>
      <c r="C653" t="inlineStr">
        <is>
          <t>第3営業部</t>
        </is>
      </c>
      <c r="D653" s="3" t="n">
        <v>45749</v>
      </c>
      <c r="E653" t="inlineStr">
        <is>
          <t>福岡流通株式会社</t>
        </is>
      </c>
      <c r="F653" t="inlineStr">
        <is>
          <t>兵庫県</t>
        </is>
      </c>
      <c r="G653" t="inlineStr">
        <is>
          <t>ソフトウェア</t>
        </is>
      </c>
      <c r="H653" t="inlineStr">
        <is>
          <t>在庫管理クラウド</t>
        </is>
      </c>
      <c r="I653" s="4" t="n">
        <v>2</v>
      </c>
      <c r="J653" s="4" t="n">
        <v>448500</v>
      </c>
      <c r="K653" s="4">
        <f>I653*J653</f>
        <v/>
      </c>
      <c r="L653" t="inlineStr">
        <is>
          <t>分納</t>
        </is>
      </c>
    </row>
    <row r="654">
      <c r="A654" t="inlineStr">
        <is>
          <t>SR028</t>
        </is>
      </c>
      <c r="B654" t="inlineStr">
        <is>
          <t>営業担当028</t>
        </is>
      </c>
      <c r="C654" t="inlineStr">
        <is>
          <t>第3営業部</t>
        </is>
      </c>
      <c r="D654" s="3" t="n">
        <v>45770</v>
      </c>
      <c r="E654" t="inlineStr">
        <is>
          <t>ライトホーム株式会社</t>
        </is>
      </c>
      <c r="F654" t="inlineStr">
        <is>
          <t>北海道</t>
        </is>
      </c>
      <c r="G654" t="inlineStr">
        <is>
          <t>ソフトウェア</t>
        </is>
      </c>
      <c r="H654" t="inlineStr">
        <is>
          <t>営業支援SaaS</t>
        </is>
      </c>
      <c r="I654" s="4" t="n">
        <v>2</v>
      </c>
      <c r="J654" s="4" t="n">
        <v>324700</v>
      </c>
      <c r="K654" s="4">
        <f>I654*J654</f>
        <v/>
      </c>
      <c r="L654" t="inlineStr"/>
    </row>
    <row r="655">
      <c r="A655" t="inlineStr">
        <is>
          <t>SR028</t>
        </is>
      </c>
      <c r="B655" t="inlineStr">
        <is>
          <t>営業担当028</t>
        </is>
      </c>
      <c r="C655" t="inlineStr">
        <is>
          <t>第3営業部</t>
        </is>
      </c>
      <c r="D655" s="3" t="n">
        <v>45799</v>
      </c>
      <c r="E655" t="inlineStr">
        <is>
          <t>ライトホーム(株)</t>
        </is>
      </c>
      <c r="F655" t="inlineStr">
        <is>
          <t>東京都</t>
        </is>
      </c>
      <c r="G655" t="inlineStr">
        <is>
          <t>ソフトウェア</t>
        </is>
      </c>
      <c r="H655" t="inlineStr">
        <is>
          <t>帳票自動化ツール</t>
        </is>
      </c>
      <c r="I655" s="4" t="n">
        <v>2</v>
      </c>
      <c r="J655" s="4" t="n">
        <v>369600</v>
      </c>
      <c r="K655" s="4">
        <f>I655*J655</f>
        <v/>
      </c>
      <c r="L655" t="inlineStr"/>
    </row>
    <row r="656">
      <c r="A656" t="inlineStr">
        <is>
          <t>SR028</t>
        </is>
      </c>
      <c r="B656" t="inlineStr">
        <is>
          <t>営業担当028</t>
        </is>
      </c>
      <c r="C656" t="inlineStr">
        <is>
          <t>第3営業部</t>
        </is>
      </c>
      <c r="D656" s="3" t="n">
        <v>45804</v>
      </c>
      <c r="E656" t="inlineStr">
        <is>
          <t>みらい物流(株)</t>
        </is>
      </c>
      <c r="F656" t="inlineStr">
        <is>
          <t>東京都</t>
        </is>
      </c>
      <c r="G656" t="inlineStr">
        <is>
          <t>保守サービス</t>
        </is>
      </c>
      <c r="H656" t="inlineStr">
        <is>
          <t>ヘルプデスク契約</t>
        </is>
      </c>
      <c r="I656" s="4" t="n">
        <v>4</v>
      </c>
      <c r="J656" s="4" t="n">
        <v>73700</v>
      </c>
      <c r="K656" s="4">
        <f>I656*J656</f>
        <v/>
      </c>
      <c r="L656" t="inlineStr"/>
    </row>
    <row r="657">
      <c r="A657" t="inlineStr">
        <is>
          <t>SR028</t>
        </is>
      </c>
      <c r="B657" t="inlineStr">
        <is>
          <t>営業担当028</t>
        </is>
      </c>
      <c r="C657" t="inlineStr">
        <is>
          <t>第3営業部</t>
        </is>
      </c>
      <c r="D657" s="3" t="n">
        <v>45813</v>
      </c>
      <c r="E657" t="inlineStr">
        <is>
          <t>ネクストソリューション株式会社</t>
        </is>
      </c>
      <c r="F657" t="inlineStr">
        <is>
          <t>北海道</t>
        </is>
      </c>
      <c r="G657" t="inlineStr">
        <is>
          <t>消耗品</t>
        </is>
      </c>
      <c r="H657" t="inlineStr">
        <is>
          <t>交換用ヘッド</t>
        </is>
      </c>
      <c r="I657" s="4" t="n">
        <v>13</v>
      </c>
      <c r="J657" s="4" t="n">
        <v>26220</v>
      </c>
      <c r="K657" s="4">
        <f>I657*J657</f>
        <v/>
      </c>
      <c r="L657" t="inlineStr">
        <is>
          <t>分納</t>
        </is>
      </c>
    </row>
    <row r="658">
      <c r="A658" t="inlineStr">
        <is>
          <t>SR028</t>
        </is>
      </c>
      <c r="B658" t="inlineStr">
        <is>
          <t>営業担当028</t>
        </is>
      </c>
      <c r="C658" t="inlineStr">
        <is>
          <t>第3営業部</t>
        </is>
      </c>
      <c r="D658" s="3" t="n">
        <v>45835</v>
      </c>
      <c r="E658" t="inlineStr">
        <is>
          <t>ライトホーム(株)</t>
        </is>
      </c>
      <c r="F658" t="inlineStr">
        <is>
          <t>京都府</t>
        </is>
      </c>
      <c r="G658" t="inlineStr">
        <is>
          <t>ソフトウェア</t>
        </is>
      </c>
      <c r="H658" t="inlineStr">
        <is>
          <t>在庫管理クラウド</t>
        </is>
      </c>
      <c r="I658" s="4" t="n">
        <v>3</v>
      </c>
      <c r="J658" s="4" t="n">
        <v>211900</v>
      </c>
      <c r="K658" s="4">
        <f>I658*J658</f>
        <v/>
      </c>
      <c r="L658" t="inlineStr">
        <is>
          <t>大型案件</t>
        </is>
      </c>
    </row>
    <row r="659">
      <c r="A659" t="inlineStr">
        <is>
          <t>SR028</t>
        </is>
      </c>
      <c r="B659" t="inlineStr">
        <is>
          <t>営業担当028</t>
        </is>
      </c>
      <c r="C659" t="inlineStr">
        <is>
          <t>第3営業部</t>
        </is>
      </c>
      <c r="D659" s="3" t="n">
        <v>45855</v>
      </c>
      <c r="E659" t="inlineStr">
        <is>
          <t>中央設備株式会社</t>
        </is>
      </c>
      <c r="F659" t="inlineStr">
        <is>
          <t>愛知県</t>
        </is>
      </c>
      <c r="G659" t="inlineStr">
        <is>
          <t>消耗品</t>
        </is>
      </c>
      <c r="H659" t="inlineStr">
        <is>
          <t>保守用バッテリー</t>
        </is>
      </c>
      <c r="I659" s="4" t="n">
        <v>4</v>
      </c>
      <c r="J659" s="4" t="n">
        <v>9750</v>
      </c>
      <c r="K659" s="4">
        <f>I659*J659</f>
        <v/>
      </c>
      <c r="L659" t="inlineStr">
        <is>
          <t>値引き調整あり</t>
        </is>
      </c>
    </row>
    <row r="660">
      <c r="A660" t="inlineStr">
        <is>
          <t>SR028</t>
        </is>
      </c>
      <c r="B660" t="inlineStr">
        <is>
          <t>営業担当028</t>
        </is>
      </c>
      <c r="C660" t="inlineStr">
        <is>
          <t>第3営業部</t>
        </is>
      </c>
      <c r="D660" s="3" t="n">
        <v>45862</v>
      </c>
      <c r="E660" t="inlineStr">
        <is>
          <t>東洋フーズ株式会社</t>
        </is>
      </c>
      <c r="F660" t="inlineStr">
        <is>
          <t>宮城県</t>
        </is>
      </c>
      <c r="G660" t="inlineStr">
        <is>
          <t>保守サービス</t>
        </is>
      </c>
      <c r="H660" t="inlineStr">
        <is>
          <t>ヘルプデスク契約</t>
        </is>
      </c>
      <c r="I660" s="4" t="n">
        <v>2</v>
      </c>
      <c r="J660" s="4" t="n">
        <v>61600</v>
      </c>
      <c r="K660" s="4">
        <f>I660*J660</f>
        <v/>
      </c>
      <c r="L660" t="inlineStr"/>
    </row>
    <row r="661">
      <c r="A661" t="inlineStr">
        <is>
          <t>SR028</t>
        </is>
      </c>
      <c r="B661" t="inlineStr">
        <is>
          <t>営業担当028</t>
        </is>
      </c>
      <c r="C661" t="inlineStr">
        <is>
          <t>第3営業部</t>
        </is>
      </c>
      <c r="D661" s="3" t="n">
        <v>45885</v>
      </c>
      <c r="E661" t="inlineStr">
        <is>
          <t>白峰化学有限会社</t>
        </is>
      </c>
      <c r="F661" t="inlineStr">
        <is>
          <t>神奈川県</t>
        </is>
      </c>
      <c r="G661" t="inlineStr">
        <is>
          <t>消耗品</t>
        </is>
      </c>
      <c r="H661" t="inlineStr">
        <is>
          <t>交換用ヘッド</t>
        </is>
      </c>
      <c r="I661" s="4" t="n">
        <v>8</v>
      </c>
      <c r="J661" s="4" t="n">
        <v>19770</v>
      </c>
      <c r="K661" s="4">
        <f>I661*J661</f>
        <v/>
      </c>
      <c r="L661" t="inlineStr"/>
    </row>
    <row r="662">
      <c r="A662" t="inlineStr">
        <is>
          <t>SR028</t>
        </is>
      </c>
      <c r="B662" t="inlineStr">
        <is>
          <t>営業担当028</t>
        </is>
      </c>
      <c r="C662" t="inlineStr">
        <is>
          <t>第3営業部</t>
        </is>
      </c>
      <c r="D662" s="3" t="n">
        <v>45891</v>
      </c>
      <c r="E662" t="inlineStr">
        <is>
          <t>桜井メディカル有限会社</t>
        </is>
      </c>
      <c r="F662" t="inlineStr">
        <is>
          <t>福岡県</t>
        </is>
      </c>
      <c r="G662" t="inlineStr">
        <is>
          <t>消耗品</t>
        </is>
      </c>
      <c r="H662" t="inlineStr">
        <is>
          <t>交換用ヘッド</t>
        </is>
      </c>
      <c r="I662" s="4" t="n">
        <v>9</v>
      </c>
      <c r="J662" s="4" t="n">
        <v>29000</v>
      </c>
      <c r="K662" s="4">
        <f>I662*J662</f>
        <v/>
      </c>
      <c r="L662" t="inlineStr"/>
    </row>
    <row r="663">
      <c r="A663" t="inlineStr">
        <is>
          <t>SR028</t>
        </is>
      </c>
      <c r="B663" t="inlineStr">
        <is>
          <t>営業担当028</t>
        </is>
      </c>
      <c r="C663" t="inlineStr">
        <is>
          <t>第3営業部</t>
        </is>
      </c>
      <c r="D663" s="3" t="n">
        <v>45918</v>
      </c>
      <c r="E663" t="inlineStr">
        <is>
          <t>福岡流通(株)</t>
        </is>
      </c>
      <c r="F663" t="inlineStr">
        <is>
          <t>広島県</t>
        </is>
      </c>
      <c r="G663" t="inlineStr">
        <is>
          <t>保守サービス</t>
        </is>
      </c>
      <c r="H663" t="inlineStr">
        <is>
          <t>ヘルプデスク契約</t>
        </is>
      </c>
      <c r="I663" s="4" t="n">
        <v>5</v>
      </c>
      <c r="J663" s="4" t="n">
        <v>52400</v>
      </c>
      <c r="K663" s="4">
        <f>I663*J663</f>
        <v/>
      </c>
      <c r="L663" t="inlineStr"/>
    </row>
    <row r="664">
      <c r="A664" t="inlineStr">
        <is>
          <t>SR028</t>
        </is>
      </c>
      <c r="B664" t="inlineStr">
        <is>
          <t>営業担当028</t>
        </is>
      </c>
      <c r="C664" t="inlineStr">
        <is>
          <t>第3営業部</t>
        </is>
      </c>
      <c r="D664" s="3" t="n">
        <v>45925</v>
      </c>
      <c r="E664" t="inlineStr">
        <is>
          <t>星和商会(株)</t>
        </is>
      </c>
      <c r="F664" t="inlineStr">
        <is>
          <t>広島県</t>
        </is>
      </c>
      <c r="G664" t="inlineStr">
        <is>
          <t>導入支援</t>
        </is>
      </c>
      <c r="H664" t="inlineStr">
        <is>
          <t>初期設定支援</t>
        </is>
      </c>
      <c r="I664" s="4" t="n">
        <v>2</v>
      </c>
      <c r="J664" s="4" t="n">
        <v>212200</v>
      </c>
      <c r="K664" s="4">
        <f>I664*J664</f>
        <v/>
      </c>
      <c r="L664" t="inlineStr"/>
    </row>
    <row r="665">
      <c r="A665" t="inlineStr">
        <is>
          <t>SR028</t>
        </is>
      </c>
      <c r="B665" t="inlineStr">
        <is>
          <t>営業担当028</t>
        </is>
      </c>
      <c r="C665" t="inlineStr">
        <is>
          <t>第3営業部</t>
        </is>
      </c>
      <c r="D665" s="3" t="n">
        <v>45947</v>
      </c>
      <c r="E665" t="inlineStr">
        <is>
          <t>グリーンテック(株)</t>
        </is>
      </c>
      <c r="F665" t="inlineStr">
        <is>
          <t>神奈川県</t>
        </is>
      </c>
      <c r="G665" t="inlineStr">
        <is>
          <t>保守サービス</t>
        </is>
      </c>
      <c r="H665" t="inlineStr">
        <is>
          <t>ヘルプデスク契約</t>
        </is>
      </c>
      <c r="I665" s="4" t="n">
        <v>3</v>
      </c>
      <c r="J665" s="4" t="n">
        <v>82400</v>
      </c>
      <c r="K665" s="4">
        <f>I665*J665</f>
        <v/>
      </c>
      <c r="L665" t="inlineStr"/>
    </row>
    <row r="666">
      <c r="A666" t="inlineStr">
        <is>
          <t>SR028</t>
        </is>
      </c>
      <c r="B666" t="inlineStr">
        <is>
          <t>営業担当028</t>
        </is>
      </c>
      <c r="C666" t="inlineStr">
        <is>
          <t>第3営業部</t>
        </is>
      </c>
      <c r="D666" s="3" t="n">
        <v>45948</v>
      </c>
      <c r="E666" t="inlineStr">
        <is>
          <t>日新サービス有限会社</t>
        </is>
      </c>
      <c r="F666" t="inlineStr">
        <is>
          <t>北海道</t>
        </is>
      </c>
      <c r="G666" t="inlineStr">
        <is>
          <t>ハードウェア</t>
        </is>
      </c>
      <c r="H666" t="inlineStr">
        <is>
          <t>ネットワークカメラ</t>
        </is>
      </c>
      <c r="I666" s="4" t="n">
        <v>3</v>
      </c>
      <c r="J666" s="4" t="n">
        <v>56200</v>
      </c>
      <c r="K666" s="4">
        <f>I666*J666</f>
        <v/>
      </c>
      <c r="L666" t="inlineStr">
        <is>
          <t>値引き調整あり</t>
        </is>
      </c>
    </row>
    <row r="667">
      <c r="A667" t="inlineStr">
        <is>
          <t>SR028</t>
        </is>
      </c>
      <c r="B667" t="inlineStr">
        <is>
          <t>営業担当028</t>
        </is>
      </c>
      <c r="C667" t="inlineStr">
        <is>
          <t>第3営業部</t>
        </is>
      </c>
      <c r="D667" s="3" t="n">
        <v>45972</v>
      </c>
      <c r="E667" t="inlineStr">
        <is>
          <t>福岡流通(株)</t>
        </is>
      </c>
      <c r="F667" t="inlineStr">
        <is>
          <t>宮城県</t>
        </is>
      </c>
      <c r="G667" t="inlineStr">
        <is>
          <t>保守サービス</t>
        </is>
      </c>
      <c r="H667" t="inlineStr">
        <is>
          <t>ヘルプデスク契約</t>
        </is>
      </c>
      <c r="I667" s="4" t="n">
        <v>2</v>
      </c>
      <c r="J667" s="4" t="n">
        <v>93600</v>
      </c>
      <c r="K667" s="4">
        <f>I667*J667</f>
        <v/>
      </c>
      <c r="L667" t="inlineStr">
        <is>
          <t>値引き調整あり</t>
        </is>
      </c>
    </row>
    <row r="668">
      <c r="A668" t="inlineStr">
        <is>
          <t>SR028</t>
        </is>
      </c>
      <c r="B668" t="inlineStr">
        <is>
          <t>営業担当028</t>
        </is>
      </c>
      <c r="C668" t="inlineStr">
        <is>
          <t>第3営業部</t>
        </is>
      </c>
      <c r="D668" s="3" t="n">
        <v>45986</v>
      </c>
      <c r="E668" t="inlineStr">
        <is>
          <t>大和精機(株)</t>
        </is>
      </c>
      <c r="F668" t="inlineStr">
        <is>
          <t>福岡県</t>
        </is>
      </c>
      <c r="G668" t="inlineStr">
        <is>
          <t>ソフトウェア</t>
        </is>
      </c>
      <c r="H668" t="inlineStr">
        <is>
          <t>帳票自動化ツール</t>
        </is>
      </c>
      <c r="I668" s="4" t="n">
        <v>5</v>
      </c>
      <c r="J668" s="4" t="n">
        <v>247800</v>
      </c>
      <c r="K668" s="4">
        <f>I668*J668</f>
        <v/>
      </c>
      <c r="L668" t="inlineStr">
        <is>
          <t>新規開拓</t>
        </is>
      </c>
    </row>
    <row r="669">
      <c r="A669" t="inlineStr">
        <is>
          <t>SR028</t>
        </is>
      </c>
      <c r="B669" t="inlineStr">
        <is>
          <t>営業担当028</t>
        </is>
      </c>
      <c r="C669" t="inlineStr">
        <is>
          <t>第3営業部</t>
        </is>
      </c>
      <c r="D669" s="3" t="n">
        <v>45998</v>
      </c>
      <c r="E669" t="inlineStr">
        <is>
          <t>日新サービス有限会社</t>
        </is>
      </c>
      <c r="F669" t="inlineStr">
        <is>
          <t>神奈川県</t>
        </is>
      </c>
      <c r="G669" t="inlineStr">
        <is>
          <t>保守サービス</t>
        </is>
      </c>
      <c r="H669" t="inlineStr">
        <is>
          <t>オンサイト保守</t>
        </is>
      </c>
      <c r="I669" s="4" t="n">
        <v>4</v>
      </c>
      <c r="J669" s="4" t="n">
        <v>121300</v>
      </c>
      <c r="K669" s="4">
        <f>I669*J669</f>
        <v/>
      </c>
      <c r="L669" t="inlineStr"/>
    </row>
    <row r="670">
      <c r="A670" t="inlineStr">
        <is>
          <t>SR028</t>
        </is>
      </c>
      <c r="B670" t="inlineStr">
        <is>
          <t>営業担当028</t>
        </is>
      </c>
      <c r="C670" t="inlineStr">
        <is>
          <t>第3営業部</t>
        </is>
      </c>
      <c r="D670" s="3" t="n">
        <v>46015</v>
      </c>
      <c r="E670" t="inlineStr">
        <is>
          <t>みらい物流有限会社</t>
        </is>
      </c>
      <c r="F670" t="inlineStr">
        <is>
          <t>京都府</t>
        </is>
      </c>
      <c r="G670" t="inlineStr">
        <is>
          <t>導入支援</t>
        </is>
      </c>
      <c r="H670" t="inlineStr">
        <is>
          <t>初期設定支援</t>
        </is>
      </c>
      <c r="I670" s="4" t="n">
        <v>5</v>
      </c>
      <c r="J670" s="4" t="n">
        <v>189900</v>
      </c>
      <c r="K670" s="4">
        <f>I670*J670</f>
        <v/>
      </c>
      <c r="L670" t="inlineStr">
        <is>
          <t>分納</t>
        </is>
      </c>
    </row>
    <row r="671">
      <c r="A671" t="inlineStr">
        <is>
          <t>SR028</t>
        </is>
      </c>
      <c r="B671" t="inlineStr">
        <is>
          <t>営業担当028</t>
        </is>
      </c>
      <c r="C671" t="inlineStr">
        <is>
          <t>第3営業部</t>
        </is>
      </c>
      <c r="D671" s="3" t="n">
        <v>46046</v>
      </c>
      <c r="E671" t="inlineStr">
        <is>
          <t>北斗産業(株)</t>
        </is>
      </c>
      <c r="F671" t="inlineStr">
        <is>
          <t>兵庫県</t>
        </is>
      </c>
      <c r="G671" t="inlineStr">
        <is>
          <t>ソフトウェア</t>
        </is>
      </c>
      <c r="H671" t="inlineStr">
        <is>
          <t>営業支援SaaS</t>
        </is>
      </c>
      <c r="I671" s="4" t="n">
        <v>3</v>
      </c>
      <c r="J671" s="4" t="n">
        <v>122600</v>
      </c>
      <c r="K671" s="4">
        <f>I671*J671</f>
        <v/>
      </c>
      <c r="L671" t="inlineStr">
        <is>
          <t>リピート受注</t>
        </is>
      </c>
    </row>
    <row r="672">
      <c r="A672" t="inlineStr">
        <is>
          <t>SR028</t>
        </is>
      </c>
      <c r="B672" t="inlineStr">
        <is>
          <t>営業担当028</t>
        </is>
      </c>
      <c r="C672" t="inlineStr">
        <is>
          <t>第3営業部</t>
        </is>
      </c>
      <c r="D672" s="3" t="n">
        <v>46047</v>
      </c>
      <c r="E672" t="inlineStr">
        <is>
          <t>九州エナジー株式会社</t>
        </is>
      </c>
      <c r="F672" t="inlineStr">
        <is>
          <t>兵庫県</t>
        </is>
      </c>
      <c r="G672" t="inlineStr">
        <is>
          <t>保守サービス</t>
        </is>
      </c>
      <c r="H672" t="inlineStr">
        <is>
          <t>オンサイト保守</t>
        </is>
      </c>
      <c r="I672" s="4" t="n">
        <v>4</v>
      </c>
      <c r="J672" s="4" t="n">
        <v>171200</v>
      </c>
      <c r="K672" s="4">
        <f>I672*J672</f>
        <v/>
      </c>
      <c r="L672" t="inlineStr">
        <is>
          <t>新規開拓</t>
        </is>
      </c>
    </row>
    <row r="673">
      <c r="A673" t="inlineStr">
        <is>
          <t>SR028</t>
        </is>
      </c>
      <c r="B673" t="inlineStr">
        <is>
          <t>営業担当028</t>
        </is>
      </c>
      <c r="C673" t="inlineStr">
        <is>
          <t>第3営業部</t>
        </is>
      </c>
      <c r="D673" s="3" t="n">
        <v>46057</v>
      </c>
      <c r="E673" t="inlineStr">
        <is>
          <t>中央設備有限会社</t>
        </is>
      </c>
      <c r="F673" t="inlineStr">
        <is>
          <t>大阪府</t>
        </is>
      </c>
      <c r="G673" t="inlineStr">
        <is>
          <t>ソフトウェア</t>
        </is>
      </c>
      <c r="H673" t="inlineStr">
        <is>
          <t>営業支援SaaS</t>
        </is>
      </c>
      <c r="I673" s="4" t="n">
        <v>2</v>
      </c>
      <c r="J673" s="4" t="n">
        <v>132800</v>
      </c>
      <c r="K673" s="4">
        <f>I673*J673</f>
        <v/>
      </c>
      <c r="L673" t="inlineStr">
        <is>
          <t>大型案件</t>
        </is>
      </c>
    </row>
    <row r="674">
      <c r="A674" t="inlineStr">
        <is>
          <t>SR028</t>
        </is>
      </c>
      <c r="B674" t="inlineStr">
        <is>
          <t>営業担当028</t>
        </is>
      </c>
      <c r="C674" t="inlineStr">
        <is>
          <t>第3営業部</t>
        </is>
      </c>
      <c r="D674" s="3" t="n">
        <v>46061</v>
      </c>
      <c r="E674" t="inlineStr">
        <is>
          <t>東洋フーズ(株)</t>
        </is>
      </c>
      <c r="F674" t="inlineStr">
        <is>
          <t>東京都</t>
        </is>
      </c>
      <c r="G674" t="inlineStr">
        <is>
          <t>保守サービス</t>
        </is>
      </c>
      <c r="H674" t="inlineStr">
        <is>
          <t>ヘルプデスク契約</t>
        </is>
      </c>
      <c r="I674" s="4" t="n">
        <v>5</v>
      </c>
      <c r="J674" s="4" t="n">
        <v>92900</v>
      </c>
      <c r="K674" s="4">
        <f>I674*J674</f>
        <v/>
      </c>
      <c r="L674" t="inlineStr"/>
    </row>
    <row r="675">
      <c r="A675" t="inlineStr">
        <is>
          <t>SR028</t>
        </is>
      </c>
      <c r="B675" t="inlineStr">
        <is>
          <t>営業担当028</t>
        </is>
      </c>
      <c r="C675" t="inlineStr">
        <is>
          <t>第3営業部</t>
        </is>
      </c>
      <c r="D675" s="3" t="n">
        <v>46085</v>
      </c>
      <c r="E675" t="inlineStr">
        <is>
          <t>ネクストソリューション株式会社</t>
        </is>
      </c>
      <c r="F675" t="inlineStr">
        <is>
          <t>大阪府</t>
        </is>
      </c>
      <c r="G675" t="inlineStr">
        <is>
          <t>ソフトウェア</t>
        </is>
      </c>
      <c r="H675" t="inlineStr">
        <is>
          <t>AIチャットボット</t>
        </is>
      </c>
      <c r="I675" s="4" t="n">
        <v>4</v>
      </c>
      <c r="J675" s="4" t="n">
        <v>680700</v>
      </c>
      <c r="K675" s="4">
        <f>I675*J675</f>
        <v/>
      </c>
      <c r="L675" t="inlineStr">
        <is>
          <t>リピート受注</t>
        </is>
      </c>
    </row>
    <row r="676">
      <c r="A676" t="inlineStr">
        <is>
          <t>SR028</t>
        </is>
      </c>
      <c r="B676" t="inlineStr">
        <is>
          <t>営業担当028</t>
        </is>
      </c>
      <c r="C676" t="inlineStr">
        <is>
          <t>第3営業部</t>
        </is>
      </c>
      <c r="D676" s="3" t="n">
        <v>46085</v>
      </c>
      <c r="E676" t="inlineStr">
        <is>
          <t>北斗産業(株)</t>
        </is>
      </c>
      <c r="F676" t="inlineStr">
        <is>
          <t>北海道</t>
        </is>
      </c>
      <c r="G676" t="inlineStr">
        <is>
          <t>ハードウェア</t>
        </is>
      </c>
      <c r="H676" t="inlineStr">
        <is>
          <t>小型ハンディ端末</t>
        </is>
      </c>
      <c r="I676" s="4" t="n">
        <v>3</v>
      </c>
      <c r="J676" s="4" t="n">
        <v>82500</v>
      </c>
      <c r="K676" s="4">
        <f>I676*J676</f>
        <v/>
      </c>
      <c r="L676" t="inlineStr">
        <is>
          <t>大型案件</t>
        </is>
      </c>
    </row>
    <row r="677">
      <c r="A677" t="inlineStr">
        <is>
          <t>SR029</t>
        </is>
      </c>
      <c r="B677" t="inlineStr">
        <is>
          <t>営業担当029</t>
        </is>
      </c>
      <c r="C677" t="inlineStr">
        <is>
          <t>パートナー営業部</t>
        </is>
      </c>
      <c r="D677" s="3" t="n">
        <v>45755</v>
      </c>
      <c r="E677" t="inlineStr">
        <is>
          <t>未来通信(株)</t>
        </is>
      </c>
      <c r="F677" t="inlineStr">
        <is>
          <t>大阪府</t>
        </is>
      </c>
      <c r="G677" t="inlineStr">
        <is>
          <t>消耗品</t>
        </is>
      </c>
      <c r="H677" t="inlineStr">
        <is>
          <t>保守用バッテリー</t>
        </is>
      </c>
      <c r="I677" s="4" t="n">
        <v>10</v>
      </c>
      <c r="J677" s="4" t="n">
        <v>10250</v>
      </c>
      <c r="K677" s="4">
        <f>I677*J677</f>
        <v/>
      </c>
      <c r="L677" t="inlineStr"/>
    </row>
    <row r="678">
      <c r="A678" t="inlineStr">
        <is>
          <t>SR029</t>
        </is>
      </c>
      <c r="B678" t="inlineStr">
        <is>
          <t>営業担当029</t>
        </is>
      </c>
      <c r="C678" t="inlineStr">
        <is>
          <t>パートナー営業部</t>
        </is>
      </c>
      <c r="D678" s="3" t="n">
        <v>45762</v>
      </c>
      <c r="E678" t="inlineStr">
        <is>
          <t>北斗産業株式会社</t>
        </is>
      </c>
      <c r="F678" t="inlineStr">
        <is>
          <t>愛知県</t>
        </is>
      </c>
      <c r="G678" t="inlineStr">
        <is>
          <t>保守サービス</t>
        </is>
      </c>
      <c r="H678" t="inlineStr">
        <is>
          <t>年間保守契約</t>
        </is>
      </c>
      <c r="I678" s="4" t="n">
        <v>1</v>
      </c>
      <c r="J678" s="4" t="n">
        <v>106000</v>
      </c>
      <c r="K678" s="4">
        <f>I678*J678</f>
        <v/>
      </c>
      <c r="L678" t="inlineStr"/>
    </row>
    <row r="679">
      <c r="A679" t="inlineStr">
        <is>
          <t>SR029</t>
        </is>
      </c>
      <c r="B679" t="inlineStr">
        <is>
          <t>営業担当029</t>
        </is>
      </c>
      <c r="C679" t="inlineStr">
        <is>
          <t>パートナー営業部</t>
        </is>
      </c>
      <c r="D679" s="3" t="n">
        <v>45785</v>
      </c>
      <c r="E679" t="inlineStr">
        <is>
          <t>ライトホーム株式会社</t>
        </is>
      </c>
      <c r="F679" t="inlineStr">
        <is>
          <t>神奈川県</t>
        </is>
      </c>
      <c r="G679" t="inlineStr">
        <is>
          <t>ソフトウェア</t>
        </is>
      </c>
      <c r="H679" t="inlineStr">
        <is>
          <t>帳票自動化ツール</t>
        </is>
      </c>
      <c r="I679" s="4" t="n">
        <v>1</v>
      </c>
      <c r="J679" s="4" t="n">
        <v>274900</v>
      </c>
      <c r="K679" s="4">
        <f>I679*J679</f>
        <v/>
      </c>
      <c r="L679" t="inlineStr">
        <is>
          <t>分納</t>
        </is>
      </c>
    </row>
    <row r="680">
      <c r="A680" t="inlineStr">
        <is>
          <t>SR029</t>
        </is>
      </c>
      <c r="B680" t="inlineStr">
        <is>
          <t>営業担当029</t>
        </is>
      </c>
      <c r="C680" t="inlineStr">
        <is>
          <t>パートナー営業部</t>
        </is>
      </c>
      <c r="D680" s="3" t="n">
        <v>45801</v>
      </c>
      <c r="E680" t="inlineStr">
        <is>
          <t>オーシャン製作所(株)</t>
        </is>
      </c>
      <c r="F680" t="inlineStr">
        <is>
          <t>福岡県</t>
        </is>
      </c>
      <c r="G680" t="inlineStr">
        <is>
          <t>導入支援</t>
        </is>
      </c>
      <c r="H680" t="inlineStr">
        <is>
          <t>操作研修パック</t>
        </is>
      </c>
      <c r="I680" s="4" t="n">
        <v>5</v>
      </c>
      <c r="J680" s="4" t="n">
        <v>49500</v>
      </c>
      <c r="K680" s="4">
        <f>I680*J680</f>
        <v/>
      </c>
      <c r="L680" t="inlineStr">
        <is>
          <t>リピート受注</t>
        </is>
      </c>
    </row>
    <row r="681">
      <c r="A681" t="inlineStr">
        <is>
          <t>SR029</t>
        </is>
      </c>
      <c r="B681" t="inlineStr">
        <is>
          <t>営業担当029</t>
        </is>
      </c>
      <c r="C681" t="inlineStr">
        <is>
          <t>パートナー営業部</t>
        </is>
      </c>
      <c r="D681" s="3" t="n">
        <v>45810</v>
      </c>
      <c r="E681" t="inlineStr">
        <is>
          <t>星和商会(株)</t>
        </is>
      </c>
      <c r="F681" t="inlineStr">
        <is>
          <t>大阪府</t>
        </is>
      </c>
      <c r="G681" t="inlineStr">
        <is>
          <t>ソフトウェア</t>
        </is>
      </c>
      <c r="H681" t="inlineStr">
        <is>
          <t>帳票自動化ツール</t>
        </is>
      </c>
      <c r="I681" s="4" t="n">
        <v>3</v>
      </c>
      <c r="J681" s="4" t="n">
        <v>327800</v>
      </c>
      <c r="K681" s="4">
        <f>I681*J681</f>
        <v/>
      </c>
      <c r="L681" t="inlineStr">
        <is>
          <t>キャンペーン適用</t>
        </is>
      </c>
    </row>
    <row r="682">
      <c r="A682" t="inlineStr">
        <is>
          <t>SR029</t>
        </is>
      </c>
      <c r="B682" t="inlineStr">
        <is>
          <t>営業担当029</t>
        </is>
      </c>
      <c r="C682" t="inlineStr">
        <is>
          <t>パートナー営業部</t>
        </is>
      </c>
      <c r="D682" s="3" t="n">
        <v>45824</v>
      </c>
      <c r="E682" t="inlineStr">
        <is>
          <t>青葉商事(株)</t>
        </is>
      </c>
      <c r="F682" t="inlineStr">
        <is>
          <t>愛知県</t>
        </is>
      </c>
      <c r="G682" t="inlineStr">
        <is>
          <t>消耗品</t>
        </is>
      </c>
      <c r="H682" t="inlineStr">
        <is>
          <t>ラベルロール</t>
        </is>
      </c>
      <c r="I682" s="4" t="n">
        <v>4</v>
      </c>
      <c r="J682" s="4" t="n">
        <v>7490</v>
      </c>
      <c r="K682" s="4">
        <f>I682*J682</f>
        <v/>
      </c>
      <c r="L682" t="inlineStr">
        <is>
          <t>値引き調整あり</t>
        </is>
      </c>
    </row>
    <row r="683">
      <c r="A683" t="inlineStr">
        <is>
          <t>SR029</t>
        </is>
      </c>
      <c r="B683" t="inlineStr">
        <is>
          <t>営業担当029</t>
        </is>
      </c>
      <c r="C683" t="inlineStr">
        <is>
          <t>パートナー営業部</t>
        </is>
      </c>
      <c r="D683" s="3" t="n">
        <v>45854</v>
      </c>
      <c r="E683" t="inlineStr">
        <is>
          <t>ライトホーム有限会社</t>
        </is>
      </c>
      <c r="F683" t="inlineStr">
        <is>
          <t>福岡県</t>
        </is>
      </c>
      <c r="G683" t="inlineStr">
        <is>
          <t>ソフトウェア</t>
        </is>
      </c>
      <c r="H683" t="inlineStr">
        <is>
          <t>AIチャットボット</t>
        </is>
      </c>
      <c r="I683" s="4" t="n">
        <v>5</v>
      </c>
      <c r="J683" s="4" t="n">
        <v>793500</v>
      </c>
      <c r="K683" s="4">
        <f>I683*J683</f>
        <v/>
      </c>
      <c r="L683" t="inlineStr">
        <is>
          <t>値引き調整あり</t>
        </is>
      </c>
    </row>
    <row r="684">
      <c r="A684" t="inlineStr">
        <is>
          <t>SR029</t>
        </is>
      </c>
      <c r="B684" t="inlineStr">
        <is>
          <t>営業担当029</t>
        </is>
      </c>
      <c r="C684" t="inlineStr">
        <is>
          <t>パートナー営業部</t>
        </is>
      </c>
      <c r="D684" s="3" t="n">
        <v>45866</v>
      </c>
      <c r="E684" t="inlineStr">
        <is>
          <t>中央設備株式会社</t>
        </is>
      </c>
      <c r="F684" t="inlineStr">
        <is>
          <t>兵庫県</t>
        </is>
      </c>
      <c r="G684" t="inlineStr">
        <is>
          <t>ソフトウェア</t>
        </is>
      </c>
      <c r="H684" t="inlineStr">
        <is>
          <t>AIチャットボット</t>
        </is>
      </c>
      <c r="I684" s="4" t="n">
        <v>1</v>
      </c>
      <c r="J684" s="4" t="n">
        <v>499600</v>
      </c>
      <c r="K684" s="4">
        <f>I684*J684</f>
        <v/>
      </c>
      <c r="L684" t="inlineStr">
        <is>
          <t>値引き調整あり</t>
        </is>
      </c>
    </row>
    <row r="685">
      <c r="A685" t="inlineStr">
        <is>
          <t>SR029</t>
        </is>
      </c>
      <c r="B685" t="inlineStr">
        <is>
          <t>営業担当029</t>
        </is>
      </c>
      <c r="C685" t="inlineStr">
        <is>
          <t>パートナー営業部</t>
        </is>
      </c>
      <c r="D685" s="3" t="n">
        <v>45871</v>
      </c>
      <c r="E685" t="inlineStr">
        <is>
          <t>オーシャン製作所有限会社</t>
        </is>
      </c>
      <c r="F685" t="inlineStr">
        <is>
          <t>兵庫県</t>
        </is>
      </c>
      <c r="G685" t="inlineStr">
        <is>
          <t>ハードウェア</t>
        </is>
      </c>
      <c r="H685" t="inlineStr">
        <is>
          <t>ラベルプリンター</t>
        </is>
      </c>
      <c r="I685" s="4" t="n">
        <v>5</v>
      </c>
      <c r="J685" s="4" t="n">
        <v>73700</v>
      </c>
      <c r="K685" s="4">
        <f>I685*J685</f>
        <v/>
      </c>
      <c r="L685" t="inlineStr">
        <is>
          <t>大型案件</t>
        </is>
      </c>
    </row>
    <row r="686">
      <c r="A686" t="inlineStr">
        <is>
          <t>SR029</t>
        </is>
      </c>
      <c r="B686" t="inlineStr">
        <is>
          <t>営業担当029</t>
        </is>
      </c>
      <c r="C686" t="inlineStr">
        <is>
          <t>パートナー営業部</t>
        </is>
      </c>
      <c r="D686" s="3" t="n">
        <v>45871</v>
      </c>
      <c r="E686" t="inlineStr">
        <is>
          <t>未来通信株式会社</t>
        </is>
      </c>
      <c r="F686" t="inlineStr">
        <is>
          <t>東京都</t>
        </is>
      </c>
      <c r="G686" t="inlineStr">
        <is>
          <t>保守サービス</t>
        </is>
      </c>
      <c r="H686" t="inlineStr">
        <is>
          <t>年間保守契約</t>
        </is>
      </c>
      <c r="I686" s="4" t="n">
        <v>5</v>
      </c>
      <c r="J686" s="4" t="n">
        <v>171100</v>
      </c>
      <c r="K686" s="4">
        <f>I686*J686</f>
        <v/>
      </c>
      <c r="L686" t="inlineStr"/>
    </row>
    <row r="687">
      <c r="A687" t="inlineStr">
        <is>
          <t>SR029</t>
        </is>
      </c>
      <c r="B687" t="inlineStr">
        <is>
          <t>営業担当029</t>
        </is>
      </c>
      <c r="C687" t="inlineStr">
        <is>
          <t>パートナー営業部</t>
        </is>
      </c>
      <c r="D687" s="3" t="n">
        <v>45905</v>
      </c>
      <c r="E687" t="inlineStr">
        <is>
          <t>北斗産業有限会社</t>
        </is>
      </c>
      <c r="F687" t="inlineStr">
        <is>
          <t>宮城県</t>
        </is>
      </c>
      <c r="G687" t="inlineStr">
        <is>
          <t>導入支援</t>
        </is>
      </c>
      <c r="H687" t="inlineStr">
        <is>
          <t>操作研修パック</t>
        </is>
      </c>
      <c r="I687" s="4" t="n">
        <v>5</v>
      </c>
      <c r="J687" s="4" t="n">
        <v>133300</v>
      </c>
      <c r="K687" s="4">
        <f>I687*J687</f>
        <v/>
      </c>
      <c r="L687" t="inlineStr"/>
    </row>
    <row r="688">
      <c r="A688" t="inlineStr">
        <is>
          <t>SR029</t>
        </is>
      </c>
      <c r="B688" t="inlineStr">
        <is>
          <t>営業担当029</t>
        </is>
      </c>
      <c r="C688" t="inlineStr">
        <is>
          <t>パートナー営業部</t>
        </is>
      </c>
      <c r="D688" s="3" t="n">
        <v>45915</v>
      </c>
      <c r="E688" t="inlineStr">
        <is>
          <t>青葉商事株式会社</t>
        </is>
      </c>
      <c r="F688" t="inlineStr">
        <is>
          <t>宮城県</t>
        </is>
      </c>
      <c r="G688" t="inlineStr">
        <is>
          <t>保守サービス</t>
        </is>
      </c>
      <c r="H688" t="inlineStr">
        <is>
          <t>ヘルプデスク契約</t>
        </is>
      </c>
      <c r="I688" s="4" t="n">
        <v>3</v>
      </c>
      <c r="J688" s="4" t="n">
        <v>47000</v>
      </c>
      <c r="K688" s="4">
        <f>I688*J688</f>
        <v/>
      </c>
      <c r="L688" t="inlineStr"/>
    </row>
    <row r="689">
      <c r="A689" t="inlineStr">
        <is>
          <t>SR029</t>
        </is>
      </c>
      <c r="B689" t="inlineStr">
        <is>
          <t>営業担当029</t>
        </is>
      </c>
      <c r="C689" t="inlineStr">
        <is>
          <t>パートナー営業部</t>
        </is>
      </c>
      <c r="D689" s="3" t="n">
        <v>45938</v>
      </c>
      <c r="E689" t="inlineStr">
        <is>
          <t>アーク電機(株)</t>
        </is>
      </c>
      <c r="F689" t="inlineStr">
        <is>
          <t>宮城県</t>
        </is>
      </c>
      <c r="G689" t="inlineStr">
        <is>
          <t>ハードウェア</t>
        </is>
      </c>
      <c r="H689" t="inlineStr">
        <is>
          <t>小型ハンディ端末</t>
        </is>
      </c>
      <c r="I689" s="4" t="n">
        <v>3</v>
      </c>
      <c r="J689" s="4" t="n">
        <v>53400</v>
      </c>
      <c r="K689" s="4">
        <f>I689*J689</f>
        <v/>
      </c>
      <c r="L689" t="inlineStr">
        <is>
          <t>分納</t>
        </is>
      </c>
    </row>
    <row r="690">
      <c r="A690" t="inlineStr">
        <is>
          <t>SR029</t>
        </is>
      </c>
      <c r="B690" t="inlineStr">
        <is>
          <t>営業担当029</t>
        </is>
      </c>
      <c r="C690" t="inlineStr">
        <is>
          <t>パートナー営業部</t>
        </is>
      </c>
      <c r="D690" s="3" t="n">
        <v>45940</v>
      </c>
      <c r="E690" t="inlineStr">
        <is>
          <t>日新サービス株式会社</t>
        </is>
      </c>
      <c r="F690" t="inlineStr">
        <is>
          <t>宮城県</t>
        </is>
      </c>
      <c r="G690" t="inlineStr">
        <is>
          <t>消耗品</t>
        </is>
      </c>
      <c r="H690" t="inlineStr">
        <is>
          <t>交換用ヘッド</t>
        </is>
      </c>
      <c r="I690" s="4" t="n">
        <v>2</v>
      </c>
      <c r="J690" s="4" t="n">
        <v>24920</v>
      </c>
      <c r="K690" s="4">
        <f>I690*J690</f>
        <v/>
      </c>
      <c r="L690" t="inlineStr">
        <is>
          <t>分納</t>
        </is>
      </c>
    </row>
    <row r="691">
      <c r="A691" t="inlineStr">
        <is>
          <t>SR029</t>
        </is>
      </c>
      <c r="B691" t="inlineStr">
        <is>
          <t>営業担当029</t>
        </is>
      </c>
      <c r="C691" t="inlineStr">
        <is>
          <t>パートナー営業部</t>
        </is>
      </c>
      <c r="D691" s="3" t="n">
        <v>45980</v>
      </c>
      <c r="E691" t="inlineStr">
        <is>
          <t>北斗産業有限会社</t>
        </is>
      </c>
      <c r="F691" t="inlineStr">
        <is>
          <t>宮城県</t>
        </is>
      </c>
      <c r="G691" t="inlineStr">
        <is>
          <t>保守サービス</t>
        </is>
      </c>
      <c r="H691" t="inlineStr">
        <is>
          <t>年間保守契約</t>
        </is>
      </c>
      <c r="I691" s="4" t="n">
        <v>4</v>
      </c>
      <c r="J691" s="4" t="n">
        <v>265500</v>
      </c>
      <c r="K691" s="4">
        <f>I691*J691</f>
        <v/>
      </c>
      <c r="L691" t="inlineStr">
        <is>
          <t>キャンペーン適用</t>
        </is>
      </c>
    </row>
    <row r="692">
      <c r="A692" t="inlineStr">
        <is>
          <t>SR029</t>
        </is>
      </c>
      <c r="B692" t="inlineStr">
        <is>
          <t>営業担当029</t>
        </is>
      </c>
      <c r="C692" t="inlineStr">
        <is>
          <t>パートナー営業部</t>
        </is>
      </c>
      <c r="D692" s="3" t="n">
        <v>45989</v>
      </c>
      <c r="E692" t="inlineStr">
        <is>
          <t>ライトホーム有限会社</t>
        </is>
      </c>
      <c r="F692" t="inlineStr">
        <is>
          <t>大阪府</t>
        </is>
      </c>
      <c r="G692" t="inlineStr">
        <is>
          <t>ハードウェア</t>
        </is>
      </c>
      <c r="H692" t="inlineStr">
        <is>
          <t>小型ハンディ端末</t>
        </is>
      </c>
      <c r="I692" s="4" t="n">
        <v>5</v>
      </c>
      <c r="J692" s="4" t="n">
        <v>91800</v>
      </c>
      <c r="K692" s="4">
        <f>I692*J692</f>
        <v/>
      </c>
      <c r="L692" t="inlineStr">
        <is>
          <t>値引き調整あり</t>
        </is>
      </c>
    </row>
    <row r="693">
      <c r="A693" t="inlineStr">
        <is>
          <t>SR029</t>
        </is>
      </c>
      <c r="B693" t="inlineStr">
        <is>
          <t>営業担当029</t>
        </is>
      </c>
      <c r="C693" t="inlineStr">
        <is>
          <t>パートナー営業部</t>
        </is>
      </c>
      <c r="D693" s="3" t="n">
        <v>46014</v>
      </c>
      <c r="E693" t="inlineStr">
        <is>
          <t>青葉商事株式会社</t>
        </is>
      </c>
      <c r="F693" t="inlineStr">
        <is>
          <t>愛知県</t>
        </is>
      </c>
      <c r="G693" t="inlineStr">
        <is>
          <t>消耗品</t>
        </is>
      </c>
      <c r="H693" t="inlineStr">
        <is>
          <t>保守用バッテリー</t>
        </is>
      </c>
      <c r="I693" s="4" t="n">
        <v>6</v>
      </c>
      <c r="J693" s="4" t="n">
        <v>15830</v>
      </c>
      <c r="K693" s="4">
        <f>I693*J693</f>
        <v/>
      </c>
      <c r="L693" t="inlineStr">
        <is>
          <t>キャンペーン適用</t>
        </is>
      </c>
    </row>
    <row r="694">
      <c r="A694" t="inlineStr">
        <is>
          <t>SR029</t>
        </is>
      </c>
      <c r="B694" t="inlineStr">
        <is>
          <t>営業担当029</t>
        </is>
      </c>
      <c r="C694" t="inlineStr">
        <is>
          <t>パートナー営業部</t>
        </is>
      </c>
      <c r="D694" s="3" t="n">
        <v>46016</v>
      </c>
      <c r="E694" t="inlineStr">
        <is>
          <t>グリーンテック株式会社</t>
        </is>
      </c>
      <c r="F694" t="inlineStr">
        <is>
          <t>広島県</t>
        </is>
      </c>
      <c r="G694" t="inlineStr">
        <is>
          <t>消耗品</t>
        </is>
      </c>
      <c r="H694" t="inlineStr">
        <is>
          <t>ラベルロール</t>
        </is>
      </c>
      <c r="I694" s="4" t="n">
        <v>8</v>
      </c>
      <c r="J694" s="4" t="n">
        <v>10290</v>
      </c>
      <c r="K694" s="4">
        <f>I694*J694</f>
        <v/>
      </c>
      <c r="L694" t="inlineStr">
        <is>
          <t>大型案件</t>
        </is>
      </c>
    </row>
    <row r="695">
      <c r="A695" t="inlineStr">
        <is>
          <t>SR029</t>
        </is>
      </c>
      <c r="B695" t="inlineStr">
        <is>
          <t>営業担当029</t>
        </is>
      </c>
      <c r="C695" t="inlineStr">
        <is>
          <t>パートナー営業部</t>
        </is>
      </c>
      <c r="D695" s="3" t="n">
        <v>46040</v>
      </c>
      <c r="E695" t="inlineStr">
        <is>
          <t>ライトホーム有限会社</t>
        </is>
      </c>
      <c r="F695" t="inlineStr">
        <is>
          <t>京都府</t>
        </is>
      </c>
      <c r="G695" t="inlineStr">
        <is>
          <t>ハードウェア</t>
        </is>
      </c>
      <c r="H695" t="inlineStr">
        <is>
          <t>小型ハンディ端末</t>
        </is>
      </c>
      <c r="I695" s="4" t="n">
        <v>1</v>
      </c>
      <c r="J695" s="4" t="n">
        <v>72200</v>
      </c>
      <c r="K695" s="4">
        <f>I695*J695</f>
        <v/>
      </c>
      <c r="L695" t="inlineStr">
        <is>
          <t>キャンペーン適用</t>
        </is>
      </c>
    </row>
    <row r="696">
      <c r="A696" t="inlineStr">
        <is>
          <t>SR029</t>
        </is>
      </c>
      <c r="B696" t="inlineStr">
        <is>
          <t>営業担当029</t>
        </is>
      </c>
      <c r="C696" t="inlineStr">
        <is>
          <t>パートナー営業部</t>
        </is>
      </c>
      <c r="D696" s="3" t="n">
        <v>46046</v>
      </c>
      <c r="E696" t="inlineStr">
        <is>
          <t>西日本機工株式会社</t>
        </is>
      </c>
      <c r="F696" t="inlineStr">
        <is>
          <t>北海道</t>
        </is>
      </c>
      <c r="G696" t="inlineStr">
        <is>
          <t>保守サービス</t>
        </is>
      </c>
      <c r="H696" t="inlineStr">
        <is>
          <t>オンサイト保守</t>
        </is>
      </c>
      <c r="I696" s="4" t="n">
        <v>3</v>
      </c>
      <c r="J696" s="4" t="n">
        <v>88300</v>
      </c>
      <c r="K696" s="4">
        <f>I696*J696</f>
        <v/>
      </c>
      <c r="L696" t="inlineStr">
        <is>
          <t>値引き調整あり</t>
        </is>
      </c>
    </row>
    <row r="697">
      <c r="A697" t="inlineStr">
        <is>
          <t>SR029</t>
        </is>
      </c>
      <c r="B697" t="inlineStr">
        <is>
          <t>営業担当029</t>
        </is>
      </c>
      <c r="C697" t="inlineStr">
        <is>
          <t>パートナー営業部</t>
        </is>
      </c>
      <c r="D697" s="3" t="n">
        <v>46062</v>
      </c>
      <c r="E697" t="inlineStr">
        <is>
          <t>北斗産業有限会社</t>
        </is>
      </c>
      <c r="F697" t="inlineStr">
        <is>
          <t>神奈川県</t>
        </is>
      </c>
      <c r="G697" t="inlineStr">
        <is>
          <t>導入支援</t>
        </is>
      </c>
      <c r="H697" t="inlineStr">
        <is>
          <t>初期設定支援</t>
        </is>
      </c>
      <c r="I697" s="4" t="n">
        <v>5</v>
      </c>
      <c r="J697" s="4" t="n">
        <v>107300</v>
      </c>
      <c r="K697" s="4">
        <f>I697*J697</f>
        <v/>
      </c>
      <c r="L697" t="inlineStr">
        <is>
          <t>大型案件</t>
        </is>
      </c>
    </row>
    <row r="698">
      <c r="A698" t="inlineStr">
        <is>
          <t>SR029</t>
        </is>
      </c>
      <c r="B698" t="inlineStr">
        <is>
          <t>営業担当029</t>
        </is>
      </c>
      <c r="C698" t="inlineStr">
        <is>
          <t>パートナー営業部</t>
        </is>
      </c>
      <c r="D698" s="3" t="n">
        <v>46064</v>
      </c>
      <c r="E698" t="inlineStr">
        <is>
          <t>星和商会株式会社</t>
        </is>
      </c>
      <c r="F698" t="inlineStr">
        <is>
          <t>大阪府</t>
        </is>
      </c>
      <c r="G698" t="inlineStr">
        <is>
          <t>導入支援</t>
        </is>
      </c>
      <c r="H698" t="inlineStr">
        <is>
          <t>データ移行支援</t>
        </is>
      </c>
      <c r="I698" s="4" t="n">
        <v>3</v>
      </c>
      <c r="J698" s="4" t="n">
        <v>222600</v>
      </c>
      <c r="K698" s="4">
        <f>I698*J698</f>
        <v/>
      </c>
      <c r="L698" t="inlineStr">
        <is>
          <t>大型案件</t>
        </is>
      </c>
    </row>
    <row r="699">
      <c r="A699" t="inlineStr">
        <is>
          <t>SR029</t>
        </is>
      </c>
      <c r="B699" t="inlineStr">
        <is>
          <t>営業担当029</t>
        </is>
      </c>
      <c r="C699" t="inlineStr">
        <is>
          <t>パートナー営業部</t>
        </is>
      </c>
      <c r="D699" s="3" t="n">
        <v>46086</v>
      </c>
      <c r="E699" t="inlineStr">
        <is>
          <t>オーシャン製作所(株)</t>
        </is>
      </c>
      <c r="F699" t="inlineStr">
        <is>
          <t>福岡県</t>
        </is>
      </c>
      <c r="G699" t="inlineStr">
        <is>
          <t>ソフトウェア</t>
        </is>
      </c>
      <c r="H699" t="inlineStr">
        <is>
          <t>AIチャットボット</t>
        </is>
      </c>
      <c r="I699" s="4" t="n">
        <v>5</v>
      </c>
      <c r="J699" s="4" t="n">
        <v>805400</v>
      </c>
      <c r="K699" s="4">
        <f>I699*J699</f>
        <v/>
      </c>
      <c r="L699" t="inlineStr">
        <is>
          <t>大型案件</t>
        </is>
      </c>
    </row>
    <row r="700">
      <c r="A700" t="inlineStr">
        <is>
          <t>SR029</t>
        </is>
      </c>
      <c r="B700" t="inlineStr">
        <is>
          <t>営業担当029</t>
        </is>
      </c>
      <c r="C700" t="inlineStr">
        <is>
          <t>パートナー営業部</t>
        </is>
      </c>
      <c r="D700" s="3" t="n">
        <v>46092</v>
      </c>
      <c r="E700" t="inlineStr">
        <is>
          <t>福岡流通有限会社</t>
        </is>
      </c>
      <c r="F700" t="inlineStr">
        <is>
          <t>東京都</t>
        </is>
      </c>
      <c r="G700" t="inlineStr">
        <is>
          <t>保守サービス</t>
        </is>
      </c>
      <c r="H700" t="inlineStr">
        <is>
          <t>年間保守契約</t>
        </is>
      </c>
      <c r="I700" s="4" t="n">
        <v>3</v>
      </c>
      <c r="J700" s="4" t="n">
        <v>241100</v>
      </c>
      <c r="K700" s="4">
        <f>I700*J700</f>
        <v/>
      </c>
      <c r="L700" t="inlineStr"/>
    </row>
    <row r="701">
      <c r="A701" t="inlineStr">
        <is>
          <t>SR030</t>
        </is>
      </c>
      <c r="B701" t="inlineStr">
        <is>
          <t>営業担当030</t>
        </is>
      </c>
      <c r="C701" t="inlineStr">
        <is>
          <t>インサイドセールス部</t>
        </is>
      </c>
      <c r="D701" s="3" t="n">
        <v>45761</v>
      </c>
      <c r="E701" t="inlineStr">
        <is>
          <t>桜井メディカル有限会社</t>
        </is>
      </c>
      <c r="F701" t="inlineStr">
        <is>
          <t>福岡県</t>
        </is>
      </c>
      <c r="G701" t="inlineStr">
        <is>
          <t>導入支援</t>
        </is>
      </c>
      <c r="H701" t="inlineStr">
        <is>
          <t>データ移行支援</t>
        </is>
      </c>
      <c r="I701" s="4" t="n">
        <v>5</v>
      </c>
      <c r="J701" s="4" t="n">
        <v>214800</v>
      </c>
      <c r="K701" s="4">
        <f>I701*J701</f>
        <v/>
      </c>
      <c r="L701" t="inlineStr">
        <is>
          <t>分納</t>
        </is>
      </c>
    </row>
    <row r="702">
      <c r="A702" t="inlineStr">
        <is>
          <t>SR030</t>
        </is>
      </c>
      <c r="B702" t="inlineStr">
        <is>
          <t>営業担当030</t>
        </is>
      </c>
      <c r="C702" t="inlineStr">
        <is>
          <t>インサイドセールス部</t>
        </is>
      </c>
      <c r="D702" s="3" t="n">
        <v>45764</v>
      </c>
      <c r="E702" t="inlineStr">
        <is>
          <t>中央設備(株)</t>
        </is>
      </c>
      <c r="F702" t="inlineStr">
        <is>
          <t>広島県</t>
        </is>
      </c>
      <c r="G702" t="inlineStr">
        <is>
          <t>ソフトウェア</t>
        </is>
      </c>
      <c r="H702" t="inlineStr">
        <is>
          <t>営業支援SaaS</t>
        </is>
      </c>
      <c r="I702" s="4" t="n">
        <v>5</v>
      </c>
      <c r="J702" s="4" t="n">
        <v>340300</v>
      </c>
      <c r="K702" s="4">
        <f>I702*J702</f>
        <v/>
      </c>
      <c r="L702" t="inlineStr">
        <is>
          <t>キャンペーン適用</t>
        </is>
      </c>
    </row>
    <row r="703">
      <c r="A703" t="inlineStr">
        <is>
          <t>SR030</t>
        </is>
      </c>
      <c r="B703" t="inlineStr">
        <is>
          <t>営業担当030</t>
        </is>
      </c>
      <c r="C703" t="inlineStr">
        <is>
          <t>インサイドセールス部</t>
        </is>
      </c>
      <c r="D703" s="3" t="n">
        <v>45795</v>
      </c>
      <c r="E703" t="inlineStr">
        <is>
          <t>グリーンテック株式会社</t>
        </is>
      </c>
      <c r="F703" t="inlineStr">
        <is>
          <t>福岡県</t>
        </is>
      </c>
      <c r="G703" t="inlineStr">
        <is>
          <t>消耗品</t>
        </is>
      </c>
      <c r="H703" t="inlineStr">
        <is>
          <t>交換用ヘッド</t>
        </is>
      </c>
      <c r="I703" s="4" t="n">
        <v>11</v>
      </c>
      <c r="J703" s="4" t="n">
        <v>20280</v>
      </c>
      <c r="K703" s="4">
        <f>I703*J703</f>
        <v/>
      </c>
      <c r="L703" t="inlineStr"/>
    </row>
    <row r="704">
      <c r="A704" t="inlineStr">
        <is>
          <t>SR030</t>
        </is>
      </c>
      <c r="B704" t="inlineStr">
        <is>
          <t>営業担当030</t>
        </is>
      </c>
      <c r="C704" t="inlineStr">
        <is>
          <t>インサイドセールス部</t>
        </is>
      </c>
      <c r="D704" s="3" t="n">
        <v>45801</v>
      </c>
      <c r="E704" t="inlineStr">
        <is>
          <t>北斗産業有限会社</t>
        </is>
      </c>
      <c r="F704" t="inlineStr">
        <is>
          <t>宮城県</t>
        </is>
      </c>
      <c r="G704" t="inlineStr">
        <is>
          <t>消耗品</t>
        </is>
      </c>
      <c r="H704" t="inlineStr">
        <is>
          <t>交換用ヘッド</t>
        </is>
      </c>
      <c r="I704" s="4" t="n">
        <v>1</v>
      </c>
      <c r="J704" s="4" t="n">
        <v>19770</v>
      </c>
      <c r="K704" s="4">
        <f>I704*J704</f>
        <v/>
      </c>
      <c r="L704" t="inlineStr">
        <is>
          <t>リピート受注</t>
        </is>
      </c>
    </row>
    <row r="705">
      <c r="A705" t="inlineStr">
        <is>
          <t>SR030</t>
        </is>
      </c>
      <c r="B705" t="inlineStr">
        <is>
          <t>営業担当030</t>
        </is>
      </c>
      <c r="C705" t="inlineStr">
        <is>
          <t>インサイドセールス部</t>
        </is>
      </c>
      <c r="D705" s="3" t="n">
        <v>45818</v>
      </c>
      <c r="E705" t="inlineStr">
        <is>
          <t>大和精機株式会社</t>
        </is>
      </c>
      <c r="F705" t="inlineStr">
        <is>
          <t>宮城県</t>
        </is>
      </c>
      <c r="G705" t="inlineStr">
        <is>
          <t>ハードウェア</t>
        </is>
      </c>
      <c r="H705" t="inlineStr">
        <is>
          <t>小型ハンディ端末</t>
        </is>
      </c>
      <c r="I705" s="4" t="n">
        <v>3</v>
      </c>
      <c r="J705" s="4" t="n">
        <v>51900</v>
      </c>
      <c r="K705" s="4">
        <f>I705*J705</f>
        <v/>
      </c>
      <c r="L705" t="inlineStr">
        <is>
          <t>値引き調整あり</t>
        </is>
      </c>
    </row>
    <row r="706">
      <c r="A706" t="inlineStr">
        <is>
          <t>SR030</t>
        </is>
      </c>
      <c r="B706" t="inlineStr">
        <is>
          <t>営業担当030</t>
        </is>
      </c>
      <c r="C706" t="inlineStr">
        <is>
          <t>インサイドセールス部</t>
        </is>
      </c>
      <c r="D706" s="3" t="n">
        <v>45823</v>
      </c>
      <c r="E706" t="inlineStr">
        <is>
          <t>日新サービス(株)</t>
        </is>
      </c>
      <c r="F706" t="inlineStr">
        <is>
          <t>神奈川県</t>
        </is>
      </c>
      <c r="G706" t="inlineStr">
        <is>
          <t>導入支援</t>
        </is>
      </c>
      <c r="H706" t="inlineStr">
        <is>
          <t>初期設定支援</t>
        </is>
      </c>
      <c r="I706" s="4" t="n">
        <v>4</v>
      </c>
      <c r="J706" s="4" t="n">
        <v>110200</v>
      </c>
      <c r="K706" s="4">
        <f>I706*J706</f>
        <v/>
      </c>
      <c r="L706" t="inlineStr"/>
    </row>
    <row r="707">
      <c r="A707" t="inlineStr">
        <is>
          <t>SR030</t>
        </is>
      </c>
      <c r="B707" t="inlineStr">
        <is>
          <t>営業担当030</t>
        </is>
      </c>
      <c r="C707" t="inlineStr">
        <is>
          <t>インサイドセールス部</t>
        </is>
      </c>
      <c r="D707" s="3" t="n">
        <v>45856</v>
      </c>
      <c r="E707" t="inlineStr">
        <is>
          <t>中央設備株式会社</t>
        </is>
      </c>
      <c r="F707" t="inlineStr">
        <is>
          <t>北海道</t>
        </is>
      </c>
      <c r="G707" t="inlineStr">
        <is>
          <t>ハードウェア</t>
        </is>
      </c>
      <c r="H707" t="inlineStr">
        <is>
          <t>産業用タブレット</t>
        </is>
      </c>
      <c r="I707" s="4" t="n">
        <v>3</v>
      </c>
      <c r="J707" s="4" t="n">
        <v>110300</v>
      </c>
      <c r="K707" s="4">
        <f>I707*J707</f>
        <v/>
      </c>
      <c r="L707" t="inlineStr">
        <is>
          <t>キャンペーン適用</t>
        </is>
      </c>
    </row>
    <row r="708">
      <c r="A708" t="inlineStr">
        <is>
          <t>SR030</t>
        </is>
      </c>
      <c r="B708" t="inlineStr">
        <is>
          <t>営業担当030</t>
        </is>
      </c>
      <c r="C708" t="inlineStr">
        <is>
          <t>インサイドセールス部</t>
        </is>
      </c>
      <c r="D708" s="3" t="n">
        <v>45861</v>
      </c>
      <c r="E708" t="inlineStr">
        <is>
          <t>大和精機株式会社</t>
        </is>
      </c>
      <c r="F708" t="inlineStr">
        <is>
          <t>広島県</t>
        </is>
      </c>
      <c r="G708" t="inlineStr">
        <is>
          <t>導入支援</t>
        </is>
      </c>
      <c r="H708" t="inlineStr">
        <is>
          <t>初期設定支援</t>
        </is>
      </c>
      <c r="I708" s="4" t="n">
        <v>5</v>
      </c>
      <c r="J708" s="4" t="n">
        <v>73100</v>
      </c>
      <c r="K708" s="4">
        <f>I708*J708</f>
        <v/>
      </c>
      <c r="L708" t="inlineStr"/>
    </row>
    <row r="709">
      <c r="A709" t="inlineStr">
        <is>
          <t>SR030</t>
        </is>
      </c>
      <c r="B709" t="inlineStr">
        <is>
          <t>営業担当030</t>
        </is>
      </c>
      <c r="C709" t="inlineStr">
        <is>
          <t>インサイドセールス部</t>
        </is>
      </c>
      <c r="D709" s="3" t="n">
        <v>45879</v>
      </c>
      <c r="E709" t="inlineStr">
        <is>
          <t>白峰化学有限会社</t>
        </is>
      </c>
      <c r="F709" t="inlineStr">
        <is>
          <t>神奈川県</t>
        </is>
      </c>
      <c r="G709" t="inlineStr">
        <is>
          <t>ハードウェア</t>
        </is>
      </c>
      <c r="H709" t="inlineStr">
        <is>
          <t>小型ハンディ端末</t>
        </is>
      </c>
      <c r="I709" s="4" t="n">
        <v>1</v>
      </c>
      <c r="J709" s="4" t="n">
        <v>58400</v>
      </c>
      <c r="K709" s="4">
        <f>I709*J709</f>
        <v/>
      </c>
      <c r="L709" t="inlineStr"/>
    </row>
    <row r="710">
      <c r="A710" t="inlineStr">
        <is>
          <t>SR030</t>
        </is>
      </c>
      <c r="B710" t="inlineStr">
        <is>
          <t>営業担当030</t>
        </is>
      </c>
      <c r="C710" t="inlineStr">
        <is>
          <t>インサイドセールス部</t>
        </is>
      </c>
      <c r="D710" s="3" t="n">
        <v>45894</v>
      </c>
      <c r="E710" t="inlineStr">
        <is>
          <t>星和商会有限会社</t>
        </is>
      </c>
      <c r="F710" t="inlineStr">
        <is>
          <t>京都府</t>
        </is>
      </c>
      <c r="G710" t="inlineStr">
        <is>
          <t>ハードウェア</t>
        </is>
      </c>
      <c r="H710" t="inlineStr">
        <is>
          <t>ネットワークカメラ</t>
        </is>
      </c>
      <c r="I710" s="4" t="n">
        <v>4</v>
      </c>
      <c r="J710" s="4" t="n">
        <v>57100</v>
      </c>
      <c r="K710" s="4">
        <f>I710*J710</f>
        <v/>
      </c>
      <c r="L710" t="inlineStr">
        <is>
          <t>分納</t>
        </is>
      </c>
    </row>
    <row r="711">
      <c r="A711" t="inlineStr">
        <is>
          <t>SR030</t>
        </is>
      </c>
      <c r="B711" t="inlineStr">
        <is>
          <t>営業担当030</t>
        </is>
      </c>
      <c r="C711" t="inlineStr">
        <is>
          <t>インサイドセールス部</t>
        </is>
      </c>
      <c r="D711" s="3" t="n">
        <v>45901</v>
      </c>
      <c r="E711" t="inlineStr">
        <is>
          <t>西日本機工(株)</t>
        </is>
      </c>
      <c r="F711" t="inlineStr">
        <is>
          <t>兵庫県</t>
        </is>
      </c>
      <c r="G711" t="inlineStr">
        <is>
          <t>ハードウェア</t>
        </is>
      </c>
      <c r="H711" t="inlineStr">
        <is>
          <t>ネットワークカメラ</t>
        </is>
      </c>
      <c r="I711" s="4" t="n">
        <v>1</v>
      </c>
      <c r="J711" s="4" t="n">
        <v>49600</v>
      </c>
      <c r="K711" s="4">
        <f>I711*J711</f>
        <v/>
      </c>
      <c r="L711" t="inlineStr">
        <is>
          <t>新規開拓</t>
        </is>
      </c>
    </row>
    <row r="712">
      <c r="A712" t="inlineStr">
        <is>
          <t>SR030</t>
        </is>
      </c>
      <c r="B712" t="inlineStr">
        <is>
          <t>営業担当030</t>
        </is>
      </c>
      <c r="C712" t="inlineStr">
        <is>
          <t>インサイドセールス部</t>
        </is>
      </c>
      <c r="D712" s="3" t="n">
        <v>45901</v>
      </c>
      <c r="E712" t="inlineStr">
        <is>
          <t>ライトホーム有限会社</t>
        </is>
      </c>
      <c r="F712" t="inlineStr">
        <is>
          <t>神奈川県</t>
        </is>
      </c>
      <c r="G712" t="inlineStr">
        <is>
          <t>消耗品</t>
        </is>
      </c>
      <c r="H712" t="inlineStr">
        <is>
          <t>交換用ヘッド</t>
        </is>
      </c>
      <c r="I712" s="4" t="n">
        <v>10</v>
      </c>
      <c r="J712" s="4" t="n">
        <v>21450</v>
      </c>
      <c r="K712" s="4">
        <f>I712*J712</f>
        <v/>
      </c>
      <c r="L712" t="inlineStr">
        <is>
          <t>大型案件</t>
        </is>
      </c>
    </row>
    <row r="713">
      <c r="A713" t="inlineStr">
        <is>
          <t>SR030</t>
        </is>
      </c>
      <c r="B713" t="inlineStr">
        <is>
          <t>営業担当030</t>
        </is>
      </c>
      <c r="C713" t="inlineStr">
        <is>
          <t>インサイドセールス部</t>
        </is>
      </c>
      <c r="D713" s="3" t="n">
        <v>45938</v>
      </c>
      <c r="E713" t="inlineStr">
        <is>
          <t>青葉商事(株)</t>
        </is>
      </c>
      <c r="F713" t="inlineStr">
        <is>
          <t>大阪府</t>
        </is>
      </c>
      <c r="G713" t="inlineStr">
        <is>
          <t>導入支援</t>
        </is>
      </c>
      <c r="H713" t="inlineStr">
        <is>
          <t>初期設定支援</t>
        </is>
      </c>
      <c r="I713" s="4" t="n">
        <v>5</v>
      </c>
      <c r="J713" s="4" t="n">
        <v>173800</v>
      </c>
      <c r="K713" s="4">
        <f>I713*J713</f>
        <v/>
      </c>
      <c r="L713" t="inlineStr">
        <is>
          <t>分納</t>
        </is>
      </c>
    </row>
    <row r="714">
      <c r="A714" t="inlineStr">
        <is>
          <t>SR030</t>
        </is>
      </c>
      <c r="B714" t="inlineStr">
        <is>
          <t>営業担当030</t>
        </is>
      </c>
      <c r="C714" t="inlineStr">
        <is>
          <t>インサイドセールス部</t>
        </is>
      </c>
      <c r="D714" s="3" t="n">
        <v>45953</v>
      </c>
      <c r="E714" t="inlineStr">
        <is>
          <t>西日本機工有限会社</t>
        </is>
      </c>
      <c r="F714" t="inlineStr">
        <is>
          <t>大阪府</t>
        </is>
      </c>
      <c r="G714" t="inlineStr">
        <is>
          <t>ソフトウェア</t>
        </is>
      </c>
      <c r="H714" t="inlineStr">
        <is>
          <t>在庫管理クラウド</t>
        </is>
      </c>
      <c r="I714" s="4" t="n">
        <v>4</v>
      </c>
      <c r="J714" s="4" t="n">
        <v>439700</v>
      </c>
      <c r="K714" s="4">
        <f>I714*J714</f>
        <v/>
      </c>
      <c r="L714" t="inlineStr">
        <is>
          <t>新規開拓</t>
        </is>
      </c>
    </row>
    <row r="715">
      <c r="A715" t="inlineStr">
        <is>
          <t>SR030</t>
        </is>
      </c>
      <c r="B715" t="inlineStr">
        <is>
          <t>営業担当030</t>
        </is>
      </c>
      <c r="C715" t="inlineStr">
        <is>
          <t>インサイドセールス部</t>
        </is>
      </c>
      <c r="D715" s="3" t="n">
        <v>45964</v>
      </c>
      <c r="E715" t="inlineStr">
        <is>
          <t>大和精機有限会社</t>
        </is>
      </c>
      <c r="F715" t="inlineStr">
        <is>
          <t>宮城県</t>
        </is>
      </c>
      <c r="G715" t="inlineStr">
        <is>
          <t>消耗品</t>
        </is>
      </c>
      <c r="H715" t="inlineStr">
        <is>
          <t>交換用ヘッド</t>
        </is>
      </c>
      <c r="I715" s="4" t="n">
        <v>3</v>
      </c>
      <c r="J715" s="4" t="n">
        <v>27510</v>
      </c>
      <c r="K715" s="4">
        <f>I715*J715</f>
        <v/>
      </c>
      <c r="L715" t="inlineStr">
        <is>
          <t>値引き調整あり</t>
        </is>
      </c>
    </row>
    <row r="716">
      <c r="A716" t="inlineStr">
        <is>
          <t>SR030</t>
        </is>
      </c>
      <c r="B716" t="inlineStr">
        <is>
          <t>営業担当030</t>
        </is>
      </c>
      <c r="C716" t="inlineStr">
        <is>
          <t>インサイドセールス部</t>
        </is>
      </c>
      <c r="D716" s="3" t="n">
        <v>45984</v>
      </c>
      <c r="E716" t="inlineStr">
        <is>
          <t>福岡流通株式会社</t>
        </is>
      </c>
      <c r="F716" t="inlineStr">
        <is>
          <t>宮城県</t>
        </is>
      </c>
      <c r="G716" t="inlineStr">
        <is>
          <t>導入支援</t>
        </is>
      </c>
      <c r="H716" t="inlineStr">
        <is>
          <t>データ移行支援</t>
        </is>
      </c>
      <c r="I716" s="4" t="n">
        <v>2</v>
      </c>
      <c r="J716" s="4" t="n">
        <v>147000</v>
      </c>
      <c r="K716" s="4">
        <f>I716*J716</f>
        <v/>
      </c>
      <c r="L716" t="inlineStr">
        <is>
          <t>大型案件</t>
        </is>
      </c>
    </row>
    <row r="717">
      <c r="A717" t="inlineStr">
        <is>
          <t>SR030</t>
        </is>
      </c>
      <c r="B717" t="inlineStr">
        <is>
          <t>営業担当030</t>
        </is>
      </c>
      <c r="C717" t="inlineStr">
        <is>
          <t>インサイドセールス部</t>
        </is>
      </c>
      <c r="D717" s="3" t="n">
        <v>45999</v>
      </c>
      <c r="E717" t="inlineStr">
        <is>
          <t>北斗産業(株)</t>
        </is>
      </c>
      <c r="F717" t="inlineStr">
        <is>
          <t>東京都</t>
        </is>
      </c>
      <c r="G717" t="inlineStr">
        <is>
          <t>保守サービス</t>
        </is>
      </c>
      <c r="H717" t="inlineStr">
        <is>
          <t>オンサイト保守</t>
        </is>
      </c>
      <c r="I717" s="4" t="n">
        <v>2</v>
      </c>
      <c r="J717" s="4" t="n">
        <v>177400</v>
      </c>
      <c r="K717" s="4">
        <f>I717*J717</f>
        <v/>
      </c>
      <c r="L717" t="inlineStr">
        <is>
          <t>大型案件</t>
        </is>
      </c>
    </row>
    <row r="718">
      <c r="A718" t="inlineStr">
        <is>
          <t>SR030</t>
        </is>
      </c>
      <c r="B718" t="inlineStr">
        <is>
          <t>営業担当030</t>
        </is>
      </c>
      <c r="C718" t="inlineStr">
        <is>
          <t>インサイドセールス部</t>
        </is>
      </c>
      <c r="D718" s="3" t="n">
        <v>46004</v>
      </c>
      <c r="E718" t="inlineStr">
        <is>
          <t>北斗産業株式会社</t>
        </is>
      </c>
      <c r="F718" t="inlineStr">
        <is>
          <t>北海道</t>
        </is>
      </c>
      <c r="G718" t="inlineStr">
        <is>
          <t>消耗品</t>
        </is>
      </c>
      <c r="H718" t="inlineStr">
        <is>
          <t>交換用ヘッド</t>
        </is>
      </c>
      <c r="I718" s="4" t="n">
        <v>14</v>
      </c>
      <c r="J718" s="4" t="n">
        <v>18140</v>
      </c>
      <c r="K718" s="4">
        <f>I718*J718</f>
        <v/>
      </c>
      <c r="L718" t="inlineStr"/>
    </row>
    <row r="719">
      <c r="A719" t="inlineStr">
        <is>
          <t>SR030</t>
        </is>
      </c>
      <c r="B719" t="inlineStr">
        <is>
          <t>営業担当030</t>
        </is>
      </c>
      <c r="C719" t="inlineStr">
        <is>
          <t>インサイドセールス部</t>
        </is>
      </c>
      <c r="D719" s="3" t="n">
        <v>46047</v>
      </c>
      <c r="E719" t="inlineStr">
        <is>
          <t>東洋フーズ株式会社</t>
        </is>
      </c>
      <c r="F719" t="inlineStr">
        <is>
          <t>福岡県</t>
        </is>
      </c>
      <c r="G719" t="inlineStr">
        <is>
          <t>導入支援</t>
        </is>
      </c>
      <c r="H719" t="inlineStr">
        <is>
          <t>操作研修パック</t>
        </is>
      </c>
      <c r="I719" s="4" t="n">
        <v>4</v>
      </c>
      <c r="J719" s="4" t="n">
        <v>96500</v>
      </c>
      <c r="K719" s="4">
        <f>I719*J719</f>
        <v/>
      </c>
      <c r="L719" t="inlineStr">
        <is>
          <t>分納</t>
        </is>
      </c>
    </row>
    <row r="720">
      <c r="A720" t="inlineStr">
        <is>
          <t>SR030</t>
        </is>
      </c>
      <c r="B720" t="inlineStr">
        <is>
          <t>営業担当030</t>
        </is>
      </c>
      <c r="C720" t="inlineStr">
        <is>
          <t>インサイドセールス部</t>
        </is>
      </c>
      <c r="D720" s="3" t="n">
        <v>46050</v>
      </c>
      <c r="E720" t="inlineStr">
        <is>
          <t>グリーンテック株式会社</t>
        </is>
      </c>
      <c r="F720" t="inlineStr">
        <is>
          <t>東京都</t>
        </is>
      </c>
      <c r="G720" t="inlineStr">
        <is>
          <t>導入支援</t>
        </is>
      </c>
      <c r="H720" t="inlineStr">
        <is>
          <t>データ移行支援</t>
        </is>
      </c>
      <c r="I720" s="4" t="n">
        <v>3</v>
      </c>
      <c r="J720" s="4" t="n">
        <v>262700</v>
      </c>
      <c r="K720" s="4">
        <f>I720*J720</f>
        <v/>
      </c>
      <c r="L720" t="inlineStr">
        <is>
          <t>リピート受注</t>
        </is>
      </c>
    </row>
    <row r="721">
      <c r="A721" t="inlineStr">
        <is>
          <t>SR030</t>
        </is>
      </c>
      <c r="B721" t="inlineStr">
        <is>
          <t>営業担当030</t>
        </is>
      </c>
      <c r="C721" t="inlineStr">
        <is>
          <t>インサイドセールス部</t>
        </is>
      </c>
      <c r="D721" s="3" t="n">
        <v>46061</v>
      </c>
      <c r="E721" t="inlineStr">
        <is>
          <t>アーク電機(株)</t>
        </is>
      </c>
      <c r="F721" t="inlineStr">
        <is>
          <t>東京都</t>
        </is>
      </c>
      <c r="G721" t="inlineStr">
        <is>
          <t>消耗品</t>
        </is>
      </c>
      <c r="H721" t="inlineStr">
        <is>
          <t>交換用ヘッド</t>
        </is>
      </c>
      <c r="I721" s="4" t="n">
        <v>14</v>
      </c>
      <c r="J721" s="4" t="n">
        <v>27580</v>
      </c>
      <c r="K721" s="4">
        <f>I721*J721</f>
        <v/>
      </c>
      <c r="L721" t="inlineStr">
        <is>
          <t>新規開拓</t>
        </is>
      </c>
    </row>
    <row r="722">
      <c r="A722" t="inlineStr">
        <is>
          <t>SR030</t>
        </is>
      </c>
      <c r="B722" t="inlineStr">
        <is>
          <t>営業担当030</t>
        </is>
      </c>
      <c r="C722" t="inlineStr">
        <is>
          <t>インサイドセールス部</t>
        </is>
      </c>
      <c r="D722" s="3" t="n">
        <v>46074</v>
      </c>
      <c r="E722" t="inlineStr">
        <is>
          <t>西日本機工株式会社</t>
        </is>
      </c>
      <c r="F722" t="inlineStr">
        <is>
          <t>福岡県</t>
        </is>
      </c>
      <c r="G722" t="inlineStr">
        <is>
          <t>ハードウェア</t>
        </is>
      </c>
      <c r="H722" t="inlineStr">
        <is>
          <t>産業用タブレット</t>
        </is>
      </c>
      <c r="I722" s="4" t="n">
        <v>5</v>
      </c>
      <c r="J722" s="4" t="n">
        <v>93900</v>
      </c>
      <c r="K722" s="4">
        <f>I722*J722</f>
        <v/>
      </c>
      <c r="L722" t="inlineStr"/>
    </row>
    <row r="723">
      <c r="A723" t="inlineStr">
        <is>
          <t>SR030</t>
        </is>
      </c>
      <c r="B723" t="inlineStr">
        <is>
          <t>営業担当030</t>
        </is>
      </c>
      <c r="C723" t="inlineStr">
        <is>
          <t>インサイドセールス部</t>
        </is>
      </c>
      <c r="D723" s="3" t="n">
        <v>46094</v>
      </c>
      <c r="E723" t="inlineStr">
        <is>
          <t>ライトホーム有限会社</t>
        </is>
      </c>
      <c r="F723" t="inlineStr">
        <is>
          <t>兵庫県</t>
        </is>
      </c>
      <c r="G723" t="inlineStr">
        <is>
          <t>消耗品</t>
        </is>
      </c>
      <c r="H723" t="inlineStr">
        <is>
          <t>交換用ヘッド</t>
        </is>
      </c>
      <c r="I723" s="4" t="n">
        <v>9</v>
      </c>
      <c r="J723" s="4" t="n">
        <v>38270</v>
      </c>
      <c r="K723" s="4">
        <f>I723*J723</f>
        <v/>
      </c>
      <c r="L723" t="inlineStr"/>
    </row>
    <row r="724">
      <c r="A724" t="inlineStr">
        <is>
          <t>SR030</t>
        </is>
      </c>
      <c r="B724" t="inlineStr">
        <is>
          <t>営業担当030</t>
        </is>
      </c>
      <c r="C724" t="inlineStr">
        <is>
          <t>インサイドセールス部</t>
        </is>
      </c>
      <c r="D724" s="3" t="n">
        <v>46096</v>
      </c>
      <c r="E724" t="inlineStr">
        <is>
          <t>ネクストソリューション(株)</t>
        </is>
      </c>
      <c r="F724" t="inlineStr">
        <is>
          <t>京都府</t>
        </is>
      </c>
      <c r="G724" t="inlineStr">
        <is>
          <t>ソフトウェア</t>
        </is>
      </c>
      <c r="H724" t="inlineStr">
        <is>
          <t>AIチャットボット</t>
        </is>
      </c>
      <c r="I724" s="4" t="n">
        <v>2</v>
      </c>
      <c r="J724" s="4" t="n">
        <v>427600</v>
      </c>
      <c r="K724" s="4">
        <f>I724*J724</f>
        <v/>
      </c>
      <c r="L724" t="inlineStr">
        <is>
          <t>分納</t>
        </is>
      </c>
    </row>
    <row r="725">
      <c r="A725" t="inlineStr">
        <is>
          <t>SR031</t>
        </is>
      </c>
      <c r="B725" t="inlineStr">
        <is>
          <t>営業担当031</t>
        </is>
      </c>
      <c r="C725" t="inlineStr">
        <is>
          <t>第1営業部</t>
        </is>
      </c>
      <c r="D725" s="3" t="n">
        <v>45762</v>
      </c>
      <c r="E725" t="inlineStr">
        <is>
          <t>アーク電機(株)</t>
        </is>
      </c>
      <c r="F725" t="inlineStr">
        <is>
          <t>大阪府</t>
        </is>
      </c>
      <c r="G725" t="inlineStr">
        <is>
          <t>消耗品</t>
        </is>
      </c>
      <c r="H725" t="inlineStr">
        <is>
          <t>交換用ヘッド</t>
        </is>
      </c>
      <c r="I725" s="4" t="n">
        <v>1</v>
      </c>
      <c r="J725" s="4" t="n">
        <v>22020</v>
      </c>
      <c r="K725" s="4">
        <f>I725*J725</f>
        <v/>
      </c>
      <c r="L725" t="inlineStr">
        <is>
          <t>値引き調整あり</t>
        </is>
      </c>
    </row>
    <row r="726">
      <c r="A726" t="inlineStr">
        <is>
          <t>SR031</t>
        </is>
      </c>
      <c r="B726" t="inlineStr">
        <is>
          <t>営業担当031</t>
        </is>
      </c>
      <c r="C726" t="inlineStr">
        <is>
          <t>第1営業部</t>
        </is>
      </c>
      <c r="D726" s="3" t="n">
        <v>45773</v>
      </c>
      <c r="E726" t="inlineStr">
        <is>
          <t>東洋フーズ株式会社</t>
        </is>
      </c>
      <c r="F726" t="inlineStr">
        <is>
          <t>愛知県</t>
        </is>
      </c>
      <c r="G726" t="inlineStr">
        <is>
          <t>保守サービス</t>
        </is>
      </c>
      <c r="H726" t="inlineStr">
        <is>
          <t>オンサイト保守</t>
        </is>
      </c>
      <c r="I726" s="4" t="n">
        <v>1</v>
      </c>
      <c r="J726" s="4" t="n">
        <v>103000</v>
      </c>
      <c r="K726" s="4">
        <f>I726*J726</f>
        <v/>
      </c>
      <c r="L726" t="inlineStr">
        <is>
          <t>リピート受注</t>
        </is>
      </c>
    </row>
    <row r="727">
      <c r="A727" t="inlineStr">
        <is>
          <t>SR031</t>
        </is>
      </c>
      <c r="B727" t="inlineStr">
        <is>
          <t>営業担当031</t>
        </is>
      </c>
      <c r="C727" t="inlineStr">
        <is>
          <t>第1営業部</t>
        </is>
      </c>
      <c r="D727" s="3" t="n">
        <v>45786</v>
      </c>
      <c r="E727" t="inlineStr">
        <is>
          <t>ライトホーム有限会社</t>
        </is>
      </c>
      <c r="F727" t="inlineStr">
        <is>
          <t>京都府</t>
        </is>
      </c>
      <c r="G727" t="inlineStr">
        <is>
          <t>ハードウェア</t>
        </is>
      </c>
      <c r="H727" t="inlineStr">
        <is>
          <t>産業用タブレット</t>
        </is>
      </c>
      <c r="I727" s="4" t="n">
        <v>2</v>
      </c>
      <c r="J727" s="4" t="n">
        <v>83100</v>
      </c>
      <c r="K727" s="4">
        <f>I727*J727</f>
        <v/>
      </c>
      <c r="L727" t="inlineStr"/>
    </row>
    <row r="728">
      <c r="A728" t="inlineStr">
        <is>
          <t>SR031</t>
        </is>
      </c>
      <c r="B728" t="inlineStr">
        <is>
          <t>営業担当031</t>
        </is>
      </c>
      <c r="C728" t="inlineStr">
        <is>
          <t>第1営業部</t>
        </is>
      </c>
      <c r="D728" s="3" t="n">
        <v>45794</v>
      </c>
      <c r="E728" t="inlineStr">
        <is>
          <t>九州エナジー(株)</t>
        </is>
      </c>
      <c r="F728" t="inlineStr">
        <is>
          <t>東京都</t>
        </is>
      </c>
      <c r="G728" t="inlineStr">
        <is>
          <t>ソフトウェア</t>
        </is>
      </c>
      <c r="H728" t="inlineStr">
        <is>
          <t>帳票自動化ツール</t>
        </is>
      </c>
      <c r="I728" s="4" t="n">
        <v>3</v>
      </c>
      <c r="J728" s="4" t="n">
        <v>312200</v>
      </c>
      <c r="K728" s="4">
        <f>I728*J728</f>
        <v/>
      </c>
      <c r="L728" t="inlineStr"/>
    </row>
    <row r="729">
      <c r="A729" t="inlineStr">
        <is>
          <t>SR031</t>
        </is>
      </c>
      <c r="B729" t="inlineStr">
        <is>
          <t>営業担当031</t>
        </is>
      </c>
      <c r="C729" t="inlineStr">
        <is>
          <t>第1営業部</t>
        </is>
      </c>
      <c r="D729" s="3" t="n">
        <v>45829</v>
      </c>
      <c r="E729" t="inlineStr">
        <is>
          <t>福岡流通株式会社</t>
        </is>
      </c>
      <c r="F729" t="inlineStr">
        <is>
          <t>福岡県</t>
        </is>
      </c>
      <c r="G729" t="inlineStr">
        <is>
          <t>ソフトウェア</t>
        </is>
      </c>
      <c r="H729" t="inlineStr">
        <is>
          <t>帳票自動化ツール</t>
        </is>
      </c>
      <c r="I729" s="4" t="n">
        <v>3</v>
      </c>
      <c r="J729" s="4" t="n">
        <v>185900</v>
      </c>
      <c r="K729" s="4">
        <f>I729*J729</f>
        <v/>
      </c>
      <c r="L729" t="inlineStr"/>
    </row>
    <row r="730">
      <c r="A730" t="inlineStr">
        <is>
          <t>SR031</t>
        </is>
      </c>
      <c r="B730" t="inlineStr">
        <is>
          <t>営業担当031</t>
        </is>
      </c>
      <c r="C730" t="inlineStr">
        <is>
          <t>第1営業部</t>
        </is>
      </c>
      <c r="D730" s="3" t="n">
        <v>45835</v>
      </c>
      <c r="E730" t="inlineStr">
        <is>
          <t>西日本機工株式会社</t>
        </is>
      </c>
      <c r="F730" t="inlineStr">
        <is>
          <t>北海道</t>
        </is>
      </c>
      <c r="G730" t="inlineStr">
        <is>
          <t>保守サービス</t>
        </is>
      </c>
      <c r="H730" t="inlineStr">
        <is>
          <t>ヘルプデスク契約</t>
        </is>
      </c>
      <c r="I730" s="4" t="n">
        <v>4</v>
      </c>
      <c r="J730" s="4" t="n">
        <v>84500</v>
      </c>
      <c r="K730" s="4">
        <f>I730*J730</f>
        <v/>
      </c>
      <c r="L730" t="inlineStr"/>
    </row>
    <row r="731">
      <c r="A731" t="inlineStr">
        <is>
          <t>SR031</t>
        </is>
      </c>
      <c r="B731" t="inlineStr">
        <is>
          <t>営業担当031</t>
        </is>
      </c>
      <c r="C731" t="inlineStr">
        <is>
          <t>第1営業部</t>
        </is>
      </c>
      <c r="D731" s="3" t="n">
        <v>45842</v>
      </c>
      <c r="E731" t="inlineStr">
        <is>
          <t>アーク電機株式会社</t>
        </is>
      </c>
      <c r="F731" t="inlineStr">
        <is>
          <t>福岡県</t>
        </is>
      </c>
      <c r="G731" t="inlineStr">
        <is>
          <t>保守サービス</t>
        </is>
      </c>
      <c r="H731" t="inlineStr">
        <is>
          <t>ヘルプデスク契約</t>
        </is>
      </c>
      <c r="I731" s="4" t="n">
        <v>5</v>
      </c>
      <c r="J731" s="4" t="n">
        <v>94600</v>
      </c>
      <c r="K731" s="4">
        <f>I731*J731</f>
        <v/>
      </c>
      <c r="L731" t="inlineStr">
        <is>
          <t>値引き調整あり</t>
        </is>
      </c>
    </row>
    <row r="732">
      <c r="A732" t="inlineStr">
        <is>
          <t>SR031</t>
        </is>
      </c>
      <c r="B732" t="inlineStr">
        <is>
          <t>営業担当031</t>
        </is>
      </c>
      <c r="C732" t="inlineStr">
        <is>
          <t>第1営業部</t>
        </is>
      </c>
      <c r="D732" s="3" t="n">
        <v>45859</v>
      </c>
      <c r="E732" t="inlineStr">
        <is>
          <t>グリーンテック(株)</t>
        </is>
      </c>
      <c r="F732" t="inlineStr">
        <is>
          <t>福岡県</t>
        </is>
      </c>
      <c r="G732" t="inlineStr">
        <is>
          <t>導入支援</t>
        </is>
      </c>
      <c r="H732" t="inlineStr">
        <is>
          <t>操作研修パック</t>
        </is>
      </c>
      <c r="I732" s="4" t="n">
        <v>3</v>
      </c>
      <c r="J732" s="4" t="n">
        <v>124700</v>
      </c>
      <c r="K732" s="4">
        <f>I732*J732</f>
        <v/>
      </c>
      <c r="L732" t="inlineStr">
        <is>
          <t>キャンペーン適用</t>
        </is>
      </c>
    </row>
    <row r="733">
      <c r="A733" t="inlineStr">
        <is>
          <t>SR031</t>
        </is>
      </c>
      <c r="B733" t="inlineStr">
        <is>
          <t>営業担当031</t>
        </is>
      </c>
      <c r="C733" t="inlineStr">
        <is>
          <t>第1営業部</t>
        </is>
      </c>
      <c r="D733" s="3" t="n">
        <v>45875</v>
      </c>
      <c r="E733" t="inlineStr">
        <is>
          <t>白峰化学有限会社</t>
        </is>
      </c>
      <c r="F733" t="inlineStr">
        <is>
          <t>兵庫県</t>
        </is>
      </c>
      <c r="G733" t="inlineStr">
        <is>
          <t>保守サービス</t>
        </is>
      </c>
      <c r="H733" t="inlineStr">
        <is>
          <t>年間保守契約</t>
        </is>
      </c>
      <c r="I733" s="4" t="n">
        <v>1</v>
      </c>
      <c r="J733" s="4" t="n">
        <v>182500</v>
      </c>
      <c r="K733" s="4">
        <f>I733*J733</f>
        <v/>
      </c>
      <c r="L733" t="inlineStr">
        <is>
          <t>新規開拓</t>
        </is>
      </c>
    </row>
    <row r="734">
      <c r="A734" t="inlineStr">
        <is>
          <t>SR031</t>
        </is>
      </c>
      <c r="B734" t="inlineStr">
        <is>
          <t>営業担当031</t>
        </is>
      </c>
      <c r="C734" t="inlineStr">
        <is>
          <t>第1営業部</t>
        </is>
      </c>
      <c r="D734" s="3" t="n">
        <v>45893</v>
      </c>
      <c r="E734" t="inlineStr">
        <is>
          <t>北斗産業有限会社</t>
        </is>
      </c>
      <c r="F734" t="inlineStr">
        <is>
          <t>神奈川県</t>
        </is>
      </c>
      <c r="G734" t="inlineStr">
        <is>
          <t>消耗品</t>
        </is>
      </c>
      <c r="H734" t="inlineStr">
        <is>
          <t>交換用ヘッド</t>
        </is>
      </c>
      <c r="I734" s="4" t="n">
        <v>11</v>
      </c>
      <c r="J734" s="4" t="n">
        <v>24920</v>
      </c>
      <c r="K734" s="4">
        <f>I734*J734</f>
        <v/>
      </c>
      <c r="L734" t="inlineStr">
        <is>
          <t>値引き調整あり</t>
        </is>
      </c>
    </row>
    <row r="735">
      <c r="A735" t="inlineStr">
        <is>
          <t>SR031</t>
        </is>
      </c>
      <c r="B735" t="inlineStr">
        <is>
          <t>営業担当031</t>
        </is>
      </c>
      <c r="C735" t="inlineStr">
        <is>
          <t>第1営業部</t>
        </is>
      </c>
      <c r="D735" s="3" t="n">
        <v>45912</v>
      </c>
      <c r="E735" t="inlineStr">
        <is>
          <t>日新サービス株式会社</t>
        </is>
      </c>
      <c r="F735" t="inlineStr">
        <is>
          <t>宮城県</t>
        </is>
      </c>
      <c r="G735" t="inlineStr">
        <is>
          <t>消耗品</t>
        </is>
      </c>
      <c r="H735" t="inlineStr">
        <is>
          <t>ラベルロール</t>
        </is>
      </c>
      <c r="I735" s="4" t="n">
        <v>5</v>
      </c>
      <c r="J735" s="4" t="n">
        <v>11840</v>
      </c>
      <c r="K735" s="4">
        <f>I735*J735</f>
        <v/>
      </c>
      <c r="L735" t="inlineStr"/>
    </row>
    <row r="736">
      <c r="A736" t="inlineStr">
        <is>
          <t>SR031</t>
        </is>
      </c>
      <c r="B736" t="inlineStr">
        <is>
          <t>営業担当031</t>
        </is>
      </c>
      <c r="C736" t="inlineStr">
        <is>
          <t>第1営業部</t>
        </is>
      </c>
      <c r="D736" s="3" t="n">
        <v>45918</v>
      </c>
      <c r="E736" t="inlineStr">
        <is>
          <t>青葉商事株式会社</t>
        </is>
      </c>
      <c r="F736" t="inlineStr">
        <is>
          <t>兵庫県</t>
        </is>
      </c>
      <c r="G736" t="inlineStr">
        <is>
          <t>保守サービス</t>
        </is>
      </c>
      <c r="H736" t="inlineStr">
        <is>
          <t>オンサイト保守</t>
        </is>
      </c>
      <c r="I736" s="4" t="n">
        <v>1</v>
      </c>
      <c r="J736" s="4" t="n">
        <v>70500</v>
      </c>
      <c r="K736" s="4">
        <f>I736*J736</f>
        <v/>
      </c>
      <c r="L736" t="inlineStr">
        <is>
          <t>リピート受注</t>
        </is>
      </c>
    </row>
    <row r="737">
      <c r="A737" t="inlineStr">
        <is>
          <t>SR031</t>
        </is>
      </c>
      <c r="B737" t="inlineStr">
        <is>
          <t>営業担当031</t>
        </is>
      </c>
      <c r="C737" t="inlineStr">
        <is>
          <t>第1営業部</t>
        </is>
      </c>
      <c r="D737" s="3" t="n">
        <v>45934</v>
      </c>
      <c r="E737" t="inlineStr">
        <is>
          <t>未来通信(株)</t>
        </is>
      </c>
      <c r="F737" t="inlineStr">
        <is>
          <t>京都府</t>
        </is>
      </c>
      <c r="G737" t="inlineStr">
        <is>
          <t>導入支援</t>
        </is>
      </c>
      <c r="H737" t="inlineStr">
        <is>
          <t>操作研修パック</t>
        </is>
      </c>
      <c r="I737" s="4" t="n">
        <v>2</v>
      </c>
      <c r="J737" s="4" t="n">
        <v>72800</v>
      </c>
      <c r="K737" s="4">
        <f>I737*J737</f>
        <v/>
      </c>
      <c r="L737" t="inlineStr"/>
    </row>
    <row r="738">
      <c r="A738" t="inlineStr">
        <is>
          <t>SR031</t>
        </is>
      </c>
      <c r="B738" t="inlineStr">
        <is>
          <t>営業担当031</t>
        </is>
      </c>
      <c r="C738" t="inlineStr">
        <is>
          <t>第1営業部</t>
        </is>
      </c>
      <c r="D738" s="3" t="n">
        <v>45957</v>
      </c>
      <c r="E738" t="inlineStr">
        <is>
          <t>青葉商事(株)</t>
        </is>
      </c>
      <c r="F738" t="inlineStr">
        <is>
          <t>宮城県</t>
        </is>
      </c>
      <c r="G738" t="inlineStr">
        <is>
          <t>消耗品</t>
        </is>
      </c>
      <c r="H738" t="inlineStr">
        <is>
          <t>ラベルロール</t>
        </is>
      </c>
      <c r="I738" s="4" t="n">
        <v>10</v>
      </c>
      <c r="J738" s="4" t="n">
        <v>10170</v>
      </c>
      <c r="K738" s="4">
        <f>I738*J738</f>
        <v/>
      </c>
      <c r="L738" t="inlineStr"/>
    </row>
    <row r="739">
      <c r="A739" t="inlineStr">
        <is>
          <t>SR031</t>
        </is>
      </c>
      <c r="B739" t="inlineStr">
        <is>
          <t>営業担当031</t>
        </is>
      </c>
      <c r="C739" t="inlineStr">
        <is>
          <t>第1営業部</t>
        </is>
      </c>
      <c r="D739" s="3" t="n">
        <v>45965</v>
      </c>
      <c r="E739" t="inlineStr">
        <is>
          <t>星和商会有限会社</t>
        </is>
      </c>
      <c r="F739" t="inlineStr">
        <is>
          <t>京都府</t>
        </is>
      </c>
      <c r="G739" t="inlineStr">
        <is>
          <t>ソフトウェア</t>
        </is>
      </c>
      <c r="H739" t="inlineStr">
        <is>
          <t>AIチャットボット</t>
        </is>
      </c>
      <c r="I739" s="4" t="n">
        <v>5</v>
      </c>
      <c r="J739" s="4" t="n">
        <v>895600</v>
      </c>
      <c r="K739" s="4">
        <f>I739*J739</f>
        <v/>
      </c>
      <c r="L739" t="inlineStr">
        <is>
          <t>リピート受注</t>
        </is>
      </c>
    </row>
    <row r="740">
      <c r="A740" t="inlineStr">
        <is>
          <t>SR031</t>
        </is>
      </c>
      <c r="B740" t="inlineStr">
        <is>
          <t>営業担当031</t>
        </is>
      </c>
      <c r="C740" t="inlineStr">
        <is>
          <t>第1営業部</t>
        </is>
      </c>
      <c r="D740" s="3" t="n">
        <v>45981</v>
      </c>
      <c r="E740" t="inlineStr">
        <is>
          <t>中央設備(株)</t>
        </is>
      </c>
      <c r="F740" t="inlineStr">
        <is>
          <t>北海道</t>
        </is>
      </c>
      <c r="G740" t="inlineStr">
        <is>
          <t>ソフトウェア</t>
        </is>
      </c>
      <c r="H740" t="inlineStr">
        <is>
          <t>帳票自動化ツール</t>
        </is>
      </c>
      <c r="I740" s="4" t="n">
        <v>4</v>
      </c>
      <c r="J740" s="4" t="n">
        <v>185500</v>
      </c>
      <c r="K740" s="4">
        <f>I740*J740</f>
        <v/>
      </c>
      <c r="L740" t="inlineStr">
        <is>
          <t>分納</t>
        </is>
      </c>
    </row>
    <row r="741">
      <c r="A741" t="inlineStr">
        <is>
          <t>SR031</t>
        </is>
      </c>
      <c r="B741" t="inlineStr">
        <is>
          <t>営業担当031</t>
        </is>
      </c>
      <c r="C741" t="inlineStr">
        <is>
          <t>第1営業部</t>
        </is>
      </c>
      <c r="D741" s="3" t="n">
        <v>45999</v>
      </c>
      <c r="E741" t="inlineStr">
        <is>
          <t>福岡流通(株)</t>
        </is>
      </c>
      <c r="F741" t="inlineStr">
        <is>
          <t>神奈川県</t>
        </is>
      </c>
      <c r="G741" t="inlineStr">
        <is>
          <t>ハードウェア</t>
        </is>
      </c>
      <c r="H741" t="inlineStr">
        <is>
          <t>ラベルプリンター</t>
        </is>
      </c>
      <c r="I741" s="4" t="n">
        <v>2</v>
      </c>
      <c r="J741" s="4" t="n">
        <v>43700</v>
      </c>
      <c r="K741" s="4">
        <f>I741*J741</f>
        <v/>
      </c>
      <c r="L741" t="inlineStr">
        <is>
          <t>新規開拓</t>
        </is>
      </c>
    </row>
    <row r="742">
      <c r="A742" t="inlineStr">
        <is>
          <t>SR031</t>
        </is>
      </c>
      <c r="B742" t="inlineStr">
        <is>
          <t>営業担当031</t>
        </is>
      </c>
      <c r="C742" t="inlineStr">
        <is>
          <t>第1営業部</t>
        </is>
      </c>
      <c r="D742" s="3" t="n">
        <v>46005</v>
      </c>
      <c r="E742" t="inlineStr">
        <is>
          <t>ライトホーム(株)</t>
        </is>
      </c>
      <c r="F742" t="inlineStr">
        <is>
          <t>神奈川県</t>
        </is>
      </c>
      <c r="G742" t="inlineStr">
        <is>
          <t>消耗品</t>
        </is>
      </c>
      <c r="H742" t="inlineStr">
        <is>
          <t>交換用ヘッド</t>
        </is>
      </c>
      <c r="I742" s="4" t="n">
        <v>10</v>
      </c>
      <c r="J742" s="4" t="n">
        <v>26490</v>
      </c>
      <c r="K742" s="4">
        <f>I742*J742</f>
        <v/>
      </c>
      <c r="L742" t="inlineStr"/>
    </row>
    <row r="743">
      <c r="A743" t="inlineStr">
        <is>
          <t>SR031</t>
        </is>
      </c>
      <c r="B743" t="inlineStr">
        <is>
          <t>営業担当031</t>
        </is>
      </c>
      <c r="C743" t="inlineStr">
        <is>
          <t>第1営業部</t>
        </is>
      </c>
      <c r="D743" s="3" t="n">
        <v>46042</v>
      </c>
      <c r="E743" t="inlineStr">
        <is>
          <t>星和商会(株)</t>
        </is>
      </c>
      <c r="F743" t="inlineStr">
        <is>
          <t>京都府</t>
        </is>
      </c>
      <c r="G743" t="inlineStr">
        <is>
          <t>導入支援</t>
        </is>
      </c>
      <c r="H743" t="inlineStr">
        <is>
          <t>データ移行支援</t>
        </is>
      </c>
      <c r="I743" s="4" t="n">
        <v>2</v>
      </c>
      <c r="J743" s="4" t="n">
        <v>329600</v>
      </c>
      <c r="K743" s="4">
        <f>I743*J743</f>
        <v/>
      </c>
      <c r="L743" t="inlineStr">
        <is>
          <t>大型案件</t>
        </is>
      </c>
    </row>
    <row r="744">
      <c r="A744" t="inlineStr">
        <is>
          <t>SR031</t>
        </is>
      </c>
      <c r="B744" t="inlineStr">
        <is>
          <t>営業担当031</t>
        </is>
      </c>
      <c r="C744" t="inlineStr">
        <is>
          <t>第1営業部</t>
        </is>
      </c>
      <c r="D744" s="3" t="n">
        <v>46048</v>
      </c>
      <c r="E744" t="inlineStr">
        <is>
          <t>北斗産業株式会社</t>
        </is>
      </c>
      <c r="F744" t="inlineStr">
        <is>
          <t>大阪府</t>
        </is>
      </c>
      <c r="G744" t="inlineStr">
        <is>
          <t>導入支援</t>
        </is>
      </c>
      <c r="H744" t="inlineStr">
        <is>
          <t>操作研修パック</t>
        </is>
      </c>
      <c r="I744" s="4" t="n">
        <v>1</v>
      </c>
      <c r="J744" s="4" t="n">
        <v>128800</v>
      </c>
      <c r="K744" s="4">
        <f>I744*J744</f>
        <v/>
      </c>
      <c r="L744" t="inlineStr">
        <is>
          <t>値引き調整あり</t>
        </is>
      </c>
    </row>
    <row r="745">
      <c r="A745" t="inlineStr">
        <is>
          <t>SR031</t>
        </is>
      </c>
      <c r="B745" t="inlineStr">
        <is>
          <t>営業担当031</t>
        </is>
      </c>
      <c r="C745" t="inlineStr">
        <is>
          <t>第1営業部</t>
        </is>
      </c>
      <c r="D745" s="3" t="n">
        <v>46058</v>
      </c>
      <c r="E745" t="inlineStr">
        <is>
          <t>東洋フーズ(株)</t>
        </is>
      </c>
      <c r="F745" t="inlineStr">
        <is>
          <t>広島県</t>
        </is>
      </c>
      <c r="G745" t="inlineStr">
        <is>
          <t>消耗品</t>
        </is>
      </c>
      <c r="H745" t="inlineStr">
        <is>
          <t>保守用バッテリー</t>
        </is>
      </c>
      <c r="I745" s="4" t="n">
        <v>13</v>
      </c>
      <c r="J745" s="4" t="n">
        <v>12500</v>
      </c>
      <c r="K745" s="4">
        <f>I745*J745</f>
        <v/>
      </c>
      <c r="L745" t="inlineStr"/>
    </row>
    <row r="746">
      <c r="A746" t="inlineStr">
        <is>
          <t>SR031</t>
        </is>
      </c>
      <c r="B746" t="inlineStr">
        <is>
          <t>営業担当031</t>
        </is>
      </c>
      <c r="C746" t="inlineStr">
        <is>
          <t>第1営業部</t>
        </is>
      </c>
      <c r="D746" s="3" t="n">
        <v>46076</v>
      </c>
      <c r="E746" t="inlineStr">
        <is>
          <t>サンライズ建設株式会社</t>
        </is>
      </c>
      <c r="F746" t="inlineStr">
        <is>
          <t>東京都</t>
        </is>
      </c>
      <c r="G746" t="inlineStr">
        <is>
          <t>ソフトウェア</t>
        </is>
      </c>
      <c r="H746" t="inlineStr">
        <is>
          <t>在庫管理クラウド</t>
        </is>
      </c>
      <c r="I746" s="4" t="n">
        <v>4</v>
      </c>
      <c r="J746" s="4" t="n">
        <v>436100</v>
      </c>
      <c r="K746" s="4">
        <f>I746*J746</f>
        <v/>
      </c>
      <c r="L746" t="inlineStr"/>
    </row>
    <row r="747">
      <c r="A747" t="inlineStr">
        <is>
          <t>SR031</t>
        </is>
      </c>
      <c r="B747" t="inlineStr">
        <is>
          <t>営業担当031</t>
        </is>
      </c>
      <c r="C747" t="inlineStr">
        <is>
          <t>第1営業部</t>
        </is>
      </c>
      <c r="D747" s="3" t="n">
        <v>46105</v>
      </c>
      <c r="E747" t="inlineStr">
        <is>
          <t>東洋フーズ有限会社</t>
        </is>
      </c>
      <c r="F747" t="inlineStr">
        <is>
          <t>宮城県</t>
        </is>
      </c>
      <c r="G747" t="inlineStr">
        <is>
          <t>導入支援</t>
        </is>
      </c>
      <c r="H747" t="inlineStr">
        <is>
          <t>初期設定支援</t>
        </is>
      </c>
      <c r="I747" s="4" t="n">
        <v>3</v>
      </c>
      <c r="J747" s="4" t="n">
        <v>121600</v>
      </c>
      <c r="K747" s="4">
        <f>I747*J747</f>
        <v/>
      </c>
      <c r="L747" t="inlineStr">
        <is>
          <t>値引き調整あり</t>
        </is>
      </c>
    </row>
    <row r="748">
      <c r="A748" t="inlineStr">
        <is>
          <t>SR031</t>
        </is>
      </c>
      <c r="B748" t="inlineStr">
        <is>
          <t>営業担当031</t>
        </is>
      </c>
      <c r="C748" t="inlineStr">
        <is>
          <t>第1営業部</t>
        </is>
      </c>
      <c r="D748" s="3" t="n">
        <v>46106</v>
      </c>
      <c r="E748" t="inlineStr">
        <is>
          <t>中央設備有限会社</t>
        </is>
      </c>
      <c r="F748" t="inlineStr">
        <is>
          <t>福岡県</t>
        </is>
      </c>
      <c r="G748" t="inlineStr">
        <is>
          <t>ハードウェア</t>
        </is>
      </c>
      <c r="H748" t="inlineStr">
        <is>
          <t>産業用タブレット</t>
        </is>
      </c>
      <c r="I748" s="4" t="n">
        <v>4</v>
      </c>
      <c r="J748" s="4" t="n">
        <v>107600</v>
      </c>
      <c r="K748" s="4">
        <f>I748*J748</f>
        <v/>
      </c>
      <c r="L748" t="inlineStr">
        <is>
          <t>値引き調整あり</t>
        </is>
      </c>
    </row>
    <row r="749">
      <c r="A749" t="inlineStr">
        <is>
          <t>SR032</t>
        </is>
      </c>
      <c r="B749" t="inlineStr">
        <is>
          <t>営業担当032</t>
        </is>
      </c>
      <c r="C749" t="inlineStr">
        <is>
          <t>第2営業部</t>
        </is>
      </c>
      <c r="D749" s="3" t="n">
        <v>45751</v>
      </c>
      <c r="E749" t="inlineStr">
        <is>
          <t>青葉商事(株)</t>
        </is>
      </c>
      <c r="F749" t="inlineStr">
        <is>
          <t>東京都</t>
        </is>
      </c>
      <c r="G749" t="inlineStr">
        <is>
          <t>消耗品</t>
        </is>
      </c>
      <c r="H749" t="inlineStr">
        <is>
          <t>ラベルロール</t>
        </is>
      </c>
      <c r="I749" s="4" t="n">
        <v>6</v>
      </c>
      <c r="J749" s="4" t="n">
        <v>11760</v>
      </c>
      <c r="K749" s="4">
        <f>I749*J749</f>
        <v/>
      </c>
      <c r="L749" t="inlineStr"/>
    </row>
    <row r="750">
      <c r="A750" t="inlineStr">
        <is>
          <t>SR032</t>
        </is>
      </c>
      <c r="B750" t="inlineStr">
        <is>
          <t>営業担当032</t>
        </is>
      </c>
      <c r="C750" t="inlineStr">
        <is>
          <t>第2営業部</t>
        </is>
      </c>
      <c r="D750" s="3" t="n">
        <v>45763</v>
      </c>
      <c r="E750" t="inlineStr">
        <is>
          <t>白峰化学株式会社</t>
        </is>
      </c>
      <c r="F750" t="inlineStr">
        <is>
          <t>神奈川県</t>
        </is>
      </c>
      <c r="G750" t="inlineStr">
        <is>
          <t>保守サービス</t>
        </is>
      </c>
      <c r="H750" t="inlineStr">
        <is>
          <t>ヘルプデスク契約</t>
        </is>
      </c>
      <c r="I750" s="4" t="n">
        <v>5</v>
      </c>
      <c r="J750" s="4" t="n">
        <v>49000</v>
      </c>
      <c r="K750" s="4">
        <f>I750*J750</f>
        <v/>
      </c>
      <c r="L750" t="inlineStr">
        <is>
          <t>値引き調整あり</t>
        </is>
      </c>
    </row>
    <row r="751">
      <c r="A751" t="inlineStr">
        <is>
          <t>SR032</t>
        </is>
      </c>
      <c r="B751" t="inlineStr">
        <is>
          <t>営業担当032</t>
        </is>
      </c>
      <c r="C751" t="inlineStr">
        <is>
          <t>第2営業部</t>
        </is>
      </c>
      <c r="D751" s="3" t="n">
        <v>45781</v>
      </c>
      <c r="E751" t="inlineStr">
        <is>
          <t>日新サービス有限会社</t>
        </is>
      </c>
      <c r="F751" t="inlineStr">
        <is>
          <t>大阪府</t>
        </is>
      </c>
      <c r="G751" t="inlineStr">
        <is>
          <t>保守サービス</t>
        </is>
      </c>
      <c r="H751" t="inlineStr">
        <is>
          <t>ヘルプデスク契約</t>
        </is>
      </c>
      <c r="I751" s="4" t="n">
        <v>1</v>
      </c>
      <c r="J751" s="4" t="n">
        <v>117100</v>
      </c>
      <c r="K751" s="4">
        <f>I751*J751</f>
        <v/>
      </c>
      <c r="L751" t="inlineStr">
        <is>
          <t>リピート受注</t>
        </is>
      </c>
    </row>
    <row r="752">
      <c r="A752" t="inlineStr">
        <is>
          <t>SR032</t>
        </is>
      </c>
      <c r="B752" t="inlineStr">
        <is>
          <t>営業担当032</t>
        </is>
      </c>
      <c r="C752" t="inlineStr">
        <is>
          <t>第2営業部</t>
        </is>
      </c>
      <c r="D752" s="3" t="n">
        <v>45781</v>
      </c>
      <c r="E752" t="inlineStr">
        <is>
          <t>大和精機有限会社</t>
        </is>
      </c>
      <c r="F752" t="inlineStr">
        <is>
          <t>神奈川県</t>
        </is>
      </c>
      <c r="G752" t="inlineStr">
        <is>
          <t>ソフトウェア</t>
        </is>
      </c>
      <c r="H752" t="inlineStr">
        <is>
          <t>帳票自動化ツール</t>
        </is>
      </c>
      <c r="I752" s="4" t="n">
        <v>2</v>
      </c>
      <c r="J752" s="4" t="n">
        <v>281400</v>
      </c>
      <c r="K752" s="4">
        <f>I752*J752</f>
        <v/>
      </c>
      <c r="L752" t="inlineStr">
        <is>
          <t>大型案件</t>
        </is>
      </c>
    </row>
    <row r="753">
      <c r="A753" t="inlineStr">
        <is>
          <t>SR032</t>
        </is>
      </c>
      <c r="B753" t="inlineStr">
        <is>
          <t>営業担当032</t>
        </is>
      </c>
      <c r="C753" t="inlineStr">
        <is>
          <t>第2営業部</t>
        </is>
      </c>
      <c r="D753" s="3" t="n">
        <v>45815</v>
      </c>
      <c r="E753" t="inlineStr">
        <is>
          <t>サンライズ建設(株)</t>
        </is>
      </c>
      <c r="F753" t="inlineStr">
        <is>
          <t>京都府</t>
        </is>
      </c>
      <c r="G753" t="inlineStr">
        <is>
          <t>保守サービス</t>
        </is>
      </c>
      <c r="H753" t="inlineStr">
        <is>
          <t>オンサイト保守</t>
        </is>
      </c>
      <c r="I753" s="4" t="n">
        <v>1</v>
      </c>
      <c r="J753" s="4" t="n">
        <v>95800</v>
      </c>
      <c r="K753" s="4">
        <f>I753*J753</f>
        <v/>
      </c>
      <c r="L753" t="inlineStr"/>
    </row>
    <row r="754">
      <c r="A754" t="inlineStr">
        <is>
          <t>SR032</t>
        </is>
      </c>
      <c r="B754" t="inlineStr">
        <is>
          <t>営業担当032</t>
        </is>
      </c>
      <c r="C754" t="inlineStr">
        <is>
          <t>第2営業部</t>
        </is>
      </c>
      <c r="D754" s="3" t="n">
        <v>45826</v>
      </c>
      <c r="E754" t="inlineStr">
        <is>
          <t>白峰化学(株)</t>
        </is>
      </c>
      <c r="F754" t="inlineStr">
        <is>
          <t>兵庫県</t>
        </is>
      </c>
      <c r="G754" t="inlineStr">
        <is>
          <t>導入支援</t>
        </is>
      </c>
      <c r="H754" t="inlineStr">
        <is>
          <t>初期設定支援</t>
        </is>
      </c>
      <c r="I754" s="4" t="n">
        <v>5</v>
      </c>
      <c r="J754" s="4" t="n">
        <v>99900</v>
      </c>
      <c r="K754" s="4">
        <f>I754*J754</f>
        <v/>
      </c>
      <c r="L754" t="inlineStr">
        <is>
          <t>値引き調整あり</t>
        </is>
      </c>
    </row>
    <row r="755">
      <c r="A755" t="inlineStr">
        <is>
          <t>SR032</t>
        </is>
      </c>
      <c r="B755" t="inlineStr">
        <is>
          <t>営業担当032</t>
        </is>
      </c>
      <c r="C755" t="inlineStr">
        <is>
          <t>第2営業部</t>
        </is>
      </c>
      <c r="D755" s="3" t="n">
        <v>45844</v>
      </c>
      <c r="E755" t="inlineStr">
        <is>
          <t>未来通信株式会社</t>
        </is>
      </c>
      <c r="F755" t="inlineStr">
        <is>
          <t>東京都</t>
        </is>
      </c>
      <c r="G755" t="inlineStr">
        <is>
          <t>消耗品</t>
        </is>
      </c>
      <c r="H755" t="inlineStr">
        <is>
          <t>交換用ヘッド</t>
        </is>
      </c>
      <c r="I755" s="4" t="n">
        <v>9</v>
      </c>
      <c r="J755" s="4" t="n">
        <v>16190</v>
      </c>
      <c r="K755" s="4">
        <f>I755*J755</f>
        <v/>
      </c>
      <c r="L755" t="inlineStr">
        <is>
          <t>大型案件</t>
        </is>
      </c>
    </row>
    <row r="756">
      <c r="A756" t="inlineStr">
        <is>
          <t>SR032</t>
        </is>
      </c>
      <c r="B756" t="inlineStr">
        <is>
          <t>営業担当032</t>
        </is>
      </c>
      <c r="C756" t="inlineStr">
        <is>
          <t>第2営業部</t>
        </is>
      </c>
      <c r="D756" s="3" t="n">
        <v>45844</v>
      </c>
      <c r="E756" t="inlineStr">
        <is>
          <t>ネクストソリューション(株)</t>
        </is>
      </c>
      <c r="F756" t="inlineStr">
        <is>
          <t>大阪府</t>
        </is>
      </c>
      <c r="G756" t="inlineStr">
        <is>
          <t>保守サービス</t>
        </is>
      </c>
      <c r="H756" t="inlineStr">
        <is>
          <t>年間保守契約</t>
        </is>
      </c>
      <c r="I756" s="4" t="n">
        <v>5</v>
      </c>
      <c r="J756" s="4" t="n">
        <v>236500</v>
      </c>
      <c r="K756" s="4">
        <f>I756*J756</f>
        <v/>
      </c>
      <c r="L756" t="inlineStr">
        <is>
          <t>キャンペーン適用</t>
        </is>
      </c>
    </row>
    <row r="757">
      <c r="A757" t="inlineStr">
        <is>
          <t>SR032</t>
        </is>
      </c>
      <c r="B757" t="inlineStr">
        <is>
          <t>営業担当032</t>
        </is>
      </c>
      <c r="C757" t="inlineStr">
        <is>
          <t>第2営業部</t>
        </is>
      </c>
      <c r="D757" s="3" t="n">
        <v>45887</v>
      </c>
      <c r="E757" t="inlineStr">
        <is>
          <t>福岡流通有限会社</t>
        </is>
      </c>
      <c r="F757" t="inlineStr">
        <is>
          <t>北海道</t>
        </is>
      </c>
      <c r="G757" t="inlineStr">
        <is>
          <t>保守サービス</t>
        </is>
      </c>
      <c r="H757" t="inlineStr">
        <is>
          <t>年間保守契約</t>
        </is>
      </c>
      <c r="I757" s="4" t="n">
        <v>3</v>
      </c>
      <c r="J757" s="4" t="n">
        <v>295100</v>
      </c>
      <c r="K757" s="4">
        <f>I757*J757</f>
        <v/>
      </c>
      <c r="L757" t="inlineStr">
        <is>
          <t>大型案件</t>
        </is>
      </c>
    </row>
    <row r="758">
      <c r="A758" t="inlineStr">
        <is>
          <t>SR032</t>
        </is>
      </c>
      <c r="B758" t="inlineStr">
        <is>
          <t>営業担当032</t>
        </is>
      </c>
      <c r="C758" t="inlineStr">
        <is>
          <t>第2営業部</t>
        </is>
      </c>
      <c r="D758" s="3" t="n">
        <v>45888</v>
      </c>
      <c r="E758" t="inlineStr">
        <is>
          <t>オーシャン製作所有限会社</t>
        </is>
      </c>
      <c r="F758" t="inlineStr">
        <is>
          <t>愛知県</t>
        </is>
      </c>
      <c r="G758" t="inlineStr">
        <is>
          <t>ハードウェア</t>
        </is>
      </c>
      <c r="H758" t="inlineStr">
        <is>
          <t>産業用タブレット</t>
        </is>
      </c>
      <c r="I758" s="4" t="n">
        <v>5</v>
      </c>
      <c r="J758" s="4" t="n">
        <v>117800</v>
      </c>
      <c r="K758" s="4">
        <f>I758*J758</f>
        <v/>
      </c>
      <c r="L758" t="inlineStr"/>
    </row>
    <row r="759">
      <c r="A759" t="inlineStr">
        <is>
          <t>SR032</t>
        </is>
      </c>
      <c r="B759" t="inlineStr">
        <is>
          <t>営業担当032</t>
        </is>
      </c>
      <c r="C759" t="inlineStr">
        <is>
          <t>第2営業部</t>
        </is>
      </c>
      <c r="D759" s="3" t="n">
        <v>45906</v>
      </c>
      <c r="E759" t="inlineStr">
        <is>
          <t>みらい物流(株)</t>
        </is>
      </c>
      <c r="F759" t="inlineStr">
        <is>
          <t>兵庫県</t>
        </is>
      </c>
      <c r="G759" t="inlineStr">
        <is>
          <t>保守サービス</t>
        </is>
      </c>
      <c r="H759" t="inlineStr">
        <is>
          <t>ヘルプデスク契約</t>
        </is>
      </c>
      <c r="I759" s="4" t="n">
        <v>4</v>
      </c>
      <c r="J759" s="4" t="n">
        <v>41100</v>
      </c>
      <c r="K759" s="4">
        <f>I759*J759</f>
        <v/>
      </c>
      <c r="L759" t="inlineStr"/>
    </row>
    <row r="760">
      <c r="A760" t="inlineStr">
        <is>
          <t>SR032</t>
        </is>
      </c>
      <c r="B760" t="inlineStr">
        <is>
          <t>営業担当032</t>
        </is>
      </c>
      <c r="C760" t="inlineStr">
        <is>
          <t>第2営業部</t>
        </is>
      </c>
      <c r="D760" s="3" t="n">
        <v>45919</v>
      </c>
      <c r="E760" t="inlineStr">
        <is>
          <t>ライトホーム(株)</t>
        </is>
      </c>
      <c r="F760" t="inlineStr">
        <is>
          <t>北海道</t>
        </is>
      </c>
      <c r="G760" t="inlineStr">
        <is>
          <t>消耗品</t>
        </is>
      </c>
      <c r="H760" t="inlineStr">
        <is>
          <t>ラベルロール</t>
        </is>
      </c>
      <c r="I760" s="4" t="n">
        <v>14</v>
      </c>
      <c r="J760" s="4" t="n">
        <v>11310</v>
      </c>
      <c r="K760" s="4">
        <f>I760*J760</f>
        <v/>
      </c>
      <c r="L760" t="inlineStr"/>
    </row>
    <row r="761">
      <c r="A761" t="inlineStr">
        <is>
          <t>SR032</t>
        </is>
      </c>
      <c r="B761" t="inlineStr">
        <is>
          <t>営業担当032</t>
        </is>
      </c>
      <c r="C761" t="inlineStr">
        <is>
          <t>第2営業部</t>
        </is>
      </c>
      <c r="D761" s="3" t="n">
        <v>45931</v>
      </c>
      <c r="E761" t="inlineStr">
        <is>
          <t>ネクストソリューション有限会社</t>
        </is>
      </c>
      <c r="F761" t="inlineStr">
        <is>
          <t>東京都</t>
        </is>
      </c>
      <c r="G761" t="inlineStr">
        <is>
          <t>ソフトウェア</t>
        </is>
      </c>
      <c r="H761" t="inlineStr">
        <is>
          <t>AIチャットボット</t>
        </is>
      </c>
      <c r="I761" s="4" t="n">
        <v>1</v>
      </c>
      <c r="J761" s="4" t="n">
        <v>320500</v>
      </c>
      <c r="K761" s="4">
        <f>I761*J761</f>
        <v/>
      </c>
      <c r="L761" t="inlineStr">
        <is>
          <t>キャンペーン適用</t>
        </is>
      </c>
    </row>
    <row r="762">
      <c r="A762" t="inlineStr">
        <is>
          <t>SR032</t>
        </is>
      </c>
      <c r="B762" t="inlineStr">
        <is>
          <t>営業担当032</t>
        </is>
      </c>
      <c r="C762" t="inlineStr">
        <is>
          <t>第2営業部</t>
        </is>
      </c>
      <c r="D762" s="3" t="n">
        <v>45940</v>
      </c>
      <c r="E762" t="inlineStr">
        <is>
          <t>日新サービス株式会社</t>
        </is>
      </c>
      <c r="F762" t="inlineStr">
        <is>
          <t>兵庫県</t>
        </is>
      </c>
      <c r="G762" t="inlineStr">
        <is>
          <t>ソフトウェア</t>
        </is>
      </c>
      <c r="H762" t="inlineStr">
        <is>
          <t>AIチャットボット</t>
        </is>
      </c>
      <c r="I762" s="4" t="n">
        <v>3</v>
      </c>
      <c r="J762" s="4" t="n">
        <v>654900</v>
      </c>
      <c r="K762" s="4">
        <f>I762*J762</f>
        <v/>
      </c>
      <c r="L762" t="inlineStr"/>
    </row>
    <row r="763">
      <c r="A763" t="inlineStr">
        <is>
          <t>SR032</t>
        </is>
      </c>
      <c r="B763" t="inlineStr">
        <is>
          <t>営業担当032</t>
        </is>
      </c>
      <c r="C763" t="inlineStr">
        <is>
          <t>第2営業部</t>
        </is>
      </c>
      <c r="D763" s="3" t="n">
        <v>45964</v>
      </c>
      <c r="E763" t="inlineStr">
        <is>
          <t>東洋フーズ株式会社</t>
        </is>
      </c>
      <c r="F763" t="inlineStr">
        <is>
          <t>兵庫県</t>
        </is>
      </c>
      <c r="G763" t="inlineStr">
        <is>
          <t>ソフトウェア</t>
        </is>
      </c>
      <c r="H763" t="inlineStr">
        <is>
          <t>営業支援SaaS</t>
        </is>
      </c>
      <c r="I763" s="4" t="n">
        <v>2</v>
      </c>
      <c r="J763" s="4" t="n">
        <v>305500</v>
      </c>
      <c r="K763" s="4">
        <f>I763*J763</f>
        <v/>
      </c>
      <c r="L763" t="inlineStr">
        <is>
          <t>値引き調整あり</t>
        </is>
      </c>
    </row>
    <row r="764">
      <c r="A764" t="inlineStr">
        <is>
          <t>SR032</t>
        </is>
      </c>
      <c r="B764" t="inlineStr">
        <is>
          <t>営業担当032</t>
        </is>
      </c>
      <c r="C764" t="inlineStr">
        <is>
          <t>第2営業部</t>
        </is>
      </c>
      <c r="D764" s="3" t="n">
        <v>45974</v>
      </c>
      <c r="E764" t="inlineStr">
        <is>
          <t>西日本機工有限会社</t>
        </is>
      </c>
      <c r="F764" t="inlineStr">
        <is>
          <t>兵庫県</t>
        </is>
      </c>
      <c r="G764" t="inlineStr">
        <is>
          <t>消耗品</t>
        </is>
      </c>
      <c r="H764" t="inlineStr">
        <is>
          <t>交換用ヘッド</t>
        </is>
      </c>
      <c r="I764" s="4" t="n">
        <v>14</v>
      </c>
      <c r="J764" s="4" t="n">
        <v>40260</v>
      </c>
      <c r="K764" s="4">
        <f>I764*J764</f>
        <v/>
      </c>
      <c r="L764" t="inlineStr">
        <is>
          <t>分納</t>
        </is>
      </c>
    </row>
    <row r="765">
      <c r="A765" t="inlineStr">
        <is>
          <t>SR032</t>
        </is>
      </c>
      <c r="B765" t="inlineStr">
        <is>
          <t>営業担当032</t>
        </is>
      </c>
      <c r="C765" t="inlineStr">
        <is>
          <t>第2営業部</t>
        </is>
      </c>
      <c r="D765" s="3" t="n">
        <v>46001</v>
      </c>
      <c r="E765" t="inlineStr">
        <is>
          <t>日新サービス有限会社</t>
        </is>
      </c>
      <c r="F765" t="inlineStr">
        <is>
          <t>兵庫県</t>
        </is>
      </c>
      <c r="G765" t="inlineStr">
        <is>
          <t>導入支援</t>
        </is>
      </c>
      <c r="H765" t="inlineStr">
        <is>
          <t>初期設定支援</t>
        </is>
      </c>
      <c r="I765" s="4" t="n">
        <v>2</v>
      </c>
      <c r="J765" s="4" t="n">
        <v>189500</v>
      </c>
      <c r="K765" s="4">
        <f>I765*J765</f>
        <v/>
      </c>
      <c r="L765" t="inlineStr">
        <is>
          <t>新規開拓</t>
        </is>
      </c>
    </row>
    <row r="766">
      <c r="A766" t="inlineStr">
        <is>
          <t>SR032</t>
        </is>
      </c>
      <c r="B766" t="inlineStr">
        <is>
          <t>営業担当032</t>
        </is>
      </c>
      <c r="C766" t="inlineStr">
        <is>
          <t>第2営業部</t>
        </is>
      </c>
      <c r="D766" s="3" t="n">
        <v>46011</v>
      </c>
      <c r="E766" t="inlineStr">
        <is>
          <t>福岡流通(株)</t>
        </is>
      </c>
      <c r="F766" t="inlineStr">
        <is>
          <t>北海道</t>
        </is>
      </c>
      <c r="G766" t="inlineStr">
        <is>
          <t>ハードウェア</t>
        </is>
      </c>
      <c r="H766" t="inlineStr">
        <is>
          <t>産業用タブレット</t>
        </is>
      </c>
      <c r="I766" s="4" t="n">
        <v>4</v>
      </c>
      <c r="J766" s="4" t="n">
        <v>126100</v>
      </c>
      <c r="K766" s="4">
        <f>I766*J766</f>
        <v/>
      </c>
      <c r="L766" t="inlineStr"/>
    </row>
    <row r="767">
      <c r="A767" t="inlineStr">
        <is>
          <t>SR032</t>
        </is>
      </c>
      <c r="B767" t="inlineStr">
        <is>
          <t>営業担当032</t>
        </is>
      </c>
      <c r="C767" t="inlineStr">
        <is>
          <t>第2営業部</t>
        </is>
      </c>
      <c r="D767" s="3" t="n">
        <v>46025</v>
      </c>
      <c r="E767" t="inlineStr">
        <is>
          <t>白峰化学株式会社</t>
        </is>
      </c>
      <c r="F767" t="inlineStr">
        <is>
          <t>広島県</t>
        </is>
      </c>
      <c r="G767" t="inlineStr">
        <is>
          <t>保守サービス</t>
        </is>
      </c>
      <c r="H767" t="inlineStr">
        <is>
          <t>ヘルプデスク契約</t>
        </is>
      </c>
      <c r="I767" s="4" t="n">
        <v>4</v>
      </c>
      <c r="J767" s="4" t="n">
        <v>84100</v>
      </c>
      <c r="K767" s="4">
        <f>I767*J767</f>
        <v/>
      </c>
      <c r="L767" t="inlineStr">
        <is>
          <t>大型案件</t>
        </is>
      </c>
    </row>
    <row r="768">
      <c r="A768" t="inlineStr">
        <is>
          <t>SR032</t>
        </is>
      </c>
      <c r="B768" t="inlineStr">
        <is>
          <t>営業担当032</t>
        </is>
      </c>
      <c r="C768" t="inlineStr">
        <is>
          <t>第2営業部</t>
        </is>
      </c>
      <c r="D768" s="3" t="n">
        <v>46032</v>
      </c>
      <c r="E768" t="inlineStr">
        <is>
          <t>星和商会有限会社</t>
        </is>
      </c>
      <c r="F768" t="inlineStr">
        <is>
          <t>神奈川県</t>
        </is>
      </c>
      <c r="G768" t="inlineStr">
        <is>
          <t>導入支援</t>
        </is>
      </c>
      <c r="H768" t="inlineStr">
        <is>
          <t>操作研修パック</t>
        </is>
      </c>
      <c r="I768" s="4" t="n">
        <v>3</v>
      </c>
      <c r="J768" s="4" t="n">
        <v>48200</v>
      </c>
      <c r="K768" s="4">
        <f>I768*J768</f>
        <v/>
      </c>
      <c r="L768" t="inlineStr"/>
    </row>
    <row r="769">
      <c r="A769" t="inlineStr">
        <is>
          <t>SR032</t>
        </is>
      </c>
      <c r="B769" t="inlineStr">
        <is>
          <t>営業担当032</t>
        </is>
      </c>
      <c r="C769" t="inlineStr">
        <is>
          <t>第2営業部</t>
        </is>
      </c>
      <c r="D769" s="3" t="n">
        <v>46061</v>
      </c>
      <c r="E769" t="inlineStr">
        <is>
          <t>グリーンテック有限会社</t>
        </is>
      </c>
      <c r="F769" t="inlineStr">
        <is>
          <t>神奈川県</t>
        </is>
      </c>
      <c r="G769" t="inlineStr">
        <is>
          <t>保守サービス</t>
        </is>
      </c>
      <c r="H769" t="inlineStr">
        <is>
          <t>オンサイト保守</t>
        </is>
      </c>
      <c r="I769" s="4" t="n">
        <v>2</v>
      </c>
      <c r="J769" s="4" t="n">
        <v>176200</v>
      </c>
      <c r="K769" s="4">
        <f>I769*J769</f>
        <v/>
      </c>
      <c r="L769" t="inlineStr">
        <is>
          <t>新規開拓</t>
        </is>
      </c>
    </row>
    <row r="770">
      <c r="A770" t="inlineStr">
        <is>
          <t>SR032</t>
        </is>
      </c>
      <c r="B770" t="inlineStr">
        <is>
          <t>営業担当032</t>
        </is>
      </c>
      <c r="C770" t="inlineStr">
        <is>
          <t>第2営業部</t>
        </is>
      </c>
      <c r="D770" s="3" t="n">
        <v>46073</v>
      </c>
      <c r="E770" t="inlineStr">
        <is>
          <t>大和精機(株)</t>
        </is>
      </c>
      <c r="F770" t="inlineStr">
        <is>
          <t>福岡県</t>
        </is>
      </c>
      <c r="G770" t="inlineStr">
        <is>
          <t>保守サービス</t>
        </is>
      </c>
      <c r="H770" t="inlineStr">
        <is>
          <t>年間保守契約</t>
        </is>
      </c>
      <c r="I770" s="4" t="n">
        <v>3</v>
      </c>
      <c r="J770" s="4" t="n">
        <v>284800</v>
      </c>
      <c r="K770" s="4">
        <f>I770*J770</f>
        <v/>
      </c>
      <c r="L770" t="inlineStr"/>
    </row>
    <row r="771">
      <c r="A771" t="inlineStr">
        <is>
          <t>SR032</t>
        </is>
      </c>
      <c r="B771" t="inlineStr">
        <is>
          <t>営業担当032</t>
        </is>
      </c>
      <c r="C771" t="inlineStr">
        <is>
          <t>第2営業部</t>
        </is>
      </c>
      <c r="D771" s="3" t="n">
        <v>46082</v>
      </c>
      <c r="E771" t="inlineStr">
        <is>
          <t>九州エナジー(株)</t>
        </is>
      </c>
      <c r="F771" t="inlineStr">
        <is>
          <t>大阪府</t>
        </is>
      </c>
      <c r="G771" t="inlineStr">
        <is>
          <t>保守サービス</t>
        </is>
      </c>
      <c r="H771" t="inlineStr">
        <is>
          <t>年間保守契約</t>
        </is>
      </c>
      <c r="I771" s="4" t="n">
        <v>2</v>
      </c>
      <c r="J771" s="4" t="n">
        <v>236800</v>
      </c>
      <c r="K771" s="4">
        <f>I771*J771</f>
        <v/>
      </c>
      <c r="L771" t="inlineStr">
        <is>
          <t>キャンペーン適用</t>
        </is>
      </c>
    </row>
    <row r="772">
      <c r="A772" t="inlineStr">
        <is>
          <t>SR032</t>
        </is>
      </c>
      <c r="B772" t="inlineStr">
        <is>
          <t>営業担当032</t>
        </is>
      </c>
      <c r="C772" t="inlineStr">
        <is>
          <t>第2営業部</t>
        </is>
      </c>
      <c r="D772" s="3" t="n">
        <v>46107</v>
      </c>
      <c r="E772" t="inlineStr">
        <is>
          <t>オーシャン製作所(株)</t>
        </is>
      </c>
      <c r="F772" t="inlineStr">
        <is>
          <t>広島県</t>
        </is>
      </c>
      <c r="G772" t="inlineStr">
        <is>
          <t>ソフトウェア</t>
        </is>
      </c>
      <c r="H772" t="inlineStr">
        <is>
          <t>在庫管理クラウド</t>
        </is>
      </c>
      <c r="I772" s="4" t="n">
        <v>4</v>
      </c>
      <c r="J772" s="4" t="n">
        <v>226200</v>
      </c>
      <c r="K772" s="4">
        <f>I772*J772</f>
        <v/>
      </c>
      <c r="L772" t="inlineStr">
        <is>
          <t>新規開拓</t>
        </is>
      </c>
    </row>
    <row r="773">
      <c r="A773" t="inlineStr">
        <is>
          <t>SR033</t>
        </is>
      </c>
      <c r="B773" t="inlineStr">
        <is>
          <t>営業担当033</t>
        </is>
      </c>
      <c r="C773" t="inlineStr">
        <is>
          <t>第3営業部</t>
        </is>
      </c>
      <c r="D773" s="3" t="n">
        <v>45768</v>
      </c>
      <c r="E773" t="inlineStr">
        <is>
          <t>オーシャン製作所有限会社</t>
        </is>
      </c>
      <c r="F773" t="inlineStr">
        <is>
          <t>宮城県</t>
        </is>
      </c>
      <c r="G773" t="inlineStr">
        <is>
          <t>導入支援</t>
        </is>
      </c>
      <c r="H773" t="inlineStr">
        <is>
          <t>データ移行支援</t>
        </is>
      </c>
      <c r="I773" s="4" t="n">
        <v>4</v>
      </c>
      <c r="J773" s="4" t="n">
        <v>303200</v>
      </c>
      <c r="K773" s="4">
        <f>I773*J773</f>
        <v/>
      </c>
      <c r="L773" t="inlineStr">
        <is>
          <t>大型案件</t>
        </is>
      </c>
    </row>
    <row r="774">
      <c r="A774" t="inlineStr">
        <is>
          <t>SR033</t>
        </is>
      </c>
      <c r="B774" t="inlineStr">
        <is>
          <t>営業担当033</t>
        </is>
      </c>
      <c r="C774" t="inlineStr">
        <is>
          <t>第3営業部</t>
        </is>
      </c>
      <c r="D774" s="3" t="n">
        <v>45769</v>
      </c>
      <c r="E774" t="inlineStr">
        <is>
          <t>サンライズ建設有限会社</t>
        </is>
      </c>
      <c r="F774" t="inlineStr">
        <is>
          <t>兵庫県</t>
        </is>
      </c>
      <c r="G774" t="inlineStr">
        <is>
          <t>ソフトウェア</t>
        </is>
      </c>
      <c r="H774" t="inlineStr">
        <is>
          <t>帳票自動化ツール</t>
        </is>
      </c>
      <c r="I774" s="4" t="n">
        <v>4</v>
      </c>
      <c r="J774" s="4" t="n">
        <v>183700</v>
      </c>
      <c r="K774" s="4">
        <f>I774*J774</f>
        <v/>
      </c>
      <c r="L774" t="inlineStr"/>
    </row>
    <row r="775">
      <c r="A775" t="inlineStr">
        <is>
          <t>SR033</t>
        </is>
      </c>
      <c r="B775" t="inlineStr">
        <is>
          <t>営業担当033</t>
        </is>
      </c>
      <c r="C775" t="inlineStr">
        <is>
          <t>第3営業部</t>
        </is>
      </c>
      <c r="D775" s="3" t="n">
        <v>45794</v>
      </c>
      <c r="E775" t="inlineStr">
        <is>
          <t>みらい物流(株)</t>
        </is>
      </c>
      <c r="F775" t="inlineStr">
        <is>
          <t>神奈川県</t>
        </is>
      </c>
      <c r="G775" t="inlineStr">
        <is>
          <t>ハードウェア</t>
        </is>
      </c>
      <c r="H775" t="inlineStr">
        <is>
          <t>ラベルプリンター</t>
        </is>
      </c>
      <c r="I775" s="4" t="n">
        <v>3</v>
      </c>
      <c r="J775" s="4" t="n">
        <v>81900</v>
      </c>
      <c r="K775" s="4">
        <f>I775*J775</f>
        <v/>
      </c>
      <c r="L775" t="inlineStr">
        <is>
          <t>リピート受注</t>
        </is>
      </c>
    </row>
    <row r="776">
      <c r="A776" t="inlineStr">
        <is>
          <t>SR033</t>
        </is>
      </c>
      <c r="B776" t="inlineStr">
        <is>
          <t>営業担当033</t>
        </is>
      </c>
      <c r="C776" t="inlineStr">
        <is>
          <t>第3営業部</t>
        </is>
      </c>
      <c r="D776" s="3" t="n">
        <v>45799</v>
      </c>
      <c r="E776" t="inlineStr">
        <is>
          <t>西日本機工(株)</t>
        </is>
      </c>
      <c r="F776" t="inlineStr">
        <is>
          <t>福岡県</t>
        </is>
      </c>
      <c r="G776" t="inlineStr">
        <is>
          <t>ハードウェア</t>
        </is>
      </c>
      <c r="H776" t="inlineStr">
        <is>
          <t>ネットワークカメラ</t>
        </is>
      </c>
      <c r="I776" s="4" t="n">
        <v>3</v>
      </c>
      <c r="J776" s="4" t="n">
        <v>66700</v>
      </c>
      <c r="K776" s="4">
        <f>I776*J776</f>
        <v/>
      </c>
      <c r="L776" t="inlineStr"/>
    </row>
    <row r="777">
      <c r="A777" t="inlineStr">
        <is>
          <t>SR033</t>
        </is>
      </c>
      <c r="B777" t="inlineStr">
        <is>
          <t>営業担当033</t>
        </is>
      </c>
      <c r="C777" t="inlineStr">
        <is>
          <t>第3営業部</t>
        </is>
      </c>
      <c r="D777" s="3" t="n">
        <v>45809</v>
      </c>
      <c r="E777" t="inlineStr">
        <is>
          <t>中央設備有限会社</t>
        </is>
      </c>
      <c r="F777" t="inlineStr">
        <is>
          <t>福岡県</t>
        </is>
      </c>
      <c r="G777" t="inlineStr">
        <is>
          <t>消耗品</t>
        </is>
      </c>
      <c r="H777" t="inlineStr">
        <is>
          <t>交換用ヘッド</t>
        </is>
      </c>
      <c r="I777" s="4" t="n">
        <v>3</v>
      </c>
      <c r="J777" s="4" t="n">
        <v>38990</v>
      </c>
      <c r="K777" s="4">
        <f>I777*J777</f>
        <v/>
      </c>
      <c r="L777" t="inlineStr">
        <is>
          <t>分納</t>
        </is>
      </c>
    </row>
    <row r="778">
      <c r="A778" t="inlineStr">
        <is>
          <t>SR033</t>
        </is>
      </c>
      <c r="B778" t="inlineStr">
        <is>
          <t>営業担当033</t>
        </is>
      </c>
      <c r="C778" t="inlineStr">
        <is>
          <t>第3営業部</t>
        </is>
      </c>
      <c r="D778" s="3" t="n">
        <v>45818</v>
      </c>
      <c r="E778" t="inlineStr">
        <is>
          <t>グリーンテック株式会社</t>
        </is>
      </c>
      <c r="F778" t="inlineStr">
        <is>
          <t>東京都</t>
        </is>
      </c>
      <c r="G778" t="inlineStr">
        <is>
          <t>ソフトウェア</t>
        </is>
      </c>
      <c r="H778" t="inlineStr">
        <is>
          <t>在庫管理クラウド</t>
        </is>
      </c>
      <c r="I778" s="4" t="n">
        <v>2</v>
      </c>
      <c r="J778" s="4" t="n">
        <v>475400</v>
      </c>
      <c r="K778" s="4">
        <f>I778*J778</f>
        <v/>
      </c>
      <c r="L778" t="inlineStr">
        <is>
          <t>分納</t>
        </is>
      </c>
    </row>
    <row r="779">
      <c r="A779" t="inlineStr">
        <is>
          <t>SR033</t>
        </is>
      </c>
      <c r="B779" t="inlineStr">
        <is>
          <t>営業担当033</t>
        </is>
      </c>
      <c r="C779" t="inlineStr">
        <is>
          <t>第3営業部</t>
        </is>
      </c>
      <c r="D779" s="3" t="n">
        <v>45850</v>
      </c>
      <c r="E779" t="inlineStr">
        <is>
          <t>西日本機工(株)</t>
        </is>
      </c>
      <c r="F779" t="inlineStr">
        <is>
          <t>愛知県</t>
        </is>
      </c>
      <c r="G779" t="inlineStr">
        <is>
          <t>導入支援</t>
        </is>
      </c>
      <c r="H779" t="inlineStr">
        <is>
          <t>初期設定支援</t>
        </is>
      </c>
      <c r="I779" s="4" t="n">
        <v>5</v>
      </c>
      <c r="J779" s="4" t="n">
        <v>56700</v>
      </c>
      <c r="K779" s="4">
        <f>I779*J779</f>
        <v/>
      </c>
      <c r="L779" t="inlineStr">
        <is>
          <t>新規開拓</t>
        </is>
      </c>
    </row>
    <row r="780">
      <c r="A780" t="inlineStr">
        <is>
          <t>SR033</t>
        </is>
      </c>
      <c r="B780" t="inlineStr">
        <is>
          <t>営業担当033</t>
        </is>
      </c>
      <c r="C780" t="inlineStr">
        <is>
          <t>第3営業部</t>
        </is>
      </c>
      <c r="D780" s="3" t="n">
        <v>45860</v>
      </c>
      <c r="E780" t="inlineStr">
        <is>
          <t>アーク電機株式会社</t>
        </is>
      </c>
      <c r="F780" t="inlineStr">
        <is>
          <t>大阪府</t>
        </is>
      </c>
      <c r="G780" t="inlineStr">
        <is>
          <t>ハードウェア</t>
        </is>
      </c>
      <c r="H780" t="inlineStr">
        <is>
          <t>ネットワークカメラ</t>
        </is>
      </c>
      <c r="I780" s="4" t="n">
        <v>4</v>
      </c>
      <c r="J780" s="4" t="n">
        <v>67500</v>
      </c>
      <c r="K780" s="4">
        <f>I780*J780</f>
        <v/>
      </c>
      <c r="L780" t="inlineStr"/>
    </row>
    <row r="781">
      <c r="A781" t="inlineStr">
        <is>
          <t>SR033</t>
        </is>
      </c>
      <c r="B781" t="inlineStr">
        <is>
          <t>営業担当033</t>
        </is>
      </c>
      <c r="C781" t="inlineStr">
        <is>
          <t>第3営業部</t>
        </is>
      </c>
      <c r="D781" s="3" t="n">
        <v>45872</v>
      </c>
      <c r="E781" t="inlineStr">
        <is>
          <t>グリーンテック有限会社</t>
        </is>
      </c>
      <c r="F781" t="inlineStr">
        <is>
          <t>福岡県</t>
        </is>
      </c>
      <c r="G781" t="inlineStr">
        <is>
          <t>導入支援</t>
        </is>
      </c>
      <c r="H781" t="inlineStr">
        <is>
          <t>データ移行支援</t>
        </is>
      </c>
      <c r="I781" s="4" t="n">
        <v>4</v>
      </c>
      <c r="J781" s="4" t="n">
        <v>177400</v>
      </c>
      <c r="K781" s="4">
        <f>I781*J781</f>
        <v/>
      </c>
      <c r="L781" t="inlineStr">
        <is>
          <t>分納</t>
        </is>
      </c>
    </row>
    <row r="782">
      <c r="A782" t="inlineStr">
        <is>
          <t>SR033</t>
        </is>
      </c>
      <c r="B782" t="inlineStr">
        <is>
          <t>営業担当033</t>
        </is>
      </c>
      <c r="C782" t="inlineStr">
        <is>
          <t>第3営業部</t>
        </is>
      </c>
      <c r="D782" s="3" t="n">
        <v>45884</v>
      </c>
      <c r="E782" t="inlineStr">
        <is>
          <t>大和精機(株)</t>
        </is>
      </c>
      <c r="F782" t="inlineStr">
        <is>
          <t>京都府</t>
        </is>
      </c>
      <c r="G782" t="inlineStr">
        <is>
          <t>導入支援</t>
        </is>
      </c>
      <c r="H782" t="inlineStr">
        <is>
          <t>データ移行支援</t>
        </is>
      </c>
      <c r="I782" s="4" t="n">
        <v>3</v>
      </c>
      <c r="J782" s="4" t="n">
        <v>172400</v>
      </c>
      <c r="K782" s="4">
        <f>I782*J782</f>
        <v/>
      </c>
      <c r="L782" t="inlineStr"/>
    </row>
    <row r="783">
      <c r="A783" t="inlineStr">
        <is>
          <t>SR033</t>
        </is>
      </c>
      <c r="B783" t="inlineStr">
        <is>
          <t>営業担当033</t>
        </is>
      </c>
      <c r="C783" t="inlineStr">
        <is>
          <t>第3営業部</t>
        </is>
      </c>
      <c r="D783" s="3" t="n">
        <v>45914</v>
      </c>
      <c r="E783" t="inlineStr">
        <is>
          <t>ライトホーム株式会社</t>
        </is>
      </c>
      <c r="F783" t="inlineStr">
        <is>
          <t>兵庫県</t>
        </is>
      </c>
      <c r="G783" t="inlineStr">
        <is>
          <t>導入支援</t>
        </is>
      </c>
      <c r="H783" t="inlineStr">
        <is>
          <t>操作研修パック</t>
        </is>
      </c>
      <c r="I783" s="4" t="n">
        <v>2</v>
      </c>
      <c r="J783" s="4" t="n">
        <v>132700</v>
      </c>
      <c r="K783" s="4">
        <f>I783*J783</f>
        <v/>
      </c>
      <c r="L783" t="inlineStr">
        <is>
          <t>リピート受注</t>
        </is>
      </c>
    </row>
    <row r="784">
      <c r="A784" t="inlineStr">
        <is>
          <t>SR033</t>
        </is>
      </c>
      <c r="B784" t="inlineStr">
        <is>
          <t>営業担当033</t>
        </is>
      </c>
      <c r="C784" t="inlineStr">
        <is>
          <t>第3営業部</t>
        </is>
      </c>
      <c r="D784" s="3" t="n">
        <v>45924</v>
      </c>
      <c r="E784" t="inlineStr">
        <is>
          <t>西日本機工株式会社</t>
        </is>
      </c>
      <c r="F784" t="inlineStr">
        <is>
          <t>兵庫県</t>
        </is>
      </c>
      <c r="G784" t="inlineStr">
        <is>
          <t>保守サービス</t>
        </is>
      </c>
      <c r="H784" t="inlineStr">
        <is>
          <t>年間保守契約</t>
        </is>
      </c>
      <c r="I784" s="4" t="n">
        <v>3</v>
      </c>
      <c r="J784" s="4" t="n">
        <v>107500</v>
      </c>
      <c r="K784" s="4">
        <f>I784*J784</f>
        <v/>
      </c>
      <c r="L784" t="inlineStr"/>
    </row>
    <row r="785">
      <c r="A785" t="inlineStr">
        <is>
          <t>SR033</t>
        </is>
      </c>
      <c r="B785" t="inlineStr">
        <is>
          <t>営業担当033</t>
        </is>
      </c>
      <c r="C785" t="inlineStr">
        <is>
          <t>第3営業部</t>
        </is>
      </c>
      <c r="D785" s="3" t="n">
        <v>45936</v>
      </c>
      <c r="E785" t="inlineStr">
        <is>
          <t>白峰化学(株)</t>
        </is>
      </c>
      <c r="F785" t="inlineStr">
        <is>
          <t>広島県</t>
        </is>
      </c>
      <c r="G785" t="inlineStr">
        <is>
          <t>保守サービス</t>
        </is>
      </c>
      <c r="H785" t="inlineStr">
        <is>
          <t>オンサイト保守</t>
        </is>
      </c>
      <c r="I785" s="4" t="n">
        <v>5</v>
      </c>
      <c r="J785" s="4" t="n">
        <v>87800</v>
      </c>
      <c r="K785" s="4">
        <f>I785*J785</f>
        <v/>
      </c>
      <c r="L785" t="inlineStr">
        <is>
          <t>キャンペーン適用</t>
        </is>
      </c>
    </row>
    <row r="786">
      <c r="A786" t="inlineStr">
        <is>
          <t>SR033</t>
        </is>
      </c>
      <c r="B786" t="inlineStr">
        <is>
          <t>営業担当033</t>
        </is>
      </c>
      <c r="C786" t="inlineStr">
        <is>
          <t>第3営業部</t>
        </is>
      </c>
      <c r="D786" s="3" t="n">
        <v>45944</v>
      </c>
      <c r="E786" t="inlineStr">
        <is>
          <t>九州エナジー有限会社</t>
        </is>
      </c>
      <c r="F786" t="inlineStr">
        <is>
          <t>北海道</t>
        </is>
      </c>
      <c r="G786" t="inlineStr">
        <is>
          <t>ソフトウェア</t>
        </is>
      </c>
      <c r="H786" t="inlineStr">
        <is>
          <t>在庫管理クラウド</t>
        </is>
      </c>
      <c r="I786" s="4" t="n">
        <v>5</v>
      </c>
      <c r="J786" s="4" t="n">
        <v>377900</v>
      </c>
      <c r="K786" s="4">
        <f>I786*J786</f>
        <v/>
      </c>
      <c r="L786" t="inlineStr">
        <is>
          <t>新規開拓</t>
        </is>
      </c>
    </row>
    <row r="787">
      <c r="A787" t="inlineStr">
        <is>
          <t>SR033</t>
        </is>
      </c>
      <c r="B787" t="inlineStr">
        <is>
          <t>営業担当033</t>
        </is>
      </c>
      <c r="C787" t="inlineStr">
        <is>
          <t>第3営業部</t>
        </is>
      </c>
      <c r="D787" s="3" t="n">
        <v>45965</v>
      </c>
      <c r="E787" t="inlineStr">
        <is>
          <t>星和商会(株)</t>
        </is>
      </c>
      <c r="F787" t="inlineStr">
        <is>
          <t>大阪府</t>
        </is>
      </c>
      <c r="G787" t="inlineStr">
        <is>
          <t>ハードウェア</t>
        </is>
      </c>
      <c r="H787" t="inlineStr">
        <is>
          <t>ラベルプリンター</t>
        </is>
      </c>
      <c r="I787" s="4" t="n">
        <v>4</v>
      </c>
      <c r="J787" s="4" t="n">
        <v>64400</v>
      </c>
      <c r="K787" s="4">
        <f>I787*J787</f>
        <v/>
      </c>
      <c r="L787" t="inlineStr"/>
    </row>
    <row r="788">
      <c r="A788" t="inlineStr">
        <is>
          <t>SR033</t>
        </is>
      </c>
      <c r="B788" t="inlineStr">
        <is>
          <t>営業担当033</t>
        </is>
      </c>
      <c r="C788" t="inlineStr">
        <is>
          <t>第3営業部</t>
        </is>
      </c>
      <c r="D788" s="3" t="n">
        <v>45983</v>
      </c>
      <c r="E788" t="inlineStr">
        <is>
          <t>日新サービス(株)</t>
        </is>
      </c>
      <c r="F788" t="inlineStr">
        <is>
          <t>神奈川県</t>
        </is>
      </c>
      <c r="G788" t="inlineStr">
        <is>
          <t>ハードウェア</t>
        </is>
      </c>
      <c r="H788" t="inlineStr">
        <is>
          <t>ネットワークカメラ</t>
        </is>
      </c>
      <c r="I788" s="4" t="n">
        <v>1</v>
      </c>
      <c r="J788" s="4" t="n">
        <v>53500</v>
      </c>
      <c r="K788" s="4">
        <f>I788*J788</f>
        <v/>
      </c>
      <c r="L788" t="inlineStr">
        <is>
          <t>分納</t>
        </is>
      </c>
    </row>
    <row r="789">
      <c r="A789" t="inlineStr">
        <is>
          <t>SR033</t>
        </is>
      </c>
      <c r="B789" t="inlineStr">
        <is>
          <t>営業担当033</t>
        </is>
      </c>
      <c r="C789" t="inlineStr">
        <is>
          <t>第3営業部</t>
        </is>
      </c>
      <c r="D789" s="3" t="n">
        <v>46004</v>
      </c>
      <c r="E789" t="inlineStr">
        <is>
          <t>オーシャン製作所有限会社</t>
        </is>
      </c>
      <c r="F789" t="inlineStr">
        <is>
          <t>東京都</t>
        </is>
      </c>
      <c r="G789" t="inlineStr">
        <is>
          <t>ソフトウェア</t>
        </is>
      </c>
      <c r="H789" t="inlineStr">
        <is>
          <t>帳票自動化ツール</t>
        </is>
      </c>
      <c r="I789" s="4" t="n">
        <v>4</v>
      </c>
      <c r="J789" s="4" t="n">
        <v>400000</v>
      </c>
      <c r="K789" s="4">
        <f>I789*J789</f>
        <v/>
      </c>
      <c r="L789" t="inlineStr">
        <is>
          <t>リピート受注</t>
        </is>
      </c>
    </row>
    <row r="790">
      <c r="A790" t="inlineStr">
        <is>
          <t>SR033</t>
        </is>
      </c>
      <c r="B790" t="inlineStr">
        <is>
          <t>営業担当033</t>
        </is>
      </c>
      <c r="C790" t="inlineStr">
        <is>
          <t>第3営業部</t>
        </is>
      </c>
      <c r="D790" s="3" t="n">
        <v>46008</v>
      </c>
      <c r="E790" t="inlineStr">
        <is>
          <t>ライトホーム株式会社</t>
        </is>
      </c>
      <c r="F790" t="inlineStr">
        <is>
          <t>愛知県</t>
        </is>
      </c>
      <c r="G790" t="inlineStr">
        <is>
          <t>導入支援</t>
        </is>
      </c>
      <c r="H790" t="inlineStr">
        <is>
          <t>操作研修パック</t>
        </is>
      </c>
      <c r="I790" s="4" t="n">
        <v>1</v>
      </c>
      <c r="J790" s="4" t="n">
        <v>140400</v>
      </c>
      <c r="K790" s="4">
        <f>I790*J790</f>
        <v/>
      </c>
      <c r="L790" t="inlineStr">
        <is>
          <t>リピート受注</t>
        </is>
      </c>
    </row>
    <row r="791">
      <c r="A791" t="inlineStr">
        <is>
          <t>SR033</t>
        </is>
      </c>
      <c r="B791" t="inlineStr">
        <is>
          <t>営業担当033</t>
        </is>
      </c>
      <c r="C791" t="inlineStr">
        <is>
          <t>第3営業部</t>
        </is>
      </c>
      <c r="D791" s="3" t="n">
        <v>46033</v>
      </c>
      <c r="E791" t="inlineStr">
        <is>
          <t>未来通信(株)</t>
        </is>
      </c>
      <c r="F791" t="inlineStr">
        <is>
          <t>大阪府</t>
        </is>
      </c>
      <c r="G791" t="inlineStr">
        <is>
          <t>保守サービス</t>
        </is>
      </c>
      <c r="H791" t="inlineStr">
        <is>
          <t>ヘルプデスク契約</t>
        </is>
      </c>
      <c r="I791" s="4" t="n">
        <v>5</v>
      </c>
      <c r="J791" s="4" t="n">
        <v>76000</v>
      </c>
      <c r="K791" s="4">
        <f>I791*J791</f>
        <v/>
      </c>
      <c r="L791" t="inlineStr">
        <is>
          <t>分納</t>
        </is>
      </c>
    </row>
    <row r="792">
      <c r="A792" t="inlineStr">
        <is>
          <t>SR033</t>
        </is>
      </c>
      <c r="B792" t="inlineStr">
        <is>
          <t>営業担当033</t>
        </is>
      </c>
      <c r="C792" t="inlineStr">
        <is>
          <t>第3営業部</t>
        </is>
      </c>
      <c r="D792" s="3" t="n">
        <v>46042</v>
      </c>
      <c r="E792" t="inlineStr">
        <is>
          <t>北斗産業(株)</t>
        </is>
      </c>
      <c r="F792" t="inlineStr">
        <is>
          <t>京都府</t>
        </is>
      </c>
      <c r="G792" t="inlineStr">
        <is>
          <t>ソフトウェア</t>
        </is>
      </c>
      <c r="H792" t="inlineStr">
        <is>
          <t>AIチャットボット</t>
        </is>
      </c>
      <c r="I792" s="4" t="n">
        <v>4</v>
      </c>
      <c r="J792" s="4" t="n">
        <v>669900</v>
      </c>
      <c r="K792" s="4">
        <f>I792*J792</f>
        <v/>
      </c>
      <c r="L792" t="inlineStr">
        <is>
          <t>分納</t>
        </is>
      </c>
    </row>
    <row r="793">
      <c r="A793" t="inlineStr">
        <is>
          <t>SR033</t>
        </is>
      </c>
      <c r="B793" t="inlineStr">
        <is>
          <t>営業担当033</t>
        </is>
      </c>
      <c r="C793" t="inlineStr">
        <is>
          <t>第3営業部</t>
        </is>
      </c>
      <c r="D793" s="3" t="n">
        <v>46072</v>
      </c>
      <c r="E793" t="inlineStr">
        <is>
          <t>オーシャン製作所(株)</t>
        </is>
      </c>
      <c r="F793" t="inlineStr">
        <is>
          <t>北海道</t>
        </is>
      </c>
      <c r="G793" t="inlineStr">
        <is>
          <t>保守サービス</t>
        </is>
      </c>
      <c r="H793" t="inlineStr">
        <is>
          <t>オンサイト保守</t>
        </is>
      </c>
      <c r="I793" s="4" t="n">
        <v>2</v>
      </c>
      <c r="J793" s="4" t="n">
        <v>47200</v>
      </c>
      <c r="K793" s="4">
        <f>I793*J793</f>
        <v/>
      </c>
      <c r="L793" t="inlineStr">
        <is>
          <t>リピート受注</t>
        </is>
      </c>
    </row>
    <row r="794">
      <c r="A794" t="inlineStr">
        <is>
          <t>SR033</t>
        </is>
      </c>
      <c r="B794" t="inlineStr">
        <is>
          <t>営業担当033</t>
        </is>
      </c>
      <c r="C794" t="inlineStr">
        <is>
          <t>第3営業部</t>
        </is>
      </c>
      <c r="D794" s="3" t="n">
        <v>46078</v>
      </c>
      <c r="E794" t="inlineStr">
        <is>
          <t>桜井メディカル有限会社</t>
        </is>
      </c>
      <c r="F794" t="inlineStr">
        <is>
          <t>兵庫県</t>
        </is>
      </c>
      <c r="G794" t="inlineStr">
        <is>
          <t>ハードウェア</t>
        </is>
      </c>
      <c r="H794" t="inlineStr">
        <is>
          <t>ラベルプリンター</t>
        </is>
      </c>
      <c r="I794" s="4" t="n">
        <v>2</v>
      </c>
      <c r="J794" s="4" t="n">
        <v>54000</v>
      </c>
      <c r="K794" s="4">
        <f>I794*J794</f>
        <v/>
      </c>
      <c r="L794" t="inlineStr">
        <is>
          <t>値引き調整あり</t>
        </is>
      </c>
    </row>
    <row r="795">
      <c r="A795" t="inlineStr">
        <is>
          <t>SR033</t>
        </is>
      </c>
      <c r="B795" t="inlineStr">
        <is>
          <t>営業担当033</t>
        </is>
      </c>
      <c r="C795" t="inlineStr">
        <is>
          <t>第3営業部</t>
        </is>
      </c>
      <c r="D795" s="3" t="n">
        <v>46082</v>
      </c>
      <c r="E795" t="inlineStr">
        <is>
          <t>青葉商事株式会社</t>
        </is>
      </c>
      <c r="F795" t="inlineStr">
        <is>
          <t>東京都</t>
        </is>
      </c>
      <c r="G795" t="inlineStr">
        <is>
          <t>導入支援</t>
        </is>
      </c>
      <c r="H795" t="inlineStr">
        <is>
          <t>初期設定支援</t>
        </is>
      </c>
      <c r="I795" s="4" t="n">
        <v>5</v>
      </c>
      <c r="J795" s="4" t="n">
        <v>71200</v>
      </c>
      <c r="K795" s="4">
        <f>I795*J795</f>
        <v/>
      </c>
      <c r="L795" t="inlineStr">
        <is>
          <t>分納</t>
        </is>
      </c>
    </row>
    <row r="796">
      <c r="A796" t="inlineStr">
        <is>
          <t>SR033</t>
        </is>
      </c>
      <c r="B796" t="inlineStr">
        <is>
          <t>営業担当033</t>
        </is>
      </c>
      <c r="C796" t="inlineStr">
        <is>
          <t>第3営業部</t>
        </is>
      </c>
      <c r="D796" s="3" t="n">
        <v>46105</v>
      </c>
      <c r="E796" t="inlineStr">
        <is>
          <t>星和商会(株)</t>
        </is>
      </c>
      <c r="F796" t="inlineStr">
        <is>
          <t>東京都</t>
        </is>
      </c>
      <c r="G796" t="inlineStr">
        <is>
          <t>導入支援</t>
        </is>
      </c>
      <c r="H796" t="inlineStr">
        <is>
          <t>操作研修パック</t>
        </is>
      </c>
      <c r="I796" s="4" t="n">
        <v>2</v>
      </c>
      <c r="J796" s="4" t="n">
        <v>147300</v>
      </c>
      <c r="K796" s="4">
        <f>I796*J796</f>
        <v/>
      </c>
      <c r="L796" t="inlineStr"/>
    </row>
    <row r="797">
      <c r="A797" t="inlineStr">
        <is>
          <t>SR034</t>
        </is>
      </c>
      <c r="B797" t="inlineStr">
        <is>
          <t>営業担当034</t>
        </is>
      </c>
      <c r="C797" t="inlineStr">
        <is>
          <t>パートナー営業部</t>
        </is>
      </c>
      <c r="D797" s="3" t="n">
        <v>45759</v>
      </c>
      <c r="E797" t="inlineStr">
        <is>
          <t>桜井メディカル有限会社</t>
        </is>
      </c>
      <c r="F797" t="inlineStr">
        <is>
          <t>神奈川県</t>
        </is>
      </c>
      <c r="G797" t="inlineStr">
        <is>
          <t>保守サービス</t>
        </is>
      </c>
      <c r="H797" t="inlineStr">
        <is>
          <t>年間保守契約</t>
        </is>
      </c>
      <c r="I797" s="4" t="n">
        <v>1</v>
      </c>
      <c r="J797" s="4" t="n">
        <v>69700</v>
      </c>
      <c r="K797" s="4">
        <f>I797*J797</f>
        <v/>
      </c>
      <c r="L797" t="inlineStr"/>
    </row>
    <row r="798">
      <c r="A798" t="inlineStr">
        <is>
          <t>SR034</t>
        </is>
      </c>
      <c r="B798" t="inlineStr">
        <is>
          <t>営業担当034</t>
        </is>
      </c>
      <c r="C798" t="inlineStr">
        <is>
          <t>パートナー営業部</t>
        </is>
      </c>
      <c r="D798" s="3" t="n">
        <v>45775</v>
      </c>
      <c r="E798" t="inlineStr">
        <is>
          <t>オーシャン製作所株式会社</t>
        </is>
      </c>
      <c r="F798" t="inlineStr">
        <is>
          <t>広島県</t>
        </is>
      </c>
      <c r="G798" t="inlineStr">
        <is>
          <t>保守サービス</t>
        </is>
      </c>
      <c r="H798" t="inlineStr">
        <is>
          <t>ヘルプデスク契約</t>
        </is>
      </c>
      <c r="I798" s="4" t="n">
        <v>2</v>
      </c>
      <c r="J798" s="4" t="n">
        <v>54000</v>
      </c>
      <c r="K798" s="4">
        <f>I798*J798</f>
        <v/>
      </c>
      <c r="L798" t="inlineStr">
        <is>
          <t>値引き調整あり</t>
        </is>
      </c>
    </row>
    <row r="799">
      <c r="A799" t="inlineStr">
        <is>
          <t>SR034</t>
        </is>
      </c>
      <c r="B799" t="inlineStr">
        <is>
          <t>営業担当034</t>
        </is>
      </c>
      <c r="C799" t="inlineStr">
        <is>
          <t>パートナー営業部</t>
        </is>
      </c>
      <c r="D799" s="3" t="n">
        <v>45779</v>
      </c>
      <c r="E799" t="inlineStr">
        <is>
          <t>日新サービス有限会社</t>
        </is>
      </c>
      <c r="F799" t="inlineStr">
        <is>
          <t>愛知県</t>
        </is>
      </c>
      <c r="G799" t="inlineStr">
        <is>
          <t>保守サービス</t>
        </is>
      </c>
      <c r="H799" t="inlineStr">
        <is>
          <t>ヘルプデスク契約</t>
        </is>
      </c>
      <c r="I799" s="4" t="n">
        <v>4</v>
      </c>
      <c r="J799" s="4" t="n">
        <v>46900</v>
      </c>
      <c r="K799" s="4">
        <f>I799*J799</f>
        <v/>
      </c>
      <c r="L799" t="inlineStr">
        <is>
          <t>新規開拓</t>
        </is>
      </c>
    </row>
    <row r="800">
      <c r="A800" t="inlineStr">
        <is>
          <t>SR034</t>
        </is>
      </c>
      <c r="B800" t="inlineStr">
        <is>
          <t>営業担当034</t>
        </is>
      </c>
      <c r="C800" t="inlineStr">
        <is>
          <t>パートナー営業部</t>
        </is>
      </c>
      <c r="D800" s="3" t="n">
        <v>45779</v>
      </c>
      <c r="E800" t="inlineStr">
        <is>
          <t>ライトホーム有限会社</t>
        </is>
      </c>
      <c r="F800" t="inlineStr">
        <is>
          <t>愛知県</t>
        </is>
      </c>
      <c r="G800" t="inlineStr">
        <is>
          <t>消耗品</t>
        </is>
      </c>
      <c r="H800" t="inlineStr">
        <is>
          <t>交換用ヘッド</t>
        </is>
      </c>
      <c r="I800" s="4" t="n">
        <v>2</v>
      </c>
      <c r="J800" s="4" t="n">
        <v>41000</v>
      </c>
      <c r="K800" s="4">
        <f>I800*J800</f>
        <v/>
      </c>
      <c r="L800" t="inlineStr"/>
    </row>
    <row r="801">
      <c r="A801" t="inlineStr">
        <is>
          <t>SR034</t>
        </is>
      </c>
      <c r="B801" t="inlineStr">
        <is>
          <t>営業担当034</t>
        </is>
      </c>
      <c r="C801" t="inlineStr">
        <is>
          <t>パートナー営業部</t>
        </is>
      </c>
      <c r="D801" s="3" t="n">
        <v>45811</v>
      </c>
      <c r="E801" t="inlineStr">
        <is>
          <t>ライトホーム株式会社</t>
        </is>
      </c>
      <c r="F801" t="inlineStr">
        <is>
          <t>宮城県</t>
        </is>
      </c>
      <c r="G801" t="inlineStr">
        <is>
          <t>消耗品</t>
        </is>
      </c>
      <c r="H801" t="inlineStr">
        <is>
          <t>ラベルロール</t>
        </is>
      </c>
      <c r="I801" s="4" t="n">
        <v>15</v>
      </c>
      <c r="J801" s="4" t="n">
        <v>4470</v>
      </c>
      <c r="K801" s="4">
        <f>I801*J801</f>
        <v/>
      </c>
      <c r="L801" t="inlineStr"/>
    </row>
    <row r="802">
      <c r="A802" t="inlineStr">
        <is>
          <t>SR034</t>
        </is>
      </c>
      <c r="B802" t="inlineStr">
        <is>
          <t>営業担当034</t>
        </is>
      </c>
      <c r="C802" t="inlineStr">
        <is>
          <t>パートナー営業部</t>
        </is>
      </c>
      <c r="D802" s="3" t="n">
        <v>45824</v>
      </c>
      <c r="E802" t="inlineStr">
        <is>
          <t>みらい物流有限会社</t>
        </is>
      </c>
      <c r="F802" t="inlineStr">
        <is>
          <t>広島県</t>
        </is>
      </c>
      <c r="G802" t="inlineStr">
        <is>
          <t>ハードウェア</t>
        </is>
      </c>
      <c r="H802" t="inlineStr">
        <is>
          <t>小型ハンディ端末</t>
        </is>
      </c>
      <c r="I802" s="4" t="n">
        <v>1</v>
      </c>
      <c r="J802" s="4" t="n">
        <v>64700</v>
      </c>
      <c r="K802" s="4">
        <f>I802*J802</f>
        <v/>
      </c>
      <c r="L802" t="inlineStr"/>
    </row>
    <row r="803">
      <c r="A803" t="inlineStr">
        <is>
          <t>SR034</t>
        </is>
      </c>
      <c r="B803" t="inlineStr">
        <is>
          <t>営業担当034</t>
        </is>
      </c>
      <c r="C803" t="inlineStr">
        <is>
          <t>パートナー営業部</t>
        </is>
      </c>
      <c r="D803" s="3" t="n">
        <v>45847</v>
      </c>
      <c r="E803" t="inlineStr">
        <is>
          <t>サンライズ建設(株)</t>
        </is>
      </c>
      <c r="F803" t="inlineStr">
        <is>
          <t>大阪府</t>
        </is>
      </c>
      <c r="G803" t="inlineStr">
        <is>
          <t>導入支援</t>
        </is>
      </c>
      <c r="H803" t="inlineStr">
        <is>
          <t>データ移行支援</t>
        </is>
      </c>
      <c r="I803" s="4" t="n">
        <v>4</v>
      </c>
      <c r="J803" s="4" t="n">
        <v>353400</v>
      </c>
      <c r="K803" s="4">
        <f>I803*J803</f>
        <v/>
      </c>
      <c r="L803" t="inlineStr">
        <is>
          <t>新規開拓</t>
        </is>
      </c>
    </row>
    <row r="804">
      <c r="A804" t="inlineStr">
        <is>
          <t>SR034</t>
        </is>
      </c>
      <c r="B804" t="inlineStr">
        <is>
          <t>営業担当034</t>
        </is>
      </c>
      <c r="C804" t="inlineStr">
        <is>
          <t>パートナー営業部</t>
        </is>
      </c>
      <c r="D804" s="3" t="n">
        <v>45862</v>
      </c>
      <c r="E804" t="inlineStr">
        <is>
          <t>星和商会株式会社</t>
        </is>
      </c>
      <c r="F804" t="inlineStr">
        <is>
          <t>広島県</t>
        </is>
      </c>
      <c r="G804" t="inlineStr">
        <is>
          <t>導入支援</t>
        </is>
      </c>
      <c r="H804" t="inlineStr">
        <is>
          <t>初期設定支援</t>
        </is>
      </c>
      <c r="I804" s="4" t="n">
        <v>5</v>
      </c>
      <c r="J804" s="4" t="n">
        <v>181700</v>
      </c>
      <c r="K804" s="4">
        <f>I804*J804</f>
        <v/>
      </c>
      <c r="L804" t="inlineStr">
        <is>
          <t>リピート受注</t>
        </is>
      </c>
    </row>
    <row r="805">
      <c r="A805" t="inlineStr">
        <is>
          <t>SR034</t>
        </is>
      </c>
      <c r="B805" t="inlineStr">
        <is>
          <t>営業担当034</t>
        </is>
      </c>
      <c r="C805" t="inlineStr">
        <is>
          <t>パートナー営業部</t>
        </is>
      </c>
      <c r="D805" s="3" t="n">
        <v>45878</v>
      </c>
      <c r="E805" t="inlineStr">
        <is>
          <t>西日本機工株式会社</t>
        </is>
      </c>
      <c r="F805" t="inlineStr">
        <is>
          <t>神奈川県</t>
        </is>
      </c>
      <c r="G805" t="inlineStr">
        <is>
          <t>ソフトウェア</t>
        </is>
      </c>
      <c r="H805" t="inlineStr">
        <is>
          <t>AIチャットボット</t>
        </is>
      </c>
      <c r="I805" s="4" t="n">
        <v>4</v>
      </c>
      <c r="J805" s="4" t="n">
        <v>522500</v>
      </c>
      <c r="K805" s="4">
        <f>I805*J805</f>
        <v/>
      </c>
      <c r="L805" t="inlineStr"/>
    </row>
    <row r="806">
      <c r="A806" t="inlineStr">
        <is>
          <t>SR034</t>
        </is>
      </c>
      <c r="B806" t="inlineStr">
        <is>
          <t>営業担当034</t>
        </is>
      </c>
      <c r="C806" t="inlineStr">
        <is>
          <t>パートナー営業部</t>
        </is>
      </c>
      <c r="D806" s="3" t="n">
        <v>45885</v>
      </c>
      <c r="E806" t="inlineStr">
        <is>
          <t>九州エナジー(株)</t>
        </is>
      </c>
      <c r="F806" t="inlineStr">
        <is>
          <t>東京都</t>
        </is>
      </c>
      <c r="G806" t="inlineStr">
        <is>
          <t>ソフトウェア</t>
        </is>
      </c>
      <c r="H806" t="inlineStr">
        <is>
          <t>帳票自動化ツール</t>
        </is>
      </c>
      <c r="I806" s="4" t="n">
        <v>1</v>
      </c>
      <c r="J806" s="4" t="n">
        <v>288300</v>
      </c>
      <c r="K806" s="4">
        <f>I806*J806</f>
        <v/>
      </c>
      <c r="L806" t="inlineStr"/>
    </row>
    <row r="807">
      <c r="A807" t="inlineStr">
        <is>
          <t>SR034</t>
        </is>
      </c>
      <c r="B807" t="inlineStr">
        <is>
          <t>営業担当034</t>
        </is>
      </c>
      <c r="C807" t="inlineStr">
        <is>
          <t>パートナー営業部</t>
        </is>
      </c>
      <c r="D807" s="3" t="n">
        <v>45909</v>
      </c>
      <c r="E807" t="inlineStr">
        <is>
          <t>未来通信株式会社</t>
        </is>
      </c>
      <c r="F807" t="inlineStr">
        <is>
          <t>広島県</t>
        </is>
      </c>
      <c r="G807" t="inlineStr">
        <is>
          <t>ソフトウェア</t>
        </is>
      </c>
      <c r="H807" t="inlineStr">
        <is>
          <t>AIチャットボット</t>
        </is>
      </c>
      <c r="I807" s="4" t="n">
        <v>2</v>
      </c>
      <c r="J807" s="4" t="n">
        <v>749900</v>
      </c>
      <c r="K807" s="4">
        <f>I807*J807</f>
        <v/>
      </c>
      <c r="L807" t="inlineStr">
        <is>
          <t>キャンペーン適用</t>
        </is>
      </c>
    </row>
    <row r="808">
      <c r="A808" t="inlineStr">
        <is>
          <t>SR034</t>
        </is>
      </c>
      <c r="B808" t="inlineStr">
        <is>
          <t>営業担当034</t>
        </is>
      </c>
      <c r="C808" t="inlineStr">
        <is>
          <t>パートナー営業部</t>
        </is>
      </c>
      <c r="D808" s="3" t="n">
        <v>45913</v>
      </c>
      <c r="E808" t="inlineStr">
        <is>
          <t>中央設備株式会社</t>
        </is>
      </c>
      <c r="F808" t="inlineStr">
        <is>
          <t>京都府</t>
        </is>
      </c>
      <c r="G808" t="inlineStr">
        <is>
          <t>導入支援</t>
        </is>
      </c>
      <c r="H808" t="inlineStr">
        <is>
          <t>操作研修パック</t>
        </is>
      </c>
      <c r="I808" s="4" t="n">
        <v>5</v>
      </c>
      <c r="J808" s="4" t="n">
        <v>60500</v>
      </c>
      <c r="K808" s="4">
        <f>I808*J808</f>
        <v/>
      </c>
      <c r="L808" t="inlineStr">
        <is>
          <t>大型案件</t>
        </is>
      </c>
    </row>
    <row r="809">
      <c r="A809" t="inlineStr">
        <is>
          <t>SR034</t>
        </is>
      </c>
      <c r="B809" t="inlineStr">
        <is>
          <t>営業担当034</t>
        </is>
      </c>
      <c r="C809" t="inlineStr">
        <is>
          <t>パートナー営業部</t>
        </is>
      </c>
      <c r="D809" s="3" t="n">
        <v>45933</v>
      </c>
      <c r="E809" t="inlineStr">
        <is>
          <t>北斗産業有限会社</t>
        </is>
      </c>
      <c r="F809" t="inlineStr">
        <is>
          <t>福岡県</t>
        </is>
      </c>
      <c r="G809" t="inlineStr">
        <is>
          <t>導入支援</t>
        </is>
      </c>
      <c r="H809" t="inlineStr">
        <is>
          <t>操作研修パック</t>
        </is>
      </c>
      <c r="I809" s="4" t="n">
        <v>1</v>
      </c>
      <c r="J809" s="4" t="n">
        <v>126500</v>
      </c>
      <c r="K809" s="4">
        <f>I809*J809</f>
        <v/>
      </c>
      <c r="L809" t="inlineStr"/>
    </row>
    <row r="810">
      <c r="A810" t="inlineStr">
        <is>
          <t>SR034</t>
        </is>
      </c>
      <c r="B810" t="inlineStr">
        <is>
          <t>営業担当034</t>
        </is>
      </c>
      <c r="C810" t="inlineStr">
        <is>
          <t>パートナー営業部</t>
        </is>
      </c>
      <c r="D810" s="3" t="n">
        <v>45936</v>
      </c>
      <c r="E810" t="inlineStr">
        <is>
          <t>ネクストソリューション株式会社</t>
        </is>
      </c>
      <c r="F810" t="inlineStr">
        <is>
          <t>福岡県</t>
        </is>
      </c>
      <c r="G810" t="inlineStr">
        <is>
          <t>消耗品</t>
        </is>
      </c>
      <c r="H810" t="inlineStr">
        <is>
          <t>保守用バッテリー</t>
        </is>
      </c>
      <c r="I810" s="4" t="n">
        <v>4</v>
      </c>
      <c r="J810" s="4" t="n">
        <v>18370</v>
      </c>
      <c r="K810" s="4">
        <f>I810*J810</f>
        <v/>
      </c>
      <c r="L810" t="inlineStr"/>
    </row>
    <row r="811">
      <c r="A811" t="inlineStr">
        <is>
          <t>SR034</t>
        </is>
      </c>
      <c r="B811" t="inlineStr">
        <is>
          <t>営業担当034</t>
        </is>
      </c>
      <c r="C811" t="inlineStr">
        <is>
          <t>パートナー営業部</t>
        </is>
      </c>
      <c r="D811" s="3" t="n">
        <v>45969</v>
      </c>
      <c r="E811" t="inlineStr">
        <is>
          <t>グリーンテック株式会社</t>
        </is>
      </c>
      <c r="F811" t="inlineStr">
        <is>
          <t>福岡県</t>
        </is>
      </c>
      <c r="G811" t="inlineStr">
        <is>
          <t>ソフトウェア</t>
        </is>
      </c>
      <c r="H811" t="inlineStr">
        <is>
          <t>帳票自動化ツール</t>
        </is>
      </c>
      <c r="I811" s="4" t="n">
        <v>1</v>
      </c>
      <c r="J811" s="4" t="n">
        <v>336800</v>
      </c>
      <c r="K811" s="4">
        <f>I811*J811</f>
        <v/>
      </c>
      <c r="L811" t="inlineStr"/>
    </row>
    <row r="812">
      <c r="A812" t="inlineStr">
        <is>
          <t>SR034</t>
        </is>
      </c>
      <c r="B812" t="inlineStr">
        <is>
          <t>営業担当034</t>
        </is>
      </c>
      <c r="C812" t="inlineStr">
        <is>
          <t>パートナー営業部</t>
        </is>
      </c>
      <c r="D812" s="3" t="n">
        <v>45976</v>
      </c>
      <c r="E812" t="inlineStr">
        <is>
          <t>未来通信株式会社</t>
        </is>
      </c>
      <c r="F812" t="inlineStr">
        <is>
          <t>東京都</t>
        </is>
      </c>
      <c r="G812" t="inlineStr">
        <is>
          <t>ソフトウェア</t>
        </is>
      </c>
      <c r="H812" t="inlineStr">
        <is>
          <t>在庫管理クラウド</t>
        </is>
      </c>
      <c r="I812" s="4" t="n">
        <v>5</v>
      </c>
      <c r="J812" s="4" t="n">
        <v>478000</v>
      </c>
      <c r="K812" s="4">
        <f>I812*J812</f>
        <v/>
      </c>
      <c r="L812" t="inlineStr">
        <is>
          <t>リピート受注</t>
        </is>
      </c>
    </row>
    <row r="813">
      <c r="A813" t="inlineStr">
        <is>
          <t>SR034</t>
        </is>
      </c>
      <c r="B813" t="inlineStr">
        <is>
          <t>営業担当034</t>
        </is>
      </c>
      <c r="C813" t="inlineStr">
        <is>
          <t>パートナー営業部</t>
        </is>
      </c>
      <c r="D813" s="3" t="n">
        <v>46016</v>
      </c>
      <c r="E813" t="inlineStr">
        <is>
          <t>白峰化学株式会社</t>
        </is>
      </c>
      <c r="F813" t="inlineStr">
        <is>
          <t>広島県</t>
        </is>
      </c>
      <c r="G813" t="inlineStr">
        <is>
          <t>ハードウェア</t>
        </is>
      </c>
      <c r="H813" t="inlineStr">
        <is>
          <t>産業用タブレット</t>
        </is>
      </c>
      <c r="I813" s="4" t="n">
        <v>1</v>
      </c>
      <c r="J813" s="4" t="n">
        <v>107900</v>
      </c>
      <c r="K813" s="4">
        <f>I813*J813</f>
        <v/>
      </c>
      <c r="L813" t="inlineStr">
        <is>
          <t>リピート受注</t>
        </is>
      </c>
    </row>
    <row r="814">
      <c r="A814" t="inlineStr">
        <is>
          <t>SR034</t>
        </is>
      </c>
      <c r="B814" t="inlineStr">
        <is>
          <t>営業担当034</t>
        </is>
      </c>
      <c r="C814" t="inlineStr">
        <is>
          <t>パートナー営業部</t>
        </is>
      </c>
      <c r="D814" s="3" t="n">
        <v>46018</v>
      </c>
      <c r="E814" t="inlineStr">
        <is>
          <t>星和商会株式会社</t>
        </is>
      </c>
      <c r="F814" t="inlineStr">
        <is>
          <t>大阪府</t>
        </is>
      </c>
      <c r="G814" t="inlineStr">
        <is>
          <t>ソフトウェア</t>
        </is>
      </c>
      <c r="H814" t="inlineStr">
        <is>
          <t>AIチャットボット</t>
        </is>
      </c>
      <c r="I814" s="4" t="n">
        <v>5</v>
      </c>
      <c r="J814" s="4" t="n">
        <v>754300</v>
      </c>
      <c r="K814" s="4">
        <f>I814*J814</f>
        <v/>
      </c>
      <c r="L814" t="inlineStr">
        <is>
          <t>大型案件</t>
        </is>
      </c>
    </row>
    <row r="815">
      <c r="A815" t="inlineStr">
        <is>
          <t>SR034</t>
        </is>
      </c>
      <c r="B815" t="inlineStr">
        <is>
          <t>営業担当034</t>
        </is>
      </c>
      <c r="C815" t="inlineStr">
        <is>
          <t>パートナー営業部</t>
        </is>
      </c>
      <c r="D815" s="3" t="n">
        <v>46025</v>
      </c>
      <c r="E815" t="inlineStr">
        <is>
          <t>東洋フーズ(株)</t>
        </is>
      </c>
      <c r="F815" t="inlineStr">
        <is>
          <t>北海道</t>
        </is>
      </c>
      <c r="G815" t="inlineStr">
        <is>
          <t>導入支援</t>
        </is>
      </c>
      <c r="H815" t="inlineStr">
        <is>
          <t>データ移行支援</t>
        </is>
      </c>
      <c r="I815" s="4" t="n">
        <v>1</v>
      </c>
      <c r="J815" s="4" t="n">
        <v>315900</v>
      </c>
      <c r="K815" s="4">
        <f>I815*J815</f>
        <v/>
      </c>
      <c r="L815" t="inlineStr">
        <is>
          <t>値引き調整あり</t>
        </is>
      </c>
    </row>
    <row r="816">
      <c r="A816" t="inlineStr">
        <is>
          <t>SR034</t>
        </is>
      </c>
      <c r="B816" t="inlineStr">
        <is>
          <t>営業担当034</t>
        </is>
      </c>
      <c r="C816" t="inlineStr">
        <is>
          <t>パートナー営業部</t>
        </is>
      </c>
      <c r="D816" s="3" t="n">
        <v>46027</v>
      </c>
      <c r="E816" t="inlineStr">
        <is>
          <t>オーシャン製作所(株)</t>
        </is>
      </c>
      <c r="F816" t="inlineStr">
        <is>
          <t>兵庫県</t>
        </is>
      </c>
      <c r="G816" t="inlineStr">
        <is>
          <t>ソフトウェア</t>
        </is>
      </c>
      <c r="H816" t="inlineStr">
        <is>
          <t>AIチャットボット</t>
        </is>
      </c>
      <c r="I816" s="4" t="n">
        <v>4</v>
      </c>
      <c r="J816" s="4" t="n">
        <v>607200</v>
      </c>
      <c r="K816" s="4">
        <f>I816*J816</f>
        <v/>
      </c>
      <c r="L816" t="inlineStr">
        <is>
          <t>キャンペーン適用</t>
        </is>
      </c>
    </row>
    <row r="817">
      <c r="A817" t="inlineStr">
        <is>
          <t>SR034</t>
        </is>
      </c>
      <c r="B817" t="inlineStr">
        <is>
          <t>営業担当034</t>
        </is>
      </c>
      <c r="C817" t="inlineStr">
        <is>
          <t>パートナー営業部</t>
        </is>
      </c>
      <c r="D817" s="3" t="n">
        <v>46058</v>
      </c>
      <c r="E817" t="inlineStr">
        <is>
          <t>オーシャン製作所株式会社</t>
        </is>
      </c>
      <c r="F817" t="inlineStr">
        <is>
          <t>東京都</t>
        </is>
      </c>
      <c r="G817" t="inlineStr">
        <is>
          <t>消耗品</t>
        </is>
      </c>
      <c r="H817" t="inlineStr">
        <is>
          <t>ラベルロール</t>
        </is>
      </c>
      <c r="I817" s="4" t="n">
        <v>6</v>
      </c>
      <c r="J817" s="4" t="n">
        <v>3490</v>
      </c>
      <c r="K817" s="4">
        <f>I817*J817</f>
        <v/>
      </c>
      <c r="L817" t="inlineStr"/>
    </row>
    <row r="818">
      <c r="A818" t="inlineStr">
        <is>
          <t>SR034</t>
        </is>
      </c>
      <c r="B818" t="inlineStr">
        <is>
          <t>営業担当034</t>
        </is>
      </c>
      <c r="C818" t="inlineStr">
        <is>
          <t>パートナー営業部</t>
        </is>
      </c>
      <c r="D818" s="3" t="n">
        <v>46081</v>
      </c>
      <c r="E818" t="inlineStr">
        <is>
          <t>みらい物流有限会社</t>
        </is>
      </c>
      <c r="F818" t="inlineStr">
        <is>
          <t>愛知県</t>
        </is>
      </c>
      <c r="G818" t="inlineStr">
        <is>
          <t>ソフトウェア</t>
        </is>
      </c>
      <c r="H818" t="inlineStr">
        <is>
          <t>AIチャットボット</t>
        </is>
      </c>
      <c r="I818" s="4" t="n">
        <v>4</v>
      </c>
      <c r="J818" s="4" t="n">
        <v>349200</v>
      </c>
      <c r="K818" s="4">
        <f>I818*J818</f>
        <v/>
      </c>
      <c r="L818" t="inlineStr">
        <is>
          <t>値引き調整あり</t>
        </is>
      </c>
    </row>
    <row r="819">
      <c r="A819" t="inlineStr">
        <is>
          <t>SR034</t>
        </is>
      </c>
      <c r="B819" t="inlineStr">
        <is>
          <t>営業担当034</t>
        </is>
      </c>
      <c r="C819" t="inlineStr">
        <is>
          <t>パートナー営業部</t>
        </is>
      </c>
      <c r="D819" s="3" t="n">
        <v>46090</v>
      </c>
      <c r="E819" t="inlineStr">
        <is>
          <t>グリーンテック(株)</t>
        </is>
      </c>
      <c r="F819" t="inlineStr">
        <is>
          <t>福岡県</t>
        </is>
      </c>
      <c r="G819" t="inlineStr">
        <is>
          <t>保守サービス</t>
        </is>
      </c>
      <c r="H819" t="inlineStr">
        <is>
          <t>ヘルプデスク契約</t>
        </is>
      </c>
      <c r="I819" s="4" t="n">
        <v>2</v>
      </c>
      <c r="J819" s="4" t="n">
        <v>80900</v>
      </c>
      <c r="K819" s="4">
        <f>I819*J819</f>
        <v/>
      </c>
      <c r="L819" t="inlineStr">
        <is>
          <t>大型案件</t>
        </is>
      </c>
    </row>
    <row r="820">
      <c r="A820" t="inlineStr">
        <is>
          <t>SR034</t>
        </is>
      </c>
      <c r="B820" t="inlineStr">
        <is>
          <t>営業担当034</t>
        </is>
      </c>
      <c r="C820" t="inlineStr">
        <is>
          <t>パートナー営業部</t>
        </is>
      </c>
      <c r="D820" s="3" t="n">
        <v>46093</v>
      </c>
      <c r="E820" t="inlineStr">
        <is>
          <t>オーシャン製作所有限会社</t>
        </is>
      </c>
      <c r="F820" t="inlineStr">
        <is>
          <t>神奈川県</t>
        </is>
      </c>
      <c r="G820" t="inlineStr">
        <is>
          <t>導入支援</t>
        </is>
      </c>
      <c r="H820" t="inlineStr">
        <is>
          <t>初期設定支援</t>
        </is>
      </c>
      <c r="I820" s="4" t="n">
        <v>1</v>
      </c>
      <c r="J820" s="4" t="n">
        <v>124800</v>
      </c>
      <c r="K820" s="4">
        <f>I820*J820</f>
        <v/>
      </c>
      <c r="L820" t="inlineStr">
        <is>
          <t>値引き調整あり</t>
        </is>
      </c>
    </row>
    <row r="821">
      <c r="A821" t="inlineStr">
        <is>
          <t>SR035</t>
        </is>
      </c>
      <c r="B821" t="inlineStr">
        <is>
          <t>営業担当035</t>
        </is>
      </c>
      <c r="C821" t="inlineStr">
        <is>
          <t>インサイドセールス部</t>
        </is>
      </c>
      <c r="D821" s="3" t="n">
        <v>45761</v>
      </c>
      <c r="E821" t="inlineStr">
        <is>
          <t>グリーンテック株式会社</t>
        </is>
      </c>
      <c r="F821" t="inlineStr">
        <is>
          <t>兵庫県</t>
        </is>
      </c>
      <c r="G821" t="inlineStr">
        <is>
          <t>導入支援</t>
        </is>
      </c>
      <c r="H821" t="inlineStr">
        <is>
          <t>初期設定支援</t>
        </is>
      </c>
      <c r="I821" s="4" t="n">
        <v>4</v>
      </c>
      <c r="J821" s="4" t="n">
        <v>126400</v>
      </c>
      <c r="K821" s="4">
        <f>I821*J821</f>
        <v/>
      </c>
      <c r="L821" t="inlineStr"/>
    </row>
    <row r="822">
      <c r="A822" t="inlineStr">
        <is>
          <t>SR035</t>
        </is>
      </c>
      <c r="B822" t="inlineStr">
        <is>
          <t>営業担当035</t>
        </is>
      </c>
      <c r="C822" t="inlineStr">
        <is>
          <t>インサイドセールス部</t>
        </is>
      </c>
      <c r="D822" s="3" t="n">
        <v>45766</v>
      </c>
      <c r="E822" t="inlineStr">
        <is>
          <t>北斗産業株式会社</t>
        </is>
      </c>
      <c r="F822" t="inlineStr">
        <is>
          <t>大阪府</t>
        </is>
      </c>
      <c r="G822" t="inlineStr">
        <is>
          <t>消耗品</t>
        </is>
      </c>
      <c r="H822" t="inlineStr">
        <is>
          <t>保守用バッテリー</t>
        </is>
      </c>
      <c r="I822" s="4" t="n">
        <v>13</v>
      </c>
      <c r="J822" s="4" t="n">
        <v>9030</v>
      </c>
      <c r="K822" s="4">
        <f>I822*J822</f>
        <v/>
      </c>
      <c r="L822" t="inlineStr"/>
    </row>
    <row r="823">
      <c r="A823" t="inlineStr">
        <is>
          <t>SR035</t>
        </is>
      </c>
      <c r="B823" t="inlineStr">
        <is>
          <t>営業担当035</t>
        </is>
      </c>
      <c r="C823" t="inlineStr">
        <is>
          <t>インサイドセールス部</t>
        </is>
      </c>
      <c r="D823" s="3" t="n">
        <v>45792</v>
      </c>
      <c r="E823" t="inlineStr">
        <is>
          <t>東洋フーズ有限会社</t>
        </is>
      </c>
      <c r="F823" t="inlineStr">
        <is>
          <t>北海道</t>
        </is>
      </c>
      <c r="G823" t="inlineStr">
        <is>
          <t>保守サービス</t>
        </is>
      </c>
      <c r="H823" t="inlineStr">
        <is>
          <t>年間保守契約</t>
        </is>
      </c>
      <c r="I823" s="4" t="n">
        <v>3</v>
      </c>
      <c r="J823" s="4" t="n">
        <v>112100</v>
      </c>
      <c r="K823" s="4">
        <f>I823*J823</f>
        <v/>
      </c>
      <c r="L823" t="inlineStr"/>
    </row>
    <row r="824">
      <c r="A824" t="inlineStr">
        <is>
          <t>SR035</t>
        </is>
      </c>
      <c r="B824" t="inlineStr">
        <is>
          <t>営業担当035</t>
        </is>
      </c>
      <c r="C824" t="inlineStr">
        <is>
          <t>インサイドセールス部</t>
        </is>
      </c>
      <c r="D824" s="3" t="n">
        <v>45793</v>
      </c>
      <c r="E824" t="inlineStr">
        <is>
          <t>みらい物流株式会社</t>
        </is>
      </c>
      <c r="F824" t="inlineStr">
        <is>
          <t>東京都</t>
        </is>
      </c>
      <c r="G824" t="inlineStr">
        <is>
          <t>ハードウェア</t>
        </is>
      </c>
      <c r="H824" t="inlineStr">
        <is>
          <t>産業用タブレット</t>
        </is>
      </c>
      <c r="I824" s="4" t="n">
        <v>5</v>
      </c>
      <c r="J824" s="4" t="n">
        <v>97000</v>
      </c>
      <c r="K824" s="4">
        <f>I824*J824</f>
        <v/>
      </c>
      <c r="L824" t="inlineStr">
        <is>
          <t>キャンペーン適用</t>
        </is>
      </c>
    </row>
    <row r="825">
      <c r="A825" t="inlineStr">
        <is>
          <t>SR035</t>
        </is>
      </c>
      <c r="B825" t="inlineStr">
        <is>
          <t>営業担当035</t>
        </is>
      </c>
      <c r="C825" t="inlineStr">
        <is>
          <t>インサイドセールス部</t>
        </is>
      </c>
      <c r="D825" s="3" t="n">
        <v>45831</v>
      </c>
      <c r="E825" t="inlineStr">
        <is>
          <t>ネクストソリューション有限会社</t>
        </is>
      </c>
      <c r="F825" t="inlineStr">
        <is>
          <t>福岡県</t>
        </is>
      </c>
      <c r="G825" t="inlineStr">
        <is>
          <t>ハードウェア</t>
        </is>
      </c>
      <c r="H825" t="inlineStr">
        <is>
          <t>小型ハンディ端末</t>
        </is>
      </c>
      <c r="I825" s="4" t="n">
        <v>3</v>
      </c>
      <c r="J825" s="4" t="n">
        <v>91100</v>
      </c>
      <c r="K825" s="4">
        <f>I825*J825</f>
        <v/>
      </c>
      <c r="L825" t="inlineStr">
        <is>
          <t>キャンペーン適用</t>
        </is>
      </c>
    </row>
    <row r="826">
      <c r="A826" t="inlineStr">
        <is>
          <t>SR035</t>
        </is>
      </c>
      <c r="B826" t="inlineStr">
        <is>
          <t>営業担当035</t>
        </is>
      </c>
      <c r="C826" t="inlineStr">
        <is>
          <t>インサイドセールス部</t>
        </is>
      </c>
      <c r="D826" s="3" t="n">
        <v>45831</v>
      </c>
      <c r="E826" t="inlineStr">
        <is>
          <t>星和商会株式会社</t>
        </is>
      </c>
      <c r="F826" t="inlineStr">
        <is>
          <t>神奈川県</t>
        </is>
      </c>
      <c r="G826" t="inlineStr">
        <is>
          <t>ハードウェア</t>
        </is>
      </c>
      <c r="H826" t="inlineStr">
        <is>
          <t>産業用タブレット</t>
        </is>
      </c>
      <c r="I826" s="4" t="n">
        <v>4</v>
      </c>
      <c r="J826" s="4" t="n">
        <v>114900</v>
      </c>
      <c r="K826" s="4">
        <f>I826*J826</f>
        <v/>
      </c>
      <c r="L826" t="inlineStr">
        <is>
          <t>キャンペーン適用</t>
        </is>
      </c>
    </row>
    <row r="827">
      <c r="A827" t="inlineStr">
        <is>
          <t>SR035</t>
        </is>
      </c>
      <c r="B827" t="inlineStr">
        <is>
          <t>営業担当035</t>
        </is>
      </c>
      <c r="C827" t="inlineStr">
        <is>
          <t>インサイドセールス部</t>
        </is>
      </c>
      <c r="D827" s="3" t="n">
        <v>45844</v>
      </c>
      <c r="E827" t="inlineStr">
        <is>
          <t>オーシャン製作所株式会社</t>
        </is>
      </c>
      <c r="F827" t="inlineStr">
        <is>
          <t>神奈川県</t>
        </is>
      </c>
      <c r="G827" t="inlineStr">
        <is>
          <t>消耗品</t>
        </is>
      </c>
      <c r="H827" t="inlineStr">
        <is>
          <t>ラベルロール</t>
        </is>
      </c>
      <c r="I827" s="4" t="n">
        <v>13</v>
      </c>
      <c r="J827" s="4" t="n">
        <v>5680</v>
      </c>
      <c r="K827" s="4">
        <f>I827*J827</f>
        <v/>
      </c>
      <c r="L827" t="inlineStr">
        <is>
          <t>値引き調整あり</t>
        </is>
      </c>
    </row>
    <row r="828">
      <c r="A828" t="inlineStr">
        <is>
          <t>SR035</t>
        </is>
      </c>
      <c r="B828" t="inlineStr">
        <is>
          <t>営業担当035</t>
        </is>
      </c>
      <c r="C828" t="inlineStr">
        <is>
          <t>インサイドセールス部</t>
        </is>
      </c>
      <c r="D828" s="3" t="n">
        <v>45846</v>
      </c>
      <c r="E828" t="inlineStr">
        <is>
          <t>西日本機工有限会社</t>
        </is>
      </c>
      <c r="F828" t="inlineStr">
        <is>
          <t>東京都</t>
        </is>
      </c>
      <c r="G828" t="inlineStr">
        <is>
          <t>消耗品</t>
        </is>
      </c>
      <c r="H828" t="inlineStr">
        <is>
          <t>ラベルロール</t>
        </is>
      </c>
      <c r="I828" s="4" t="n">
        <v>12</v>
      </c>
      <c r="J828" s="4" t="n">
        <v>12430</v>
      </c>
      <c r="K828" s="4">
        <f>I828*J828</f>
        <v/>
      </c>
      <c r="L828" t="inlineStr"/>
    </row>
    <row r="829">
      <c r="A829" t="inlineStr">
        <is>
          <t>SR035</t>
        </is>
      </c>
      <c r="B829" t="inlineStr">
        <is>
          <t>営業担当035</t>
        </is>
      </c>
      <c r="C829" t="inlineStr">
        <is>
          <t>インサイドセールス部</t>
        </is>
      </c>
      <c r="D829" s="3" t="n">
        <v>45890</v>
      </c>
      <c r="E829" t="inlineStr">
        <is>
          <t>サンライズ建設(株)</t>
        </is>
      </c>
      <c r="F829" t="inlineStr">
        <is>
          <t>宮城県</t>
        </is>
      </c>
      <c r="G829" t="inlineStr">
        <is>
          <t>ソフトウェア</t>
        </is>
      </c>
      <c r="H829" t="inlineStr">
        <is>
          <t>営業支援SaaS</t>
        </is>
      </c>
      <c r="I829" s="4" t="n">
        <v>2</v>
      </c>
      <c r="J829" s="4" t="n">
        <v>168100</v>
      </c>
      <c r="K829" s="4">
        <f>I829*J829</f>
        <v/>
      </c>
      <c r="L829" t="inlineStr">
        <is>
          <t>値引き調整あり</t>
        </is>
      </c>
    </row>
    <row r="830">
      <c r="A830" t="inlineStr">
        <is>
          <t>SR035</t>
        </is>
      </c>
      <c r="B830" t="inlineStr">
        <is>
          <t>営業担当035</t>
        </is>
      </c>
      <c r="C830" t="inlineStr">
        <is>
          <t>インサイドセールス部</t>
        </is>
      </c>
      <c r="D830" s="3" t="n">
        <v>45897</v>
      </c>
      <c r="E830" t="inlineStr">
        <is>
          <t>桜井メディカル株式会社</t>
        </is>
      </c>
      <c r="F830" t="inlineStr">
        <is>
          <t>宮城県</t>
        </is>
      </c>
      <c r="G830" t="inlineStr">
        <is>
          <t>消耗品</t>
        </is>
      </c>
      <c r="H830" t="inlineStr">
        <is>
          <t>保守用バッテリー</t>
        </is>
      </c>
      <c r="I830" s="4" t="n">
        <v>14</v>
      </c>
      <c r="J830" s="4" t="n">
        <v>10230</v>
      </c>
      <c r="K830" s="4">
        <f>I830*J830</f>
        <v/>
      </c>
      <c r="L830" t="inlineStr">
        <is>
          <t>分納</t>
        </is>
      </c>
    </row>
    <row r="831">
      <c r="A831" t="inlineStr">
        <is>
          <t>SR035</t>
        </is>
      </c>
      <c r="B831" t="inlineStr">
        <is>
          <t>営業担当035</t>
        </is>
      </c>
      <c r="C831" t="inlineStr">
        <is>
          <t>インサイドセールス部</t>
        </is>
      </c>
      <c r="D831" s="3" t="n">
        <v>45904</v>
      </c>
      <c r="E831" t="inlineStr">
        <is>
          <t>ライトホーム(株)</t>
        </is>
      </c>
      <c r="F831" t="inlineStr">
        <is>
          <t>京都府</t>
        </is>
      </c>
      <c r="G831" t="inlineStr">
        <is>
          <t>消耗品</t>
        </is>
      </c>
      <c r="H831" t="inlineStr">
        <is>
          <t>ラベルロール</t>
        </is>
      </c>
      <c r="I831" s="4" t="n">
        <v>8</v>
      </c>
      <c r="J831" s="4" t="n">
        <v>6460</v>
      </c>
      <c r="K831" s="4">
        <f>I831*J831</f>
        <v/>
      </c>
      <c r="L831" t="inlineStr">
        <is>
          <t>リピート受注</t>
        </is>
      </c>
    </row>
    <row r="832">
      <c r="A832" t="inlineStr">
        <is>
          <t>SR035</t>
        </is>
      </c>
      <c r="B832" t="inlineStr">
        <is>
          <t>営業担当035</t>
        </is>
      </c>
      <c r="C832" t="inlineStr">
        <is>
          <t>インサイドセールス部</t>
        </is>
      </c>
      <c r="D832" s="3" t="n">
        <v>45927</v>
      </c>
      <c r="E832" t="inlineStr">
        <is>
          <t>白峰化学(株)</t>
        </is>
      </c>
      <c r="F832" t="inlineStr">
        <is>
          <t>東京都</t>
        </is>
      </c>
      <c r="G832" t="inlineStr">
        <is>
          <t>導入支援</t>
        </is>
      </c>
      <c r="H832" t="inlineStr">
        <is>
          <t>操作研修パック</t>
        </is>
      </c>
      <c r="I832" s="4" t="n">
        <v>2</v>
      </c>
      <c r="J832" s="4" t="n">
        <v>80700</v>
      </c>
      <c r="K832" s="4">
        <f>I832*J832</f>
        <v/>
      </c>
      <c r="L832" t="inlineStr">
        <is>
          <t>新規開拓</t>
        </is>
      </c>
    </row>
    <row r="833">
      <c r="A833" t="inlineStr">
        <is>
          <t>SR035</t>
        </is>
      </c>
      <c r="B833" t="inlineStr">
        <is>
          <t>営業担当035</t>
        </is>
      </c>
      <c r="C833" t="inlineStr">
        <is>
          <t>インサイドセールス部</t>
        </is>
      </c>
      <c r="D833" s="3" t="n">
        <v>45932</v>
      </c>
      <c r="E833" t="inlineStr">
        <is>
          <t>東洋フーズ株式会社</t>
        </is>
      </c>
      <c r="F833" t="inlineStr">
        <is>
          <t>福岡県</t>
        </is>
      </c>
      <c r="G833" t="inlineStr">
        <is>
          <t>導入支援</t>
        </is>
      </c>
      <c r="H833" t="inlineStr">
        <is>
          <t>データ移行支援</t>
        </is>
      </c>
      <c r="I833" s="4" t="n">
        <v>2</v>
      </c>
      <c r="J833" s="4" t="n">
        <v>145400</v>
      </c>
      <c r="K833" s="4">
        <f>I833*J833</f>
        <v/>
      </c>
      <c r="L833" t="inlineStr"/>
    </row>
    <row r="834">
      <c r="A834" t="inlineStr">
        <is>
          <t>SR035</t>
        </is>
      </c>
      <c r="B834" t="inlineStr">
        <is>
          <t>営業担当035</t>
        </is>
      </c>
      <c r="C834" t="inlineStr">
        <is>
          <t>インサイドセールス部</t>
        </is>
      </c>
      <c r="D834" s="3" t="n">
        <v>45944</v>
      </c>
      <c r="E834" t="inlineStr">
        <is>
          <t>星和商会株式会社</t>
        </is>
      </c>
      <c r="F834" t="inlineStr">
        <is>
          <t>兵庫県</t>
        </is>
      </c>
      <c r="G834" t="inlineStr">
        <is>
          <t>ハードウェア</t>
        </is>
      </c>
      <c r="H834" t="inlineStr">
        <is>
          <t>産業用タブレット</t>
        </is>
      </c>
      <c r="I834" s="4" t="n">
        <v>4</v>
      </c>
      <c r="J834" s="4" t="n">
        <v>72500</v>
      </c>
      <c r="K834" s="4">
        <f>I834*J834</f>
        <v/>
      </c>
      <c r="L834" t="inlineStr"/>
    </row>
    <row r="835">
      <c r="A835" t="inlineStr">
        <is>
          <t>SR035</t>
        </is>
      </c>
      <c r="B835" t="inlineStr">
        <is>
          <t>営業担当035</t>
        </is>
      </c>
      <c r="C835" t="inlineStr">
        <is>
          <t>インサイドセールス部</t>
        </is>
      </c>
      <c r="D835" s="3" t="n">
        <v>45963</v>
      </c>
      <c r="E835" t="inlineStr">
        <is>
          <t>福岡流通(株)</t>
        </is>
      </c>
      <c r="F835" t="inlineStr">
        <is>
          <t>愛知県</t>
        </is>
      </c>
      <c r="G835" t="inlineStr">
        <is>
          <t>導入支援</t>
        </is>
      </c>
      <c r="H835" t="inlineStr">
        <is>
          <t>データ移行支援</t>
        </is>
      </c>
      <c r="I835" s="4" t="n">
        <v>3</v>
      </c>
      <c r="J835" s="4" t="n">
        <v>332600</v>
      </c>
      <c r="K835" s="4">
        <f>I835*J835</f>
        <v/>
      </c>
      <c r="L835" t="inlineStr">
        <is>
          <t>分納</t>
        </is>
      </c>
    </row>
    <row r="836">
      <c r="A836" t="inlineStr">
        <is>
          <t>SR035</t>
        </is>
      </c>
      <c r="B836" t="inlineStr">
        <is>
          <t>営業担当035</t>
        </is>
      </c>
      <c r="C836" t="inlineStr">
        <is>
          <t>インサイドセールス部</t>
        </is>
      </c>
      <c r="D836" s="3" t="n">
        <v>45977</v>
      </c>
      <c r="E836" t="inlineStr">
        <is>
          <t>大和精機株式会社</t>
        </is>
      </c>
      <c r="F836" t="inlineStr">
        <is>
          <t>宮城県</t>
        </is>
      </c>
      <c r="G836" t="inlineStr">
        <is>
          <t>消耗品</t>
        </is>
      </c>
      <c r="H836" t="inlineStr">
        <is>
          <t>保守用バッテリー</t>
        </is>
      </c>
      <c r="I836" s="4" t="n">
        <v>8</v>
      </c>
      <c r="J836" s="4" t="n">
        <v>7800</v>
      </c>
      <c r="K836" s="4">
        <f>I836*J836</f>
        <v/>
      </c>
      <c r="L836" t="inlineStr">
        <is>
          <t>分納</t>
        </is>
      </c>
    </row>
    <row r="837">
      <c r="A837" t="inlineStr">
        <is>
          <t>SR035</t>
        </is>
      </c>
      <c r="B837" t="inlineStr">
        <is>
          <t>営業担当035</t>
        </is>
      </c>
      <c r="C837" t="inlineStr">
        <is>
          <t>インサイドセールス部</t>
        </is>
      </c>
      <c r="D837" s="3" t="n">
        <v>45993</v>
      </c>
      <c r="E837" t="inlineStr">
        <is>
          <t>中央設備有限会社</t>
        </is>
      </c>
      <c r="F837" t="inlineStr">
        <is>
          <t>東京都</t>
        </is>
      </c>
      <c r="G837" t="inlineStr">
        <is>
          <t>消耗品</t>
        </is>
      </c>
      <c r="H837" t="inlineStr">
        <is>
          <t>ラベルロール</t>
        </is>
      </c>
      <c r="I837" s="4" t="n">
        <v>3</v>
      </c>
      <c r="J837" s="4" t="n">
        <v>2790</v>
      </c>
      <c r="K837" s="4">
        <f>I837*J837</f>
        <v/>
      </c>
      <c r="L837" t="inlineStr">
        <is>
          <t>分納</t>
        </is>
      </c>
    </row>
    <row r="838">
      <c r="A838" t="inlineStr">
        <is>
          <t>SR035</t>
        </is>
      </c>
      <c r="B838" t="inlineStr">
        <is>
          <t>営業担当035</t>
        </is>
      </c>
      <c r="C838" t="inlineStr">
        <is>
          <t>インサイドセールス部</t>
        </is>
      </c>
      <c r="D838" s="3" t="n">
        <v>46007</v>
      </c>
      <c r="E838" t="inlineStr">
        <is>
          <t>桜井メディカル株式会社</t>
        </is>
      </c>
      <c r="F838" t="inlineStr">
        <is>
          <t>京都府</t>
        </is>
      </c>
      <c r="G838" t="inlineStr">
        <is>
          <t>ソフトウェア</t>
        </is>
      </c>
      <c r="H838" t="inlineStr">
        <is>
          <t>AIチャットボット</t>
        </is>
      </c>
      <c r="I838" s="4" t="n">
        <v>2</v>
      </c>
      <c r="J838" s="4" t="n">
        <v>358700</v>
      </c>
      <c r="K838" s="4">
        <f>I838*J838</f>
        <v/>
      </c>
      <c r="L838" t="inlineStr">
        <is>
          <t>新規開拓</t>
        </is>
      </c>
    </row>
    <row r="839">
      <c r="A839" t="inlineStr">
        <is>
          <t>SR035</t>
        </is>
      </c>
      <c r="B839" t="inlineStr">
        <is>
          <t>営業担当035</t>
        </is>
      </c>
      <c r="C839" t="inlineStr">
        <is>
          <t>インサイドセールス部</t>
        </is>
      </c>
      <c r="D839" s="3" t="n">
        <v>46032</v>
      </c>
      <c r="E839" t="inlineStr">
        <is>
          <t>桜井メディカル有限会社</t>
        </is>
      </c>
      <c r="F839" t="inlineStr">
        <is>
          <t>大阪府</t>
        </is>
      </c>
      <c r="G839" t="inlineStr">
        <is>
          <t>ソフトウェア</t>
        </is>
      </c>
      <c r="H839" t="inlineStr">
        <is>
          <t>AIチャットボット</t>
        </is>
      </c>
      <c r="I839" s="4" t="n">
        <v>3</v>
      </c>
      <c r="J839" s="4" t="n">
        <v>382500</v>
      </c>
      <c r="K839" s="4">
        <f>I839*J839</f>
        <v/>
      </c>
      <c r="L839" t="inlineStr">
        <is>
          <t>分納</t>
        </is>
      </c>
    </row>
    <row r="840">
      <c r="A840" t="inlineStr">
        <is>
          <t>SR035</t>
        </is>
      </c>
      <c r="B840" t="inlineStr">
        <is>
          <t>営業担当035</t>
        </is>
      </c>
      <c r="C840" t="inlineStr">
        <is>
          <t>インサイドセールス部</t>
        </is>
      </c>
      <c r="D840" s="3" t="n">
        <v>46039</v>
      </c>
      <c r="E840" t="inlineStr">
        <is>
          <t>中央設備株式会社</t>
        </is>
      </c>
      <c r="F840" t="inlineStr">
        <is>
          <t>愛知県</t>
        </is>
      </c>
      <c r="G840" t="inlineStr">
        <is>
          <t>導入支援</t>
        </is>
      </c>
      <c r="H840" t="inlineStr">
        <is>
          <t>操作研修パック</t>
        </is>
      </c>
      <c r="I840" s="4" t="n">
        <v>5</v>
      </c>
      <c r="J840" s="4" t="n">
        <v>96700</v>
      </c>
      <c r="K840" s="4">
        <f>I840*J840</f>
        <v/>
      </c>
      <c r="L840" t="inlineStr">
        <is>
          <t>キャンペーン適用</t>
        </is>
      </c>
    </row>
    <row r="841">
      <c r="A841" t="inlineStr">
        <is>
          <t>SR035</t>
        </is>
      </c>
      <c r="B841" t="inlineStr">
        <is>
          <t>営業担当035</t>
        </is>
      </c>
      <c r="C841" t="inlineStr">
        <is>
          <t>インサイドセールス部</t>
        </is>
      </c>
      <c r="D841" s="3" t="n">
        <v>46060</v>
      </c>
      <c r="E841" t="inlineStr">
        <is>
          <t>オーシャン製作所株式会社</t>
        </is>
      </c>
      <c r="F841" t="inlineStr">
        <is>
          <t>大阪府</t>
        </is>
      </c>
      <c r="G841" t="inlineStr">
        <is>
          <t>保守サービス</t>
        </is>
      </c>
      <c r="H841" t="inlineStr">
        <is>
          <t>年間保守契約</t>
        </is>
      </c>
      <c r="I841" s="4" t="n">
        <v>1</v>
      </c>
      <c r="J841" s="4" t="n">
        <v>157100</v>
      </c>
      <c r="K841" s="4">
        <f>I841*J841</f>
        <v/>
      </c>
      <c r="L841" t="inlineStr">
        <is>
          <t>キャンペーン適用</t>
        </is>
      </c>
    </row>
    <row r="842">
      <c r="A842" t="inlineStr">
        <is>
          <t>SR035</t>
        </is>
      </c>
      <c r="B842" t="inlineStr">
        <is>
          <t>営業担当035</t>
        </is>
      </c>
      <c r="C842" t="inlineStr">
        <is>
          <t>インサイドセールス部</t>
        </is>
      </c>
      <c r="D842" s="3" t="n">
        <v>46081</v>
      </c>
      <c r="E842" t="inlineStr">
        <is>
          <t>星和商会有限会社</t>
        </is>
      </c>
      <c r="F842" t="inlineStr">
        <is>
          <t>兵庫県</t>
        </is>
      </c>
      <c r="G842" t="inlineStr">
        <is>
          <t>ソフトウェア</t>
        </is>
      </c>
      <c r="H842" t="inlineStr">
        <is>
          <t>AIチャットボット</t>
        </is>
      </c>
      <c r="I842" s="4" t="n">
        <v>4</v>
      </c>
      <c r="J842" s="4" t="n">
        <v>882200</v>
      </c>
      <c r="K842" s="4">
        <f>I842*J842</f>
        <v/>
      </c>
      <c r="L842" t="inlineStr"/>
    </row>
    <row r="843">
      <c r="A843" t="inlineStr">
        <is>
          <t>SR035</t>
        </is>
      </c>
      <c r="B843" t="inlineStr">
        <is>
          <t>営業担当035</t>
        </is>
      </c>
      <c r="C843" t="inlineStr">
        <is>
          <t>インサイドセールス部</t>
        </is>
      </c>
      <c r="D843" s="3" t="n">
        <v>46109</v>
      </c>
      <c r="E843" t="inlineStr">
        <is>
          <t>東洋フーズ(株)</t>
        </is>
      </c>
      <c r="F843" t="inlineStr">
        <is>
          <t>愛知県</t>
        </is>
      </c>
      <c r="G843" t="inlineStr">
        <is>
          <t>ソフトウェア</t>
        </is>
      </c>
      <c r="H843" t="inlineStr">
        <is>
          <t>AIチャットボット</t>
        </is>
      </c>
      <c r="I843" s="4" t="n">
        <v>5</v>
      </c>
      <c r="J843" s="4" t="n">
        <v>646800</v>
      </c>
      <c r="K843" s="4">
        <f>I843*J843</f>
        <v/>
      </c>
      <c r="L843" t="inlineStr"/>
    </row>
    <row r="844">
      <c r="A844" t="inlineStr">
        <is>
          <t>SR035</t>
        </is>
      </c>
      <c r="B844" t="inlineStr">
        <is>
          <t>営業担当035</t>
        </is>
      </c>
      <c r="C844" t="inlineStr">
        <is>
          <t>インサイドセールス部</t>
        </is>
      </c>
      <c r="D844" s="3" t="n">
        <v>46109</v>
      </c>
      <c r="E844" t="inlineStr">
        <is>
          <t>日新サービス株式会社</t>
        </is>
      </c>
      <c r="F844" t="inlineStr">
        <is>
          <t>北海道</t>
        </is>
      </c>
      <c r="G844" t="inlineStr">
        <is>
          <t>導入支援</t>
        </is>
      </c>
      <c r="H844" t="inlineStr">
        <is>
          <t>操作研修パック</t>
        </is>
      </c>
      <c r="I844" s="4" t="n">
        <v>1</v>
      </c>
      <c r="J844" s="4" t="n">
        <v>44400</v>
      </c>
      <c r="K844" s="4">
        <f>I844*J844</f>
        <v/>
      </c>
      <c r="L844" t="inlineStr">
        <is>
          <t>キャンペーン適用</t>
        </is>
      </c>
    </row>
    <row r="845">
      <c r="A845" t="inlineStr">
        <is>
          <t>SR036</t>
        </is>
      </c>
      <c r="B845" t="inlineStr">
        <is>
          <t>営業担当036</t>
        </is>
      </c>
      <c r="C845" t="inlineStr">
        <is>
          <t>第1営業部</t>
        </is>
      </c>
      <c r="D845" s="3" t="n">
        <v>45766</v>
      </c>
      <c r="E845" t="inlineStr">
        <is>
          <t>大和精機有限会社</t>
        </is>
      </c>
      <c r="F845" t="inlineStr">
        <is>
          <t>広島県</t>
        </is>
      </c>
      <c r="G845" t="inlineStr">
        <is>
          <t>導入支援</t>
        </is>
      </c>
      <c r="H845" t="inlineStr">
        <is>
          <t>データ移行支援</t>
        </is>
      </c>
      <c r="I845" s="4" t="n">
        <v>5</v>
      </c>
      <c r="J845" s="4" t="n">
        <v>134000</v>
      </c>
      <c r="K845" s="4">
        <f>I845*J845</f>
        <v/>
      </c>
      <c r="L845" t="inlineStr">
        <is>
          <t>リピート受注</t>
        </is>
      </c>
    </row>
    <row r="846">
      <c r="A846" t="inlineStr">
        <is>
          <t>SR036</t>
        </is>
      </c>
      <c r="B846" t="inlineStr">
        <is>
          <t>営業担当036</t>
        </is>
      </c>
      <c r="C846" t="inlineStr">
        <is>
          <t>第1営業部</t>
        </is>
      </c>
      <c r="D846" s="3" t="n">
        <v>45770</v>
      </c>
      <c r="E846" t="inlineStr">
        <is>
          <t>オーシャン製作所有限会社</t>
        </is>
      </c>
      <c r="F846" t="inlineStr">
        <is>
          <t>東京都</t>
        </is>
      </c>
      <c r="G846" t="inlineStr">
        <is>
          <t>保守サービス</t>
        </is>
      </c>
      <c r="H846" t="inlineStr">
        <is>
          <t>オンサイト保守</t>
        </is>
      </c>
      <c r="I846" s="4" t="n">
        <v>3</v>
      </c>
      <c r="J846" s="4" t="n">
        <v>165400</v>
      </c>
      <c r="K846" s="4">
        <f>I846*J846</f>
        <v/>
      </c>
      <c r="L846" t="inlineStr">
        <is>
          <t>値引き調整あり</t>
        </is>
      </c>
    </row>
    <row r="847">
      <c r="A847" t="inlineStr">
        <is>
          <t>SR036</t>
        </is>
      </c>
      <c r="B847" t="inlineStr">
        <is>
          <t>営業担当036</t>
        </is>
      </c>
      <c r="C847" t="inlineStr">
        <is>
          <t>第1営業部</t>
        </is>
      </c>
      <c r="D847" s="3" t="n">
        <v>45783</v>
      </c>
      <c r="E847" t="inlineStr">
        <is>
          <t>未来通信株式会社</t>
        </is>
      </c>
      <c r="F847" t="inlineStr">
        <is>
          <t>広島県</t>
        </is>
      </c>
      <c r="G847" t="inlineStr">
        <is>
          <t>保守サービス</t>
        </is>
      </c>
      <c r="H847" t="inlineStr">
        <is>
          <t>オンサイト保守</t>
        </is>
      </c>
      <c r="I847" s="4" t="n">
        <v>1</v>
      </c>
      <c r="J847" s="4" t="n">
        <v>70300</v>
      </c>
      <c r="K847" s="4">
        <f>I847*J847</f>
        <v/>
      </c>
      <c r="L847" t="inlineStr">
        <is>
          <t>新規開拓</t>
        </is>
      </c>
    </row>
    <row r="848">
      <c r="A848" t="inlineStr">
        <is>
          <t>SR036</t>
        </is>
      </c>
      <c r="B848" t="inlineStr">
        <is>
          <t>営業担当036</t>
        </is>
      </c>
      <c r="C848" t="inlineStr">
        <is>
          <t>第1営業部</t>
        </is>
      </c>
      <c r="D848" s="3" t="n">
        <v>45796</v>
      </c>
      <c r="E848" t="inlineStr">
        <is>
          <t>東洋フーズ有限会社</t>
        </is>
      </c>
      <c r="F848" t="inlineStr">
        <is>
          <t>大阪府</t>
        </is>
      </c>
      <c r="G848" t="inlineStr">
        <is>
          <t>消耗品</t>
        </is>
      </c>
      <c r="H848" t="inlineStr">
        <is>
          <t>保守用バッテリー</t>
        </is>
      </c>
      <c r="I848" s="4" t="n">
        <v>12</v>
      </c>
      <c r="J848" s="4" t="n">
        <v>6920</v>
      </c>
      <c r="K848" s="4">
        <f>I848*J848</f>
        <v/>
      </c>
      <c r="L848" t="inlineStr">
        <is>
          <t>値引き調整あり</t>
        </is>
      </c>
    </row>
    <row r="849">
      <c r="A849" t="inlineStr">
        <is>
          <t>SR036</t>
        </is>
      </c>
      <c r="B849" t="inlineStr">
        <is>
          <t>営業担当036</t>
        </is>
      </c>
      <c r="C849" t="inlineStr">
        <is>
          <t>第1営業部</t>
        </is>
      </c>
      <c r="D849" s="3" t="n">
        <v>45818</v>
      </c>
      <c r="E849" t="inlineStr">
        <is>
          <t>白峰化学株式会社</t>
        </is>
      </c>
      <c r="F849" t="inlineStr">
        <is>
          <t>兵庫県</t>
        </is>
      </c>
      <c r="G849" t="inlineStr">
        <is>
          <t>ハードウェア</t>
        </is>
      </c>
      <c r="H849" t="inlineStr">
        <is>
          <t>ラベルプリンター</t>
        </is>
      </c>
      <c r="I849" s="4" t="n">
        <v>2</v>
      </c>
      <c r="J849" s="4" t="n">
        <v>87800</v>
      </c>
      <c r="K849" s="4">
        <f>I849*J849</f>
        <v/>
      </c>
      <c r="L849" t="inlineStr"/>
    </row>
    <row r="850">
      <c r="A850" t="inlineStr">
        <is>
          <t>SR036</t>
        </is>
      </c>
      <c r="B850" t="inlineStr">
        <is>
          <t>営業担当036</t>
        </is>
      </c>
      <c r="C850" t="inlineStr">
        <is>
          <t>第1営業部</t>
        </is>
      </c>
      <c r="D850" s="3" t="n">
        <v>45830</v>
      </c>
      <c r="E850" t="inlineStr">
        <is>
          <t>福岡流通株式会社</t>
        </is>
      </c>
      <c r="F850" t="inlineStr">
        <is>
          <t>大阪府</t>
        </is>
      </c>
      <c r="G850" t="inlineStr">
        <is>
          <t>導入支援</t>
        </is>
      </c>
      <c r="H850" t="inlineStr">
        <is>
          <t>データ移行支援</t>
        </is>
      </c>
      <c r="I850" s="4" t="n">
        <v>4</v>
      </c>
      <c r="J850" s="4" t="n">
        <v>333500</v>
      </c>
      <c r="K850" s="4">
        <f>I850*J850</f>
        <v/>
      </c>
      <c r="L850" t="inlineStr"/>
    </row>
    <row r="851">
      <c r="A851" t="inlineStr">
        <is>
          <t>SR036</t>
        </is>
      </c>
      <c r="B851" t="inlineStr">
        <is>
          <t>営業担当036</t>
        </is>
      </c>
      <c r="C851" t="inlineStr">
        <is>
          <t>第1営業部</t>
        </is>
      </c>
      <c r="D851" s="3" t="n">
        <v>45850</v>
      </c>
      <c r="E851" t="inlineStr">
        <is>
          <t>福岡流通株式会社</t>
        </is>
      </c>
      <c r="F851" t="inlineStr">
        <is>
          <t>京都府</t>
        </is>
      </c>
      <c r="G851" t="inlineStr">
        <is>
          <t>ソフトウェア</t>
        </is>
      </c>
      <c r="H851" t="inlineStr">
        <is>
          <t>営業支援SaaS</t>
        </is>
      </c>
      <c r="I851" s="4" t="n">
        <v>2</v>
      </c>
      <c r="J851" s="4" t="n">
        <v>257100</v>
      </c>
      <c r="K851" s="4">
        <f>I851*J851</f>
        <v/>
      </c>
      <c r="L851" t="inlineStr">
        <is>
          <t>大型案件</t>
        </is>
      </c>
    </row>
    <row r="852">
      <c r="A852" t="inlineStr">
        <is>
          <t>SR036</t>
        </is>
      </c>
      <c r="B852" t="inlineStr">
        <is>
          <t>営業担当036</t>
        </is>
      </c>
      <c r="C852" t="inlineStr">
        <is>
          <t>第1営業部</t>
        </is>
      </c>
      <c r="D852" s="3" t="n">
        <v>45865</v>
      </c>
      <c r="E852" t="inlineStr">
        <is>
          <t>グリーンテック株式会社</t>
        </is>
      </c>
      <c r="F852" t="inlineStr">
        <is>
          <t>愛知県</t>
        </is>
      </c>
      <c r="G852" t="inlineStr">
        <is>
          <t>ソフトウェア</t>
        </is>
      </c>
      <c r="H852" t="inlineStr">
        <is>
          <t>在庫管理クラウド</t>
        </is>
      </c>
      <c r="I852" s="4" t="n">
        <v>3</v>
      </c>
      <c r="J852" s="4" t="n">
        <v>415300</v>
      </c>
      <c r="K852" s="4">
        <f>I852*J852</f>
        <v/>
      </c>
      <c r="L852" t="inlineStr"/>
    </row>
    <row r="853">
      <c r="A853" t="inlineStr">
        <is>
          <t>SR036</t>
        </is>
      </c>
      <c r="B853" t="inlineStr">
        <is>
          <t>営業担当036</t>
        </is>
      </c>
      <c r="C853" t="inlineStr">
        <is>
          <t>第1営業部</t>
        </is>
      </c>
      <c r="D853" s="3" t="n">
        <v>45884</v>
      </c>
      <c r="E853" t="inlineStr">
        <is>
          <t>未来通信(株)</t>
        </is>
      </c>
      <c r="F853" t="inlineStr">
        <is>
          <t>福岡県</t>
        </is>
      </c>
      <c r="G853" t="inlineStr">
        <is>
          <t>ハードウェア</t>
        </is>
      </c>
      <c r="H853" t="inlineStr">
        <is>
          <t>産業用タブレット</t>
        </is>
      </c>
      <c r="I853" s="4" t="n">
        <v>3</v>
      </c>
      <c r="J853" s="4" t="n">
        <v>103200</v>
      </c>
      <c r="K853" s="4">
        <f>I853*J853</f>
        <v/>
      </c>
      <c r="L853" t="inlineStr"/>
    </row>
    <row r="854">
      <c r="A854" t="inlineStr">
        <is>
          <t>SR036</t>
        </is>
      </c>
      <c r="B854" t="inlineStr">
        <is>
          <t>営業担当036</t>
        </is>
      </c>
      <c r="C854" t="inlineStr">
        <is>
          <t>第1営業部</t>
        </is>
      </c>
      <c r="D854" s="3" t="n">
        <v>45887</v>
      </c>
      <c r="E854" t="inlineStr">
        <is>
          <t>中央設備有限会社</t>
        </is>
      </c>
      <c r="F854" t="inlineStr">
        <is>
          <t>広島県</t>
        </is>
      </c>
      <c r="G854" t="inlineStr">
        <is>
          <t>消耗品</t>
        </is>
      </c>
      <c r="H854" t="inlineStr">
        <is>
          <t>交換用ヘッド</t>
        </is>
      </c>
      <c r="I854" s="4" t="n">
        <v>4</v>
      </c>
      <c r="J854" s="4" t="n">
        <v>21230</v>
      </c>
      <c r="K854" s="4">
        <f>I854*J854</f>
        <v/>
      </c>
      <c r="L854" t="inlineStr">
        <is>
          <t>新規開拓</t>
        </is>
      </c>
    </row>
    <row r="855">
      <c r="A855" t="inlineStr">
        <is>
          <t>SR036</t>
        </is>
      </c>
      <c r="B855" t="inlineStr">
        <is>
          <t>営業担当036</t>
        </is>
      </c>
      <c r="C855" t="inlineStr">
        <is>
          <t>第1営業部</t>
        </is>
      </c>
      <c r="D855" s="3" t="n">
        <v>45912</v>
      </c>
      <c r="E855" t="inlineStr">
        <is>
          <t>白峰化学有限会社</t>
        </is>
      </c>
      <c r="F855" t="inlineStr">
        <is>
          <t>福岡県</t>
        </is>
      </c>
      <c r="G855" t="inlineStr">
        <is>
          <t>消耗品</t>
        </is>
      </c>
      <c r="H855" t="inlineStr">
        <is>
          <t>保守用バッテリー</t>
        </is>
      </c>
      <c r="I855" s="4" t="n">
        <v>2</v>
      </c>
      <c r="J855" s="4" t="n">
        <v>6310</v>
      </c>
      <c r="K855" s="4">
        <f>I855*J855</f>
        <v/>
      </c>
      <c r="L855" t="inlineStr">
        <is>
          <t>キャンペーン適用</t>
        </is>
      </c>
    </row>
    <row r="856">
      <c r="A856" t="inlineStr">
        <is>
          <t>SR036</t>
        </is>
      </c>
      <c r="B856" t="inlineStr">
        <is>
          <t>営業担当036</t>
        </is>
      </c>
      <c r="C856" t="inlineStr">
        <is>
          <t>第1営業部</t>
        </is>
      </c>
      <c r="D856" s="3" t="n">
        <v>45912</v>
      </c>
      <c r="E856" t="inlineStr">
        <is>
          <t>未来通信有限会社</t>
        </is>
      </c>
      <c r="F856" t="inlineStr">
        <is>
          <t>宮城県</t>
        </is>
      </c>
      <c r="G856" t="inlineStr">
        <is>
          <t>保守サービス</t>
        </is>
      </c>
      <c r="H856" t="inlineStr">
        <is>
          <t>年間保守契約</t>
        </is>
      </c>
      <c r="I856" s="4" t="n">
        <v>1</v>
      </c>
      <c r="J856" s="4" t="n">
        <v>212700</v>
      </c>
      <c r="K856" s="4">
        <f>I856*J856</f>
        <v/>
      </c>
      <c r="L856" t="inlineStr">
        <is>
          <t>新規開拓</t>
        </is>
      </c>
    </row>
    <row r="857">
      <c r="A857" t="inlineStr">
        <is>
          <t>SR036</t>
        </is>
      </c>
      <c r="B857" t="inlineStr">
        <is>
          <t>営業担当036</t>
        </is>
      </c>
      <c r="C857" t="inlineStr">
        <is>
          <t>第1営業部</t>
        </is>
      </c>
      <c r="D857" s="3" t="n">
        <v>45945</v>
      </c>
      <c r="E857" t="inlineStr">
        <is>
          <t>ネクストソリューション有限会社</t>
        </is>
      </c>
      <c r="F857" t="inlineStr">
        <is>
          <t>京都府</t>
        </is>
      </c>
      <c r="G857" t="inlineStr">
        <is>
          <t>ソフトウェア</t>
        </is>
      </c>
      <c r="H857" t="inlineStr">
        <is>
          <t>AIチャットボット</t>
        </is>
      </c>
      <c r="I857" s="4" t="n">
        <v>5</v>
      </c>
      <c r="J857" s="4" t="n">
        <v>805600</v>
      </c>
      <c r="K857" s="4">
        <f>I857*J857</f>
        <v/>
      </c>
      <c r="L857" t="inlineStr">
        <is>
          <t>値引き調整あり</t>
        </is>
      </c>
    </row>
    <row r="858">
      <c r="A858" t="inlineStr">
        <is>
          <t>SR036</t>
        </is>
      </c>
      <c r="B858" t="inlineStr">
        <is>
          <t>営業担当036</t>
        </is>
      </c>
      <c r="C858" t="inlineStr">
        <is>
          <t>第1営業部</t>
        </is>
      </c>
      <c r="D858" s="3" t="n">
        <v>45946</v>
      </c>
      <c r="E858" t="inlineStr">
        <is>
          <t>グリーンテック(株)</t>
        </is>
      </c>
      <c r="F858" t="inlineStr">
        <is>
          <t>北海道</t>
        </is>
      </c>
      <c r="G858" t="inlineStr">
        <is>
          <t>ハードウェア</t>
        </is>
      </c>
      <c r="H858" t="inlineStr">
        <is>
          <t>産業用タブレット</t>
        </is>
      </c>
      <c r="I858" s="4" t="n">
        <v>5</v>
      </c>
      <c r="J858" s="4" t="n">
        <v>119900</v>
      </c>
      <c r="K858" s="4">
        <f>I858*J858</f>
        <v/>
      </c>
      <c r="L858" t="inlineStr">
        <is>
          <t>新規開拓</t>
        </is>
      </c>
    </row>
    <row r="859">
      <c r="A859" t="inlineStr">
        <is>
          <t>SR036</t>
        </is>
      </c>
      <c r="B859" t="inlineStr">
        <is>
          <t>営業担当036</t>
        </is>
      </c>
      <c r="C859" t="inlineStr">
        <is>
          <t>第1営業部</t>
        </is>
      </c>
      <c r="D859" s="3" t="n">
        <v>45971</v>
      </c>
      <c r="E859" t="inlineStr">
        <is>
          <t>白峰化学有限会社</t>
        </is>
      </c>
      <c r="F859" t="inlineStr">
        <is>
          <t>北海道</t>
        </is>
      </c>
      <c r="G859" t="inlineStr">
        <is>
          <t>ソフトウェア</t>
        </is>
      </c>
      <c r="H859" t="inlineStr">
        <is>
          <t>営業支援SaaS</t>
        </is>
      </c>
      <c r="I859" s="4" t="n">
        <v>4</v>
      </c>
      <c r="J859" s="4" t="n">
        <v>155700</v>
      </c>
      <c r="K859" s="4">
        <f>I859*J859</f>
        <v/>
      </c>
      <c r="L859" t="inlineStr"/>
    </row>
    <row r="860">
      <c r="A860" t="inlineStr">
        <is>
          <t>SR036</t>
        </is>
      </c>
      <c r="B860" t="inlineStr">
        <is>
          <t>営業担当036</t>
        </is>
      </c>
      <c r="C860" t="inlineStr">
        <is>
          <t>第1営業部</t>
        </is>
      </c>
      <c r="D860" s="3" t="n">
        <v>45982</v>
      </c>
      <c r="E860" t="inlineStr">
        <is>
          <t>サンライズ建設(株)</t>
        </is>
      </c>
      <c r="F860" t="inlineStr">
        <is>
          <t>神奈川県</t>
        </is>
      </c>
      <c r="G860" t="inlineStr">
        <is>
          <t>消耗品</t>
        </is>
      </c>
      <c r="H860" t="inlineStr">
        <is>
          <t>交換用ヘッド</t>
        </is>
      </c>
      <c r="I860" s="4" t="n">
        <v>3</v>
      </c>
      <c r="J860" s="4" t="n">
        <v>35150</v>
      </c>
      <c r="K860" s="4">
        <f>I860*J860</f>
        <v/>
      </c>
      <c r="L860" t="inlineStr">
        <is>
          <t>分納</t>
        </is>
      </c>
    </row>
    <row r="861">
      <c r="A861" t="inlineStr">
        <is>
          <t>SR036</t>
        </is>
      </c>
      <c r="B861" t="inlineStr">
        <is>
          <t>営業担当036</t>
        </is>
      </c>
      <c r="C861" t="inlineStr">
        <is>
          <t>第1営業部</t>
        </is>
      </c>
      <c r="D861" s="3" t="n">
        <v>46002</v>
      </c>
      <c r="E861" t="inlineStr">
        <is>
          <t>中央設備有限会社</t>
        </is>
      </c>
      <c r="F861" t="inlineStr">
        <is>
          <t>広島県</t>
        </is>
      </c>
      <c r="G861" t="inlineStr">
        <is>
          <t>ソフトウェア</t>
        </is>
      </c>
      <c r="H861" t="inlineStr">
        <is>
          <t>営業支援SaaS</t>
        </is>
      </c>
      <c r="I861" s="4" t="n">
        <v>5</v>
      </c>
      <c r="J861" s="4" t="n">
        <v>167800</v>
      </c>
      <c r="K861" s="4">
        <f>I861*J861</f>
        <v/>
      </c>
      <c r="L861" t="inlineStr">
        <is>
          <t>リピート受注</t>
        </is>
      </c>
    </row>
    <row r="862">
      <c r="A862" t="inlineStr">
        <is>
          <t>SR036</t>
        </is>
      </c>
      <c r="B862" t="inlineStr">
        <is>
          <t>営業担当036</t>
        </is>
      </c>
      <c r="C862" t="inlineStr">
        <is>
          <t>第1営業部</t>
        </is>
      </c>
      <c r="D862" s="3" t="n">
        <v>46004</v>
      </c>
      <c r="E862" t="inlineStr">
        <is>
          <t>西日本機工(株)</t>
        </is>
      </c>
      <c r="F862" t="inlineStr">
        <is>
          <t>大阪府</t>
        </is>
      </c>
      <c r="G862" t="inlineStr">
        <is>
          <t>ソフトウェア</t>
        </is>
      </c>
      <c r="H862" t="inlineStr">
        <is>
          <t>営業支援SaaS</t>
        </is>
      </c>
      <c r="I862" s="4" t="n">
        <v>3</v>
      </c>
      <c r="J862" s="4" t="n">
        <v>165800</v>
      </c>
      <c r="K862" s="4">
        <f>I862*J862</f>
        <v/>
      </c>
      <c r="L862" t="inlineStr"/>
    </row>
    <row r="863">
      <c r="A863" t="inlineStr">
        <is>
          <t>SR036</t>
        </is>
      </c>
      <c r="B863" t="inlineStr">
        <is>
          <t>営業担当036</t>
        </is>
      </c>
      <c r="C863" t="inlineStr">
        <is>
          <t>第1営業部</t>
        </is>
      </c>
      <c r="D863" s="3" t="n">
        <v>46023</v>
      </c>
      <c r="E863" t="inlineStr">
        <is>
          <t>日新サービス有限会社</t>
        </is>
      </c>
      <c r="F863" t="inlineStr">
        <is>
          <t>愛知県</t>
        </is>
      </c>
      <c r="G863" t="inlineStr">
        <is>
          <t>導入支援</t>
        </is>
      </c>
      <c r="H863" t="inlineStr">
        <is>
          <t>データ移行支援</t>
        </is>
      </c>
      <c r="I863" s="4" t="n">
        <v>1</v>
      </c>
      <c r="J863" s="4" t="n">
        <v>213600</v>
      </c>
      <c r="K863" s="4">
        <f>I863*J863</f>
        <v/>
      </c>
      <c r="L863" t="inlineStr"/>
    </row>
    <row r="864">
      <c r="A864" t="inlineStr">
        <is>
          <t>SR036</t>
        </is>
      </c>
      <c r="B864" t="inlineStr">
        <is>
          <t>営業担当036</t>
        </is>
      </c>
      <c r="C864" t="inlineStr">
        <is>
          <t>第1営業部</t>
        </is>
      </c>
      <c r="D864" s="3" t="n">
        <v>46038</v>
      </c>
      <c r="E864" t="inlineStr">
        <is>
          <t>グリーンテック株式会社</t>
        </is>
      </c>
      <c r="F864" t="inlineStr">
        <is>
          <t>京都府</t>
        </is>
      </c>
      <c r="G864" t="inlineStr">
        <is>
          <t>ソフトウェア</t>
        </is>
      </c>
      <c r="H864" t="inlineStr">
        <is>
          <t>帳票自動化ツール</t>
        </is>
      </c>
      <c r="I864" s="4" t="n">
        <v>4</v>
      </c>
      <c r="J864" s="4" t="n">
        <v>371700</v>
      </c>
      <c r="K864" s="4">
        <f>I864*J864</f>
        <v/>
      </c>
      <c r="L864" t="inlineStr"/>
    </row>
    <row r="865">
      <c r="A865" t="inlineStr">
        <is>
          <t>SR036</t>
        </is>
      </c>
      <c r="B865" t="inlineStr">
        <is>
          <t>営業担当036</t>
        </is>
      </c>
      <c r="C865" t="inlineStr">
        <is>
          <t>第1営業部</t>
        </is>
      </c>
      <c r="D865" s="3" t="n">
        <v>46069</v>
      </c>
      <c r="E865" t="inlineStr">
        <is>
          <t>福岡流通(株)</t>
        </is>
      </c>
      <c r="F865" t="inlineStr">
        <is>
          <t>広島県</t>
        </is>
      </c>
      <c r="G865" t="inlineStr">
        <is>
          <t>ソフトウェア</t>
        </is>
      </c>
      <c r="H865" t="inlineStr">
        <is>
          <t>帳票自動化ツール</t>
        </is>
      </c>
      <c r="I865" s="4" t="n">
        <v>2</v>
      </c>
      <c r="J865" s="4" t="n">
        <v>175700</v>
      </c>
      <c r="K865" s="4">
        <f>I865*J865</f>
        <v/>
      </c>
      <c r="L865" t="inlineStr"/>
    </row>
    <row r="866">
      <c r="A866" t="inlineStr">
        <is>
          <t>SR036</t>
        </is>
      </c>
      <c r="B866" t="inlineStr">
        <is>
          <t>営業担当036</t>
        </is>
      </c>
      <c r="C866" t="inlineStr">
        <is>
          <t>第1営業部</t>
        </is>
      </c>
      <c r="D866" s="3" t="n">
        <v>46073</v>
      </c>
      <c r="E866" t="inlineStr">
        <is>
          <t>東洋フーズ有限会社</t>
        </is>
      </c>
      <c r="F866" t="inlineStr">
        <is>
          <t>京都府</t>
        </is>
      </c>
      <c r="G866" t="inlineStr">
        <is>
          <t>ハードウェア</t>
        </is>
      </c>
      <c r="H866" t="inlineStr">
        <is>
          <t>ラベルプリンター</t>
        </is>
      </c>
      <c r="I866" s="4" t="n">
        <v>2</v>
      </c>
      <c r="J866" s="4" t="n">
        <v>39100</v>
      </c>
      <c r="K866" s="4">
        <f>I866*J866</f>
        <v/>
      </c>
      <c r="L866" t="inlineStr"/>
    </row>
    <row r="867">
      <c r="A867" t="inlineStr">
        <is>
          <t>SR036</t>
        </is>
      </c>
      <c r="B867" t="inlineStr">
        <is>
          <t>営業担当036</t>
        </is>
      </c>
      <c r="C867" t="inlineStr">
        <is>
          <t>第1営業部</t>
        </is>
      </c>
      <c r="D867" s="3" t="n">
        <v>46099</v>
      </c>
      <c r="E867" t="inlineStr">
        <is>
          <t>白峰化学有限会社</t>
        </is>
      </c>
      <c r="F867" t="inlineStr">
        <is>
          <t>大阪府</t>
        </is>
      </c>
      <c r="G867" t="inlineStr">
        <is>
          <t>消耗品</t>
        </is>
      </c>
      <c r="H867" t="inlineStr">
        <is>
          <t>保守用バッテリー</t>
        </is>
      </c>
      <c r="I867" s="4" t="n">
        <v>4</v>
      </c>
      <c r="J867" s="4" t="n">
        <v>15840</v>
      </c>
      <c r="K867" s="4">
        <f>I867*J867</f>
        <v/>
      </c>
      <c r="L867" t="inlineStr">
        <is>
          <t>新規開拓</t>
        </is>
      </c>
    </row>
    <row r="868">
      <c r="A868" t="inlineStr">
        <is>
          <t>SR036</t>
        </is>
      </c>
      <c r="B868" t="inlineStr">
        <is>
          <t>営業担当036</t>
        </is>
      </c>
      <c r="C868" t="inlineStr">
        <is>
          <t>第1営業部</t>
        </is>
      </c>
      <c r="D868" s="3" t="n">
        <v>46109</v>
      </c>
      <c r="E868" t="inlineStr">
        <is>
          <t>桜井メディカル有限会社</t>
        </is>
      </c>
      <c r="F868" t="inlineStr">
        <is>
          <t>北海道</t>
        </is>
      </c>
      <c r="G868" t="inlineStr">
        <is>
          <t>導入支援</t>
        </is>
      </c>
      <c r="H868" t="inlineStr">
        <is>
          <t>操作研修パック</t>
        </is>
      </c>
      <c r="I868" s="4" t="n">
        <v>3</v>
      </c>
      <c r="J868" s="4" t="n">
        <v>96800</v>
      </c>
      <c r="K868" s="4">
        <f>I868*J868</f>
        <v/>
      </c>
      <c r="L868" t="inlineStr">
        <is>
          <t>分納</t>
        </is>
      </c>
    </row>
    <row r="869">
      <c r="A869" t="inlineStr">
        <is>
          <t>SR037</t>
        </is>
      </c>
      <c r="B869" t="inlineStr">
        <is>
          <t>営業担当037</t>
        </is>
      </c>
      <c r="C869" t="inlineStr">
        <is>
          <t>第2営業部</t>
        </is>
      </c>
      <c r="D869" s="3" t="n">
        <v>45759</v>
      </c>
      <c r="E869" t="inlineStr">
        <is>
          <t>西日本機工株式会社</t>
        </is>
      </c>
      <c r="F869" t="inlineStr">
        <is>
          <t>神奈川県</t>
        </is>
      </c>
      <c r="G869" t="inlineStr">
        <is>
          <t>保守サービス</t>
        </is>
      </c>
      <c r="H869" t="inlineStr">
        <is>
          <t>オンサイト保守</t>
        </is>
      </c>
      <c r="I869" s="4" t="n">
        <v>3</v>
      </c>
      <c r="J869" s="4" t="n">
        <v>49900</v>
      </c>
      <c r="K869" s="4">
        <f>I869*J869</f>
        <v/>
      </c>
      <c r="L869" t="inlineStr">
        <is>
          <t>リピート受注</t>
        </is>
      </c>
    </row>
    <row r="870">
      <c r="A870" t="inlineStr">
        <is>
          <t>SR037</t>
        </is>
      </c>
      <c r="B870" t="inlineStr">
        <is>
          <t>営業担当037</t>
        </is>
      </c>
      <c r="C870" t="inlineStr">
        <is>
          <t>第2営業部</t>
        </is>
      </c>
      <c r="D870" s="3" t="n">
        <v>45767</v>
      </c>
      <c r="E870" t="inlineStr">
        <is>
          <t>ライトホーム有限会社</t>
        </is>
      </c>
      <c r="F870" t="inlineStr">
        <is>
          <t>東京都</t>
        </is>
      </c>
      <c r="G870" t="inlineStr">
        <is>
          <t>保守サービス</t>
        </is>
      </c>
      <c r="H870" t="inlineStr">
        <is>
          <t>オンサイト保守</t>
        </is>
      </c>
      <c r="I870" s="4" t="n">
        <v>2</v>
      </c>
      <c r="J870" s="4" t="n">
        <v>127500</v>
      </c>
      <c r="K870" s="4">
        <f>I870*J870</f>
        <v/>
      </c>
      <c r="L870" t="inlineStr">
        <is>
          <t>新規開拓</t>
        </is>
      </c>
    </row>
    <row r="871">
      <c r="A871" t="inlineStr">
        <is>
          <t>SR037</t>
        </is>
      </c>
      <c r="B871" t="inlineStr">
        <is>
          <t>営業担当037</t>
        </is>
      </c>
      <c r="C871" t="inlineStr">
        <is>
          <t>第2営業部</t>
        </is>
      </c>
      <c r="D871" s="3" t="n">
        <v>45787</v>
      </c>
      <c r="E871" t="inlineStr">
        <is>
          <t>大和精機有限会社</t>
        </is>
      </c>
      <c r="F871" t="inlineStr">
        <is>
          <t>大阪府</t>
        </is>
      </c>
      <c r="G871" t="inlineStr">
        <is>
          <t>消耗品</t>
        </is>
      </c>
      <c r="H871" t="inlineStr">
        <is>
          <t>ラベルロール</t>
        </is>
      </c>
      <c r="I871" s="4" t="n">
        <v>13</v>
      </c>
      <c r="J871" s="4" t="n">
        <v>5950</v>
      </c>
      <c r="K871" s="4">
        <f>I871*J871</f>
        <v/>
      </c>
      <c r="L871" t="inlineStr"/>
    </row>
    <row r="872">
      <c r="A872" t="inlineStr">
        <is>
          <t>SR037</t>
        </is>
      </c>
      <c r="B872" t="inlineStr">
        <is>
          <t>営業担当037</t>
        </is>
      </c>
      <c r="C872" t="inlineStr">
        <is>
          <t>第2営業部</t>
        </is>
      </c>
      <c r="D872" s="3" t="n">
        <v>45790</v>
      </c>
      <c r="E872" t="inlineStr">
        <is>
          <t>福岡流通株式会社</t>
        </is>
      </c>
      <c r="F872" t="inlineStr">
        <is>
          <t>神奈川県</t>
        </is>
      </c>
      <c r="G872" t="inlineStr">
        <is>
          <t>保守サービス</t>
        </is>
      </c>
      <c r="H872" t="inlineStr">
        <is>
          <t>オンサイト保守</t>
        </is>
      </c>
      <c r="I872" s="4" t="n">
        <v>3</v>
      </c>
      <c r="J872" s="4" t="n">
        <v>131200</v>
      </c>
      <c r="K872" s="4">
        <f>I872*J872</f>
        <v/>
      </c>
      <c r="L872" t="inlineStr">
        <is>
          <t>値引き調整あり</t>
        </is>
      </c>
    </row>
    <row r="873">
      <c r="A873" t="inlineStr">
        <is>
          <t>SR037</t>
        </is>
      </c>
      <c r="B873" t="inlineStr">
        <is>
          <t>営業担当037</t>
        </is>
      </c>
      <c r="C873" t="inlineStr">
        <is>
          <t>第2営業部</t>
        </is>
      </c>
      <c r="D873" s="3" t="n">
        <v>45811</v>
      </c>
      <c r="E873" t="inlineStr">
        <is>
          <t>東洋フーズ有限会社</t>
        </is>
      </c>
      <c r="F873" t="inlineStr">
        <is>
          <t>広島県</t>
        </is>
      </c>
      <c r="G873" t="inlineStr">
        <is>
          <t>導入支援</t>
        </is>
      </c>
      <c r="H873" t="inlineStr">
        <is>
          <t>データ移行支援</t>
        </is>
      </c>
      <c r="I873" s="4" t="n">
        <v>3</v>
      </c>
      <c r="J873" s="4" t="n">
        <v>147000</v>
      </c>
      <c r="K873" s="4">
        <f>I873*J873</f>
        <v/>
      </c>
      <c r="L873" t="inlineStr">
        <is>
          <t>キャンペーン適用</t>
        </is>
      </c>
    </row>
    <row r="874">
      <c r="A874" t="inlineStr">
        <is>
          <t>SR037</t>
        </is>
      </c>
      <c r="B874" t="inlineStr">
        <is>
          <t>営業担当037</t>
        </is>
      </c>
      <c r="C874" t="inlineStr">
        <is>
          <t>第2営業部</t>
        </is>
      </c>
      <c r="D874" s="3" t="n">
        <v>45828</v>
      </c>
      <c r="E874" t="inlineStr">
        <is>
          <t>西日本機工有限会社</t>
        </is>
      </c>
      <c r="F874" t="inlineStr">
        <is>
          <t>北海道</t>
        </is>
      </c>
      <c r="G874" t="inlineStr">
        <is>
          <t>保守サービス</t>
        </is>
      </c>
      <c r="H874" t="inlineStr">
        <is>
          <t>ヘルプデスク契約</t>
        </is>
      </c>
      <c r="I874" s="4" t="n">
        <v>3</v>
      </c>
      <c r="J874" s="4" t="n">
        <v>63700</v>
      </c>
      <c r="K874" s="4">
        <f>I874*J874</f>
        <v/>
      </c>
      <c r="L874" t="inlineStr">
        <is>
          <t>新規開拓</t>
        </is>
      </c>
    </row>
    <row r="875">
      <c r="A875" t="inlineStr">
        <is>
          <t>SR037</t>
        </is>
      </c>
      <c r="B875" t="inlineStr">
        <is>
          <t>営業担当037</t>
        </is>
      </c>
      <c r="C875" t="inlineStr">
        <is>
          <t>第2営業部</t>
        </is>
      </c>
      <c r="D875" s="3" t="n">
        <v>45842</v>
      </c>
      <c r="E875" t="inlineStr">
        <is>
          <t>九州エナジー有限会社</t>
        </is>
      </c>
      <c r="F875" t="inlineStr">
        <is>
          <t>北海道</t>
        </is>
      </c>
      <c r="G875" t="inlineStr">
        <is>
          <t>ハードウェア</t>
        </is>
      </c>
      <c r="H875" t="inlineStr">
        <is>
          <t>産業用タブレット</t>
        </is>
      </c>
      <c r="I875" s="4" t="n">
        <v>2</v>
      </c>
      <c r="J875" s="4" t="n">
        <v>121000</v>
      </c>
      <c r="K875" s="4">
        <f>I875*J875</f>
        <v/>
      </c>
      <c r="L875" t="inlineStr">
        <is>
          <t>リピート受注</t>
        </is>
      </c>
    </row>
    <row r="876">
      <c r="A876" t="inlineStr">
        <is>
          <t>SR037</t>
        </is>
      </c>
      <c r="B876" t="inlineStr">
        <is>
          <t>営業担当037</t>
        </is>
      </c>
      <c r="C876" t="inlineStr">
        <is>
          <t>第2営業部</t>
        </is>
      </c>
      <c r="D876" s="3" t="n">
        <v>45862</v>
      </c>
      <c r="E876" t="inlineStr">
        <is>
          <t>アーク電機株式会社</t>
        </is>
      </c>
      <c r="F876" t="inlineStr">
        <is>
          <t>兵庫県</t>
        </is>
      </c>
      <c r="G876" t="inlineStr">
        <is>
          <t>消耗品</t>
        </is>
      </c>
      <c r="H876" t="inlineStr">
        <is>
          <t>ラベルロール</t>
        </is>
      </c>
      <c r="I876" s="4" t="n">
        <v>3</v>
      </c>
      <c r="J876" s="4" t="n">
        <v>6450</v>
      </c>
      <c r="K876" s="4">
        <f>I876*J876</f>
        <v/>
      </c>
      <c r="L876" t="inlineStr">
        <is>
          <t>リピート受注</t>
        </is>
      </c>
    </row>
    <row r="877">
      <c r="A877" t="inlineStr">
        <is>
          <t>SR037</t>
        </is>
      </c>
      <c r="B877" t="inlineStr">
        <is>
          <t>営業担当037</t>
        </is>
      </c>
      <c r="C877" t="inlineStr">
        <is>
          <t>第2営業部</t>
        </is>
      </c>
      <c r="D877" s="3" t="n">
        <v>45881</v>
      </c>
      <c r="E877" t="inlineStr">
        <is>
          <t>ネクストソリューション(株)</t>
        </is>
      </c>
      <c r="F877" t="inlineStr">
        <is>
          <t>北海道</t>
        </is>
      </c>
      <c r="G877" t="inlineStr">
        <is>
          <t>ハードウェア</t>
        </is>
      </c>
      <c r="H877" t="inlineStr">
        <is>
          <t>産業用タブレット</t>
        </is>
      </c>
      <c r="I877" s="4" t="n">
        <v>2</v>
      </c>
      <c r="J877" s="4" t="n">
        <v>83800</v>
      </c>
      <c r="K877" s="4">
        <f>I877*J877</f>
        <v/>
      </c>
      <c r="L877" t="inlineStr">
        <is>
          <t>値引き調整あり</t>
        </is>
      </c>
    </row>
    <row r="878">
      <c r="A878" t="inlineStr">
        <is>
          <t>SR037</t>
        </is>
      </c>
      <c r="B878" t="inlineStr">
        <is>
          <t>営業担当037</t>
        </is>
      </c>
      <c r="C878" t="inlineStr">
        <is>
          <t>第2営業部</t>
        </is>
      </c>
      <c r="D878" s="3" t="n">
        <v>45885</v>
      </c>
      <c r="E878" t="inlineStr">
        <is>
          <t>大和精機(株)</t>
        </is>
      </c>
      <c r="F878" t="inlineStr">
        <is>
          <t>大阪府</t>
        </is>
      </c>
      <c r="G878" t="inlineStr">
        <is>
          <t>消耗品</t>
        </is>
      </c>
      <c r="H878" t="inlineStr">
        <is>
          <t>保守用バッテリー</t>
        </is>
      </c>
      <c r="I878" s="4" t="n">
        <v>2</v>
      </c>
      <c r="J878" s="4" t="n">
        <v>5930</v>
      </c>
      <c r="K878" s="4">
        <f>I878*J878</f>
        <v/>
      </c>
      <c r="L878" t="inlineStr">
        <is>
          <t>キャンペーン適用</t>
        </is>
      </c>
    </row>
    <row r="879">
      <c r="A879" t="inlineStr">
        <is>
          <t>SR037</t>
        </is>
      </c>
      <c r="B879" t="inlineStr">
        <is>
          <t>営業担当037</t>
        </is>
      </c>
      <c r="C879" t="inlineStr">
        <is>
          <t>第2営業部</t>
        </is>
      </c>
      <c r="D879" s="3" t="n">
        <v>45908</v>
      </c>
      <c r="E879" t="inlineStr">
        <is>
          <t>東洋フーズ有限会社</t>
        </is>
      </c>
      <c r="F879" t="inlineStr">
        <is>
          <t>兵庫県</t>
        </is>
      </c>
      <c r="G879" t="inlineStr">
        <is>
          <t>消耗品</t>
        </is>
      </c>
      <c r="H879" t="inlineStr">
        <is>
          <t>交換用ヘッド</t>
        </is>
      </c>
      <c r="I879" s="4" t="n">
        <v>12</v>
      </c>
      <c r="J879" s="4" t="n">
        <v>34570</v>
      </c>
      <c r="K879" s="4">
        <f>I879*J879</f>
        <v/>
      </c>
      <c r="L879" t="inlineStr"/>
    </row>
    <row r="880">
      <c r="A880" t="inlineStr">
        <is>
          <t>SR037</t>
        </is>
      </c>
      <c r="B880" t="inlineStr">
        <is>
          <t>営業担当037</t>
        </is>
      </c>
      <c r="C880" t="inlineStr">
        <is>
          <t>第2営業部</t>
        </is>
      </c>
      <c r="D880" s="3" t="n">
        <v>45921</v>
      </c>
      <c r="E880" t="inlineStr">
        <is>
          <t>未来通信(株)</t>
        </is>
      </c>
      <c r="F880" t="inlineStr">
        <is>
          <t>福岡県</t>
        </is>
      </c>
      <c r="G880" t="inlineStr">
        <is>
          <t>消耗品</t>
        </is>
      </c>
      <c r="H880" t="inlineStr">
        <is>
          <t>保守用バッテリー</t>
        </is>
      </c>
      <c r="I880" s="4" t="n">
        <v>12</v>
      </c>
      <c r="J880" s="4" t="n">
        <v>17430</v>
      </c>
      <c r="K880" s="4">
        <f>I880*J880</f>
        <v/>
      </c>
      <c r="L880" t="inlineStr"/>
    </row>
    <row r="881">
      <c r="A881" t="inlineStr">
        <is>
          <t>SR037</t>
        </is>
      </c>
      <c r="B881" t="inlineStr">
        <is>
          <t>営業担当037</t>
        </is>
      </c>
      <c r="C881" t="inlineStr">
        <is>
          <t>第2営業部</t>
        </is>
      </c>
      <c r="D881" s="3" t="n">
        <v>45937</v>
      </c>
      <c r="E881" t="inlineStr">
        <is>
          <t>西日本機工(株)</t>
        </is>
      </c>
      <c r="F881" t="inlineStr">
        <is>
          <t>神奈川県</t>
        </is>
      </c>
      <c r="G881" t="inlineStr">
        <is>
          <t>消耗品</t>
        </is>
      </c>
      <c r="H881" t="inlineStr">
        <is>
          <t>保守用バッテリー</t>
        </is>
      </c>
      <c r="I881" s="4" t="n">
        <v>1</v>
      </c>
      <c r="J881" s="4" t="n">
        <v>11980</v>
      </c>
      <c r="K881" s="4">
        <f>I881*J881</f>
        <v/>
      </c>
      <c r="L881" t="inlineStr">
        <is>
          <t>リピート受注</t>
        </is>
      </c>
    </row>
    <row r="882">
      <c r="A882" t="inlineStr">
        <is>
          <t>SR037</t>
        </is>
      </c>
      <c r="B882" t="inlineStr">
        <is>
          <t>営業担当037</t>
        </is>
      </c>
      <c r="C882" t="inlineStr">
        <is>
          <t>第2営業部</t>
        </is>
      </c>
      <c r="D882" s="3" t="n">
        <v>45944</v>
      </c>
      <c r="E882" t="inlineStr">
        <is>
          <t>白峰化学株式会社</t>
        </is>
      </c>
      <c r="F882" t="inlineStr">
        <is>
          <t>大阪府</t>
        </is>
      </c>
      <c r="G882" t="inlineStr">
        <is>
          <t>ハードウェア</t>
        </is>
      </c>
      <c r="H882" t="inlineStr">
        <is>
          <t>産業用タブレット</t>
        </is>
      </c>
      <c r="I882" s="4" t="n">
        <v>4</v>
      </c>
      <c r="J882" s="4" t="n">
        <v>103600</v>
      </c>
      <c r="K882" s="4">
        <f>I882*J882</f>
        <v/>
      </c>
      <c r="L882" t="inlineStr">
        <is>
          <t>リピート受注</t>
        </is>
      </c>
    </row>
    <row r="883">
      <c r="A883" t="inlineStr">
        <is>
          <t>SR037</t>
        </is>
      </c>
      <c r="B883" t="inlineStr">
        <is>
          <t>営業担当037</t>
        </is>
      </c>
      <c r="C883" t="inlineStr">
        <is>
          <t>第2営業部</t>
        </is>
      </c>
      <c r="D883" s="3" t="n">
        <v>45977</v>
      </c>
      <c r="E883" t="inlineStr">
        <is>
          <t>九州エナジー有限会社</t>
        </is>
      </c>
      <c r="F883" t="inlineStr">
        <is>
          <t>広島県</t>
        </is>
      </c>
      <c r="G883" t="inlineStr">
        <is>
          <t>ハードウェア</t>
        </is>
      </c>
      <c r="H883" t="inlineStr">
        <is>
          <t>産業用タブレット</t>
        </is>
      </c>
      <c r="I883" s="4" t="n">
        <v>1</v>
      </c>
      <c r="J883" s="4" t="n">
        <v>83700</v>
      </c>
      <c r="K883" s="4">
        <f>I883*J883</f>
        <v/>
      </c>
      <c r="L883" t="inlineStr">
        <is>
          <t>リピート受注</t>
        </is>
      </c>
    </row>
    <row r="884">
      <c r="A884" t="inlineStr">
        <is>
          <t>SR037</t>
        </is>
      </c>
      <c r="B884" t="inlineStr">
        <is>
          <t>営業担当037</t>
        </is>
      </c>
      <c r="C884" t="inlineStr">
        <is>
          <t>第2営業部</t>
        </is>
      </c>
      <c r="D884" s="3" t="n">
        <v>45984</v>
      </c>
      <c r="E884" t="inlineStr">
        <is>
          <t>福岡流通株式会社</t>
        </is>
      </c>
      <c r="F884" t="inlineStr">
        <is>
          <t>広島県</t>
        </is>
      </c>
      <c r="G884" t="inlineStr">
        <is>
          <t>消耗品</t>
        </is>
      </c>
      <c r="H884" t="inlineStr">
        <is>
          <t>交換用ヘッド</t>
        </is>
      </c>
      <c r="I884" s="4" t="n">
        <v>13</v>
      </c>
      <c r="J884" s="4" t="n">
        <v>26010</v>
      </c>
      <c r="K884" s="4">
        <f>I884*J884</f>
        <v/>
      </c>
      <c r="L884" t="inlineStr"/>
    </row>
    <row r="885">
      <c r="A885" t="inlineStr">
        <is>
          <t>SR037</t>
        </is>
      </c>
      <c r="B885" t="inlineStr">
        <is>
          <t>営業担当037</t>
        </is>
      </c>
      <c r="C885" t="inlineStr">
        <is>
          <t>第2営業部</t>
        </is>
      </c>
      <c r="D885" s="3" t="n">
        <v>46001</v>
      </c>
      <c r="E885" t="inlineStr">
        <is>
          <t>ネクストソリューション株式会社</t>
        </is>
      </c>
      <c r="F885" t="inlineStr">
        <is>
          <t>神奈川県</t>
        </is>
      </c>
      <c r="G885" t="inlineStr">
        <is>
          <t>導入支援</t>
        </is>
      </c>
      <c r="H885" t="inlineStr">
        <is>
          <t>初期設定支援</t>
        </is>
      </c>
      <c r="I885" s="4" t="n">
        <v>4</v>
      </c>
      <c r="J885" s="4" t="n">
        <v>190800</v>
      </c>
      <c r="K885" s="4">
        <f>I885*J885</f>
        <v/>
      </c>
      <c r="L885" t="inlineStr">
        <is>
          <t>大型案件</t>
        </is>
      </c>
    </row>
    <row r="886">
      <c r="A886" t="inlineStr">
        <is>
          <t>SR037</t>
        </is>
      </c>
      <c r="B886" t="inlineStr">
        <is>
          <t>営業担当037</t>
        </is>
      </c>
      <c r="C886" t="inlineStr">
        <is>
          <t>第2営業部</t>
        </is>
      </c>
      <c r="D886" s="3" t="n">
        <v>46014</v>
      </c>
      <c r="E886" t="inlineStr">
        <is>
          <t>サンライズ建設株式会社</t>
        </is>
      </c>
      <c r="F886" t="inlineStr">
        <is>
          <t>大阪府</t>
        </is>
      </c>
      <c r="G886" t="inlineStr">
        <is>
          <t>ハードウェア</t>
        </is>
      </c>
      <c r="H886" t="inlineStr">
        <is>
          <t>小型ハンディ端末</t>
        </is>
      </c>
      <c r="I886" s="4" t="n">
        <v>2</v>
      </c>
      <c r="J886" s="4" t="n">
        <v>68200</v>
      </c>
      <c r="K886" s="4">
        <f>I886*J886</f>
        <v/>
      </c>
      <c r="L886" t="inlineStr">
        <is>
          <t>リピート受注</t>
        </is>
      </c>
    </row>
    <row r="887">
      <c r="A887" t="inlineStr">
        <is>
          <t>SR037</t>
        </is>
      </c>
      <c r="B887" t="inlineStr">
        <is>
          <t>営業担当037</t>
        </is>
      </c>
      <c r="C887" t="inlineStr">
        <is>
          <t>第2営業部</t>
        </is>
      </c>
      <c r="D887" s="3" t="n">
        <v>46023</v>
      </c>
      <c r="E887" t="inlineStr">
        <is>
          <t>中央設備(株)</t>
        </is>
      </c>
      <c r="F887" t="inlineStr">
        <is>
          <t>広島県</t>
        </is>
      </c>
      <c r="G887" t="inlineStr">
        <is>
          <t>ソフトウェア</t>
        </is>
      </c>
      <c r="H887" t="inlineStr">
        <is>
          <t>帳票自動化ツール</t>
        </is>
      </c>
      <c r="I887" s="4" t="n">
        <v>5</v>
      </c>
      <c r="J887" s="4" t="n">
        <v>346800</v>
      </c>
      <c r="K887" s="4">
        <f>I887*J887</f>
        <v/>
      </c>
      <c r="L887" t="inlineStr">
        <is>
          <t>キャンペーン適用</t>
        </is>
      </c>
    </row>
    <row r="888">
      <c r="A888" t="inlineStr">
        <is>
          <t>SR037</t>
        </is>
      </c>
      <c r="B888" t="inlineStr">
        <is>
          <t>営業担当037</t>
        </is>
      </c>
      <c r="C888" t="inlineStr">
        <is>
          <t>第2営業部</t>
        </is>
      </c>
      <c r="D888" s="3" t="n">
        <v>46027</v>
      </c>
      <c r="E888" t="inlineStr">
        <is>
          <t>東洋フーズ株式会社</t>
        </is>
      </c>
      <c r="F888" t="inlineStr">
        <is>
          <t>大阪府</t>
        </is>
      </c>
      <c r="G888" t="inlineStr">
        <is>
          <t>導入支援</t>
        </is>
      </c>
      <c r="H888" t="inlineStr">
        <is>
          <t>操作研修パック</t>
        </is>
      </c>
      <c r="I888" s="4" t="n">
        <v>1</v>
      </c>
      <c r="J888" s="4" t="n">
        <v>45900</v>
      </c>
      <c r="K888" s="4">
        <f>I888*J888</f>
        <v/>
      </c>
      <c r="L888" t="inlineStr"/>
    </row>
    <row r="889">
      <c r="A889" t="inlineStr">
        <is>
          <t>SR037</t>
        </is>
      </c>
      <c r="B889" t="inlineStr">
        <is>
          <t>営業担当037</t>
        </is>
      </c>
      <c r="C889" t="inlineStr">
        <is>
          <t>第2営業部</t>
        </is>
      </c>
      <c r="D889" s="3" t="n">
        <v>46078</v>
      </c>
      <c r="E889" t="inlineStr">
        <is>
          <t>ネクストソリューション(株)</t>
        </is>
      </c>
      <c r="F889" t="inlineStr">
        <is>
          <t>東京都</t>
        </is>
      </c>
      <c r="G889" t="inlineStr">
        <is>
          <t>ハードウェア</t>
        </is>
      </c>
      <c r="H889" t="inlineStr">
        <is>
          <t>産業用タブレット</t>
        </is>
      </c>
      <c r="I889" s="4" t="n">
        <v>1</v>
      </c>
      <c r="J889" s="4" t="n">
        <v>120500</v>
      </c>
      <c r="K889" s="4">
        <f>I889*J889</f>
        <v/>
      </c>
      <c r="L889" t="inlineStr"/>
    </row>
    <row r="890">
      <c r="A890" t="inlineStr">
        <is>
          <t>SR037</t>
        </is>
      </c>
      <c r="B890" t="inlineStr">
        <is>
          <t>営業担当037</t>
        </is>
      </c>
      <c r="C890" t="inlineStr">
        <is>
          <t>第2営業部</t>
        </is>
      </c>
      <c r="D890" s="3" t="n">
        <v>46081</v>
      </c>
      <c r="E890" t="inlineStr">
        <is>
          <t>未来通信有限会社</t>
        </is>
      </c>
      <c r="F890" t="inlineStr">
        <is>
          <t>広島県</t>
        </is>
      </c>
      <c r="G890" t="inlineStr">
        <is>
          <t>ソフトウェア</t>
        </is>
      </c>
      <c r="H890" t="inlineStr">
        <is>
          <t>帳票自動化ツール</t>
        </is>
      </c>
      <c r="I890" s="4" t="n">
        <v>5</v>
      </c>
      <c r="J890" s="4" t="n">
        <v>385600</v>
      </c>
      <c r="K890" s="4">
        <f>I890*J890</f>
        <v/>
      </c>
      <c r="L890" t="inlineStr"/>
    </row>
    <row r="891">
      <c r="A891" t="inlineStr">
        <is>
          <t>SR037</t>
        </is>
      </c>
      <c r="B891" t="inlineStr">
        <is>
          <t>営業担当037</t>
        </is>
      </c>
      <c r="C891" t="inlineStr">
        <is>
          <t>第2営業部</t>
        </is>
      </c>
      <c r="D891" s="3" t="n">
        <v>46097</v>
      </c>
      <c r="E891" t="inlineStr">
        <is>
          <t>中央設備(株)</t>
        </is>
      </c>
      <c r="F891" t="inlineStr">
        <is>
          <t>東京都</t>
        </is>
      </c>
      <c r="G891" t="inlineStr">
        <is>
          <t>ソフトウェア</t>
        </is>
      </c>
      <c r="H891" t="inlineStr">
        <is>
          <t>帳票自動化ツール</t>
        </is>
      </c>
      <c r="I891" s="4" t="n">
        <v>1</v>
      </c>
      <c r="J891" s="4" t="n">
        <v>189500</v>
      </c>
      <c r="K891" s="4">
        <f>I891*J891</f>
        <v/>
      </c>
      <c r="L891" t="inlineStr"/>
    </row>
    <row r="892">
      <c r="A892" t="inlineStr">
        <is>
          <t>SR037</t>
        </is>
      </c>
      <c r="B892" t="inlineStr">
        <is>
          <t>営業担当037</t>
        </is>
      </c>
      <c r="C892" t="inlineStr">
        <is>
          <t>第2営業部</t>
        </is>
      </c>
      <c r="D892" s="3" t="n">
        <v>46109</v>
      </c>
      <c r="E892" t="inlineStr">
        <is>
          <t>未来通信株式会社</t>
        </is>
      </c>
      <c r="F892" t="inlineStr">
        <is>
          <t>兵庫県</t>
        </is>
      </c>
      <c r="G892" t="inlineStr">
        <is>
          <t>ソフトウェア</t>
        </is>
      </c>
      <c r="H892" t="inlineStr">
        <is>
          <t>営業支援SaaS</t>
        </is>
      </c>
      <c r="I892" s="4" t="n">
        <v>3</v>
      </c>
      <c r="J892" s="4" t="n">
        <v>308800</v>
      </c>
      <c r="K892" s="4">
        <f>I892*J892</f>
        <v/>
      </c>
      <c r="L892" t="inlineStr"/>
    </row>
    <row r="893">
      <c r="A893" t="inlineStr">
        <is>
          <t>SR038</t>
        </is>
      </c>
      <c r="B893" t="inlineStr">
        <is>
          <t>営業担当038</t>
        </is>
      </c>
      <c r="C893" t="inlineStr">
        <is>
          <t>第3営業部</t>
        </is>
      </c>
      <c r="D893" s="3" t="n">
        <v>45767</v>
      </c>
      <c r="E893" t="inlineStr">
        <is>
          <t>東洋フーズ有限会社</t>
        </is>
      </c>
      <c r="F893" t="inlineStr">
        <is>
          <t>愛知県</t>
        </is>
      </c>
      <c r="G893" t="inlineStr">
        <is>
          <t>ハードウェア</t>
        </is>
      </c>
      <c r="H893" t="inlineStr">
        <is>
          <t>ラベルプリンター</t>
        </is>
      </c>
      <c r="I893" s="4" t="n">
        <v>1</v>
      </c>
      <c r="J893" s="4" t="n">
        <v>42600</v>
      </c>
      <c r="K893" s="4">
        <f>I893*J893</f>
        <v/>
      </c>
      <c r="L893" t="inlineStr"/>
    </row>
    <row r="894">
      <c r="A894" t="inlineStr">
        <is>
          <t>SR038</t>
        </is>
      </c>
      <c r="B894" t="inlineStr">
        <is>
          <t>営業担当038</t>
        </is>
      </c>
      <c r="C894" t="inlineStr">
        <is>
          <t>第3営業部</t>
        </is>
      </c>
      <c r="D894" s="3" t="n">
        <v>45771</v>
      </c>
      <c r="E894" t="inlineStr">
        <is>
          <t>ネクストソリューション(株)</t>
        </is>
      </c>
      <c r="F894" t="inlineStr">
        <is>
          <t>兵庫県</t>
        </is>
      </c>
      <c r="G894" t="inlineStr">
        <is>
          <t>消耗品</t>
        </is>
      </c>
      <c r="H894" t="inlineStr">
        <is>
          <t>保守用バッテリー</t>
        </is>
      </c>
      <c r="I894" s="4" t="n">
        <v>13</v>
      </c>
      <c r="J894" s="4" t="n">
        <v>13990</v>
      </c>
      <c r="K894" s="4">
        <f>I894*J894</f>
        <v/>
      </c>
      <c r="L894" t="inlineStr">
        <is>
          <t>新規開拓</t>
        </is>
      </c>
    </row>
    <row r="895">
      <c r="A895" t="inlineStr">
        <is>
          <t>SR038</t>
        </is>
      </c>
      <c r="B895" t="inlineStr">
        <is>
          <t>営業担当038</t>
        </is>
      </c>
      <c r="C895" t="inlineStr">
        <is>
          <t>第3営業部</t>
        </is>
      </c>
      <c r="D895" s="3" t="n">
        <v>45793</v>
      </c>
      <c r="E895" t="inlineStr">
        <is>
          <t>ライトホーム(株)</t>
        </is>
      </c>
      <c r="F895" t="inlineStr">
        <is>
          <t>広島県</t>
        </is>
      </c>
      <c r="G895" t="inlineStr">
        <is>
          <t>消耗品</t>
        </is>
      </c>
      <c r="H895" t="inlineStr">
        <is>
          <t>保守用バッテリー</t>
        </is>
      </c>
      <c r="I895" s="4" t="n">
        <v>3</v>
      </c>
      <c r="J895" s="4" t="n">
        <v>15110</v>
      </c>
      <c r="K895" s="4">
        <f>I895*J895</f>
        <v/>
      </c>
      <c r="L895" t="inlineStr"/>
    </row>
    <row r="896">
      <c r="A896" t="inlineStr">
        <is>
          <t>SR038</t>
        </is>
      </c>
      <c r="B896" t="inlineStr">
        <is>
          <t>営業担当038</t>
        </is>
      </c>
      <c r="C896" t="inlineStr">
        <is>
          <t>第3営業部</t>
        </is>
      </c>
      <c r="D896" s="3" t="n">
        <v>45805</v>
      </c>
      <c r="E896" t="inlineStr">
        <is>
          <t>未来通信有限会社</t>
        </is>
      </c>
      <c r="F896" t="inlineStr">
        <is>
          <t>北海道</t>
        </is>
      </c>
      <c r="G896" t="inlineStr">
        <is>
          <t>保守サービス</t>
        </is>
      </c>
      <c r="H896" t="inlineStr">
        <is>
          <t>年間保守契約</t>
        </is>
      </c>
      <c r="I896" s="4" t="n">
        <v>5</v>
      </c>
      <c r="J896" s="4" t="n">
        <v>159000</v>
      </c>
      <c r="K896" s="4">
        <f>I896*J896</f>
        <v/>
      </c>
      <c r="L896" t="inlineStr">
        <is>
          <t>値引き調整あり</t>
        </is>
      </c>
    </row>
    <row r="897">
      <c r="A897" t="inlineStr">
        <is>
          <t>SR038</t>
        </is>
      </c>
      <c r="B897" t="inlineStr">
        <is>
          <t>営業担当038</t>
        </is>
      </c>
      <c r="C897" t="inlineStr">
        <is>
          <t>第3営業部</t>
        </is>
      </c>
      <c r="D897" s="3" t="n">
        <v>45812</v>
      </c>
      <c r="E897" t="inlineStr">
        <is>
          <t>未来通信(株)</t>
        </is>
      </c>
      <c r="F897" t="inlineStr">
        <is>
          <t>広島県</t>
        </is>
      </c>
      <c r="G897" t="inlineStr">
        <is>
          <t>ハードウェア</t>
        </is>
      </c>
      <c r="H897" t="inlineStr">
        <is>
          <t>小型ハンディ端末</t>
        </is>
      </c>
      <c r="I897" s="4" t="n">
        <v>1</v>
      </c>
      <c r="J897" s="4" t="n">
        <v>55100</v>
      </c>
      <c r="K897" s="4">
        <f>I897*J897</f>
        <v/>
      </c>
      <c r="L897" t="inlineStr"/>
    </row>
    <row r="898">
      <c r="A898" t="inlineStr">
        <is>
          <t>SR038</t>
        </is>
      </c>
      <c r="B898" t="inlineStr">
        <is>
          <t>営業担当038</t>
        </is>
      </c>
      <c r="C898" t="inlineStr">
        <is>
          <t>第3営業部</t>
        </is>
      </c>
      <c r="D898" s="3" t="n">
        <v>45827</v>
      </c>
      <c r="E898" t="inlineStr">
        <is>
          <t>みらい物流株式会社</t>
        </is>
      </c>
      <c r="F898" t="inlineStr">
        <is>
          <t>兵庫県</t>
        </is>
      </c>
      <c r="G898" t="inlineStr">
        <is>
          <t>ソフトウェア</t>
        </is>
      </c>
      <c r="H898" t="inlineStr">
        <is>
          <t>営業支援SaaS</t>
        </is>
      </c>
      <c r="I898" s="4" t="n">
        <v>2</v>
      </c>
      <c r="J898" s="4" t="n">
        <v>235400</v>
      </c>
      <c r="K898" s="4">
        <f>I898*J898</f>
        <v/>
      </c>
      <c r="L898" t="inlineStr"/>
    </row>
    <row r="899">
      <c r="A899" t="inlineStr">
        <is>
          <t>SR038</t>
        </is>
      </c>
      <c r="B899" t="inlineStr">
        <is>
          <t>営業担当038</t>
        </is>
      </c>
      <c r="C899" t="inlineStr">
        <is>
          <t>第3営業部</t>
        </is>
      </c>
      <c r="D899" s="3" t="n">
        <v>45863</v>
      </c>
      <c r="E899" t="inlineStr">
        <is>
          <t>九州エナジー株式会社</t>
        </is>
      </c>
      <c r="F899" t="inlineStr">
        <is>
          <t>大阪府</t>
        </is>
      </c>
      <c r="G899" t="inlineStr">
        <is>
          <t>ハードウェア</t>
        </is>
      </c>
      <c r="H899" t="inlineStr">
        <is>
          <t>ネットワークカメラ</t>
        </is>
      </c>
      <c r="I899" s="4" t="n">
        <v>3</v>
      </c>
      <c r="J899" s="4" t="n">
        <v>42900</v>
      </c>
      <c r="K899" s="4">
        <f>I899*J899</f>
        <v/>
      </c>
      <c r="L899" t="inlineStr">
        <is>
          <t>分納</t>
        </is>
      </c>
    </row>
    <row r="900">
      <c r="A900" t="inlineStr">
        <is>
          <t>SR038</t>
        </is>
      </c>
      <c r="B900" t="inlineStr">
        <is>
          <t>営業担当038</t>
        </is>
      </c>
      <c r="C900" t="inlineStr">
        <is>
          <t>第3営業部</t>
        </is>
      </c>
      <c r="D900" s="3" t="n">
        <v>45865</v>
      </c>
      <c r="E900" t="inlineStr">
        <is>
          <t>みらい物流(株)</t>
        </is>
      </c>
      <c r="F900" t="inlineStr">
        <is>
          <t>東京都</t>
        </is>
      </c>
      <c r="G900" t="inlineStr">
        <is>
          <t>ハードウェア</t>
        </is>
      </c>
      <c r="H900" t="inlineStr">
        <is>
          <t>ネットワークカメラ</t>
        </is>
      </c>
      <c r="I900" s="4" t="n">
        <v>5</v>
      </c>
      <c r="J900" s="4" t="n">
        <v>57400</v>
      </c>
      <c r="K900" s="4">
        <f>I900*J900</f>
        <v/>
      </c>
      <c r="L900" t="inlineStr"/>
    </row>
    <row r="901">
      <c r="A901" t="inlineStr">
        <is>
          <t>SR038</t>
        </is>
      </c>
      <c r="B901" t="inlineStr">
        <is>
          <t>営業担当038</t>
        </is>
      </c>
      <c r="C901" t="inlineStr">
        <is>
          <t>第3営業部</t>
        </is>
      </c>
      <c r="D901" s="3" t="n">
        <v>45879</v>
      </c>
      <c r="E901" t="inlineStr">
        <is>
          <t>ライトホーム有限会社</t>
        </is>
      </c>
      <c r="F901" t="inlineStr">
        <is>
          <t>大阪府</t>
        </is>
      </c>
      <c r="G901" t="inlineStr">
        <is>
          <t>ソフトウェア</t>
        </is>
      </c>
      <c r="H901" t="inlineStr">
        <is>
          <t>AIチャットボット</t>
        </is>
      </c>
      <c r="I901" s="4" t="n">
        <v>4</v>
      </c>
      <c r="J901" s="4" t="n">
        <v>415400</v>
      </c>
      <c r="K901" s="4">
        <f>I901*J901</f>
        <v/>
      </c>
      <c r="L901" t="inlineStr">
        <is>
          <t>リピート受注</t>
        </is>
      </c>
    </row>
    <row r="902">
      <c r="A902" t="inlineStr">
        <is>
          <t>SR038</t>
        </is>
      </c>
      <c r="B902" t="inlineStr">
        <is>
          <t>営業担当038</t>
        </is>
      </c>
      <c r="C902" t="inlineStr">
        <is>
          <t>第3営業部</t>
        </is>
      </c>
      <c r="D902" s="3" t="n">
        <v>45891</v>
      </c>
      <c r="E902" t="inlineStr">
        <is>
          <t>中央設備株式会社</t>
        </is>
      </c>
      <c r="F902" t="inlineStr">
        <is>
          <t>北海道</t>
        </is>
      </c>
      <c r="G902" t="inlineStr">
        <is>
          <t>導入支援</t>
        </is>
      </c>
      <c r="H902" t="inlineStr">
        <is>
          <t>データ移行支援</t>
        </is>
      </c>
      <c r="I902" s="4" t="n">
        <v>2</v>
      </c>
      <c r="J902" s="4" t="n">
        <v>290600</v>
      </c>
      <c r="K902" s="4">
        <f>I902*J902</f>
        <v/>
      </c>
      <c r="L902" t="inlineStr">
        <is>
          <t>大型案件</t>
        </is>
      </c>
    </row>
    <row r="903">
      <c r="A903" t="inlineStr">
        <is>
          <t>SR038</t>
        </is>
      </c>
      <c r="B903" t="inlineStr">
        <is>
          <t>営業担当038</t>
        </is>
      </c>
      <c r="C903" t="inlineStr">
        <is>
          <t>第3営業部</t>
        </is>
      </c>
      <c r="D903" s="3" t="n">
        <v>45914</v>
      </c>
      <c r="E903" t="inlineStr">
        <is>
          <t>中央設備(株)</t>
        </is>
      </c>
      <c r="F903" t="inlineStr">
        <is>
          <t>大阪府</t>
        </is>
      </c>
      <c r="G903" t="inlineStr">
        <is>
          <t>導入支援</t>
        </is>
      </c>
      <c r="H903" t="inlineStr">
        <is>
          <t>初期設定支援</t>
        </is>
      </c>
      <c r="I903" s="4" t="n">
        <v>5</v>
      </c>
      <c r="J903" s="4" t="n">
        <v>77800</v>
      </c>
      <c r="K903" s="4">
        <f>I903*J903</f>
        <v/>
      </c>
      <c r="L903" t="inlineStr">
        <is>
          <t>分納</t>
        </is>
      </c>
    </row>
    <row r="904">
      <c r="A904" t="inlineStr">
        <is>
          <t>SR038</t>
        </is>
      </c>
      <c r="B904" t="inlineStr">
        <is>
          <t>営業担当038</t>
        </is>
      </c>
      <c r="C904" t="inlineStr">
        <is>
          <t>第3営業部</t>
        </is>
      </c>
      <c r="D904" s="3" t="n">
        <v>45922</v>
      </c>
      <c r="E904" t="inlineStr">
        <is>
          <t>ネクストソリューション(株)</t>
        </is>
      </c>
      <c r="F904" t="inlineStr">
        <is>
          <t>京都府</t>
        </is>
      </c>
      <c r="G904" t="inlineStr">
        <is>
          <t>保守サービス</t>
        </is>
      </c>
      <c r="H904" t="inlineStr">
        <is>
          <t>ヘルプデスク契約</t>
        </is>
      </c>
      <c r="I904" s="4" t="n">
        <v>3</v>
      </c>
      <c r="J904" s="4" t="n">
        <v>118800</v>
      </c>
      <c r="K904" s="4">
        <f>I904*J904</f>
        <v/>
      </c>
      <c r="L904" t="inlineStr">
        <is>
          <t>値引き調整あり</t>
        </is>
      </c>
    </row>
    <row r="905">
      <c r="A905" t="inlineStr">
        <is>
          <t>SR038</t>
        </is>
      </c>
      <c r="B905" t="inlineStr">
        <is>
          <t>営業担当038</t>
        </is>
      </c>
      <c r="C905" t="inlineStr">
        <is>
          <t>第3営業部</t>
        </is>
      </c>
      <c r="D905" s="3" t="n">
        <v>45948</v>
      </c>
      <c r="E905" t="inlineStr">
        <is>
          <t>青葉商事株式会社</t>
        </is>
      </c>
      <c r="F905" t="inlineStr">
        <is>
          <t>宮城県</t>
        </is>
      </c>
      <c r="G905" t="inlineStr">
        <is>
          <t>ソフトウェア</t>
        </is>
      </c>
      <c r="H905" t="inlineStr">
        <is>
          <t>AIチャットボット</t>
        </is>
      </c>
      <c r="I905" s="4" t="n">
        <v>4</v>
      </c>
      <c r="J905" s="4" t="n">
        <v>507600</v>
      </c>
      <c r="K905" s="4">
        <f>I905*J905</f>
        <v/>
      </c>
      <c r="L905" t="inlineStr">
        <is>
          <t>キャンペーン適用</t>
        </is>
      </c>
    </row>
    <row r="906">
      <c r="A906" t="inlineStr">
        <is>
          <t>SR038</t>
        </is>
      </c>
      <c r="B906" t="inlineStr">
        <is>
          <t>営業担当038</t>
        </is>
      </c>
      <c r="C906" t="inlineStr">
        <is>
          <t>第3営業部</t>
        </is>
      </c>
      <c r="D906" s="3" t="n">
        <v>45955</v>
      </c>
      <c r="E906" t="inlineStr">
        <is>
          <t>福岡流通有限会社</t>
        </is>
      </c>
      <c r="F906" t="inlineStr">
        <is>
          <t>神奈川県</t>
        </is>
      </c>
      <c r="G906" t="inlineStr">
        <is>
          <t>消耗品</t>
        </is>
      </c>
      <c r="H906" t="inlineStr">
        <is>
          <t>交換用ヘッド</t>
        </is>
      </c>
      <c r="I906" s="4" t="n">
        <v>1</v>
      </c>
      <c r="J906" s="4" t="n">
        <v>15360</v>
      </c>
      <c r="K906" s="4">
        <f>I906*J906</f>
        <v/>
      </c>
      <c r="L906" t="inlineStr">
        <is>
          <t>新規開拓</t>
        </is>
      </c>
    </row>
    <row r="907">
      <c r="A907" t="inlineStr">
        <is>
          <t>SR038</t>
        </is>
      </c>
      <c r="B907" t="inlineStr">
        <is>
          <t>営業担当038</t>
        </is>
      </c>
      <c r="C907" t="inlineStr">
        <is>
          <t>第3営業部</t>
        </is>
      </c>
      <c r="D907" s="3" t="n">
        <v>45976</v>
      </c>
      <c r="E907" t="inlineStr">
        <is>
          <t>白峰化学株式会社</t>
        </is>
      </c>
      <c r="F907" t="inlineStr">
        <is>
          <t>東京都</t>
        </is>
      </c>
      <c r="G907" t="inlineStr">
        <is>
          <t>ハードウェア</t>
        </is>
      </c>
      <c r="H907" t="inlineStr">
        <is>
          <t>ラベルプリンター</t>
        </is>
      </c>
      <c r="I907" s="4" t="n">
        <v>2</v>
      </c>
      <c r="J907" s="4" t="n">
        <v>63100</v>
      </c>
      <c r="K907" s="4">
        <f>I907*J907</f>
        <v/>
      </c>
      <c r="L907" t="inlineStr">
        <is>
          <t>キャンペーン適用</t>
        </is>
      </c>
    </row>
    <row r="908">
      <c r="A908" t="inlineStr">
        <is>
          <t>SR038</t>
        </is>
      </c>
      <c r="B908" t="inlineStr">
        <is>
          <t>営業担当038</t>
        </is>
      </c>
      <c r="C908" t="inlineStr">
        <is>
          <t>第3営業部</t>
        </is>
      </c>
      <c r="D908" s="3" t="n">
        <v>45977</v>
      </c>
      <c r="E908" t="inlineStr">
        <is>
          <t>中央設備(株)</t>
        </is>
      </c>
      <c r="F908" t="inlineStr">
        <is>
          <t>神奈川県</t>
        </is>
      </c>
      <c r="G908" t="inlineStr">
        <is>
          <t>導入支援</t>
        </is>
      </c>
      <c r="H908" t="inlineStr">
        <is>
          <t>操作研修パック</t>
        </is>
      </c>
      <c r="I908" s="4" t="n">
        <v>3</v>
      </c>
      <c r="J908" s="4" t="n">
        <v>120900</v>
      </c>
      <c r="K908" s="4">
        <f>I908*J908</f>
        <v/>
      </c>
      <c r="L908" t="inlineStr">
        <is>
          <t>大型案件</t>
        </is>
      </c>
    </row>
    <row r="909">
      <c r="A909" t="inlineStr">
        <is>
          <t>SR038</t>
        </is>
      </c>
      <c r="B909" t="inlineStr">
        <is>
          <t>営業担当038</t>
        </is>
      </c>
      <c r="C909" t="inlineStr">
        <is>
          <t>第3営業部</t>
        </is>
      </c>
      <c r="D909" s="3" t="n">
        <v>45996</v>
      </c>
      <c r="E909" t="inlineStr">
        <is>
          <t>サンライズ建設有限会社</t>
        </is>
      </c>
      <c r="F909" t="inlineStr">
        <is>
          <t>宮城県</t>
        </is>
      </c>
      <c r="G909" t="inlineStr">
        <is>
          <t>導入支援</t>
        </is>
      </c>
      <c r="H909" t="inlineStr">
        <is>
          <t>初期設定支援</t>
        </is>
      </c>
      <c r="I909" s="4" t="n">
        <v>5</v>
      </c>
      <c r="J909" s="4" t="n">
        <v>188200</v>
      </c>
      <c r="K909" s="4">
        <f>I909*J909</f>
        <v/>
      </c>
      <c r="L909" t="inlineStr">
        <is>
          <t>分納</t>
        </is>
      </c>
    </row>
    <row r="910">
      <c r="A910" t="inlineStr">
        <is>
          <t>SR038</t>
        </is>
      </c>
      <c r="B910" t="inlineStr">
        <is>
          <t>営業担当038</t>
        </is>
      </c>
      <c r="C910" t="inlineStr">
        <is>
          <t>第3営業部</t>
        </is>
      </c>
      <c r="D910" s="3" t="n">
        <v>46009</v>
      </c>
      <c r="E910" t="inlineStr">
        <is>
          <t>アーク電機(株)</t>
        </is>
      </c>
      <c r="F910" t="inlineStr">
        <is>
          <t>宮城県</t>
        </is>
      </c>
      <c r="G910" t="inlineStr">
        <is>
          <t>ハードウェア</t>
        </is>
      </c>
      <c r="H910" t="inlineStr">
        <is>
          <t>産業用タブレット</t>
        </is>
      </c>
      <c r="I910" s="4" t="n">
        <v>4</v>
      </c>
      <c r="J910" s="4" t="n">
        <v>105600</v>
      </c>
      <c r="K910" s="4">
        <f>I910*J910</f>
        <v/>
      </c>
      <c r="L910" t="inlineStr"/>
    </row>
    <row r="911">
      <c r="A911" t="inlineStr">
        <is>
          <t>SR038</t>
        </is>
      </c>
      <c r="B911" t="inlineStr">
        <is>
          <t>営業担当038</t>
        </is>
      </c>
      <c r="C911" t="inlineStr">
        <is>
          <t>第3営業部</t>
        </is>
      </c>
      <c r="D911" s="3" t="n">
        <v>46023</v>
      </c>
      <c r="E911" t="inlineStr">
        <is>
          <t>ネクストソリューション有限会社</t>
        </is>
      </c>
      <c r="F911" t="inlineStr">
        <is>
          <t>大阪府</t>
        </is>
      </c>
      <c r="G911" t="inlineStr">
        <is>
          <t>導入支援</t>
        </is>
      </c>
      <c r="H911" t="inlineStr">
        <is>
          <t>データ移行支援</t>
        </is>
      </c>
      <c r="I911" s="4" t="n">
        <v>5</v>
      </c>
      <c r="J911" s="4" t="n">
        <v>349700</v>
      </c>
      <c r="K911" s="4">
        <f>I911*J911</f>
        <v/>
      </c>
      <c r="L911" t="inlineStr"/>
    </row>
    <row r="912">
      <c r="A912" t="inlineStr">
        <is>
          <t>SR038</t>
        </is>
      </c>
      <c r="B912" t="inlineStr">
        <is>
          <t>営業担当038</t>
        </is>
      </c>
      <c r="C912" t="inlineStr">
        <is>
          <t>第3営業部</t>
        </is>
      </c>
      <c r="D912" s="3" t="n">
        <v>46044</v>
      </c>
      <c r="E912" t="inlineStr">
        <is>
          <t>九州エナジー有限会社</t>
        </is>
      </c>
      <c r="F912" t="inlineStr">
        <is>
          <t>京都府</t>
        </is>
      </c>
      <c r="G912" t="inlineStr">
        <is>
          <t>消耗品</t>
        </is>
      </c>
      <c r="H912" t="inlineStr">
        <is>
          <t>保守用バッテリー</t>
        </is>
      </c>
      <c r="I912" s="4" t="n">
        <v>8</v>
      </c>
      <c r="J912" s="4" t="n">
        <v>17310</v>
      </c>
      <c r="K912" s="4">
        <f>I912*J912</f>
        <v/>
      </c>
      <c r="L912" t="inlineStr"/>
    </row>
    <row r="913">
      <c r="A913" t="inlineStr">
        <is>
          <t>SR038</t>
        </is>
      </c>
      <c r="B913" t="inlineStr">
        <is>
          <t>営業担当038</t>
        </is>
      </c>
      <c r="C913" t="inlineStr">
        <is>
          <t>第3営業部</t>
        </is>
      </c>
      <c r="D913" s="3" t="n">
        <v>46057</v>
      </c>
      <c r="E913" t="inlineStr">
        <is>
          <t>グリーンテック(株)</t>
        </is>
      </c>
      <c r="F913" t="inlineStr">
        <is>
          <t>宮城県</t>
        </is>
      </c>
      <c r="G913" t="inlineStr">
        <is>
          <t>消耗品</t>
        </is>
      </c>
      <c r="H913" t="inlineStr">
        <is>
          <t>ラベルロール</t>
        </is>
      </c>
      <c r="I913" s="4" t="n">
        <v>12</v>
      </c>
      <c r="J913" s="4" t="n">
        <v>5650</v>
      </c>
      <c r="K913" s="4">
        <f>I913*J913</f>
        <v/>
      </c>
      <c r="L913" t="inlineStr"/>
    </row>
    <row r="914">
      <c r="A914" t="inlineStr">
        <is>
          <t>SR038</t>
        </is>
      </c>
      <c r="B914" t="inlineStr">
        <is>
          <t>営業担当038</t>
        </is>
      </c>
      <c r="C914" t="inlineStr">
        <is>
          <t>第3営業部</t>
        </is>
      </c>
      <c r="D914" s="3" t="n">
        <v>46070</v>
      </c>
      <c r="E914" t="inlineStr">
        <is>
          <t>北斗産業(株)</t>
        </is>
      </c>
      <c r="F914" t="inlineStr">
        <is>
          <t>神奈川県</t>
        </is>
      </c>
      <c r="G914" t="inlineStr">
        <is>
          <t>導入支援</t>
        </is>
      </c>
      <c r="H914" t="inlineStr">
        <is>
          <t>操作研修パック</t>
        </is>
      </c>
      <c r="I914" s="4" t="n">
        <v>4</v>
      </c>
      <c r="J914" s="4" t="n">
        <v>102200</v>
      </c>
      <c r="K914" s="4">
        <f>I914*J914</f>
        <v/>
      </c>
      <c r="L914" t="inlineStr">
        <is>
          <t>リピート受注</t>
        </is>
      </c>
    </row>
    <row r="915">
      <c r="A915" t="inlineStr">
        <is>
          <t>SR038</t>
        </is>
      </c>
      <c r="B915" t="inlineStr">
        <is>
          <t>営業担当038</t>
        </is>
      </c>
      <c r="C915" t="inlineStr">
        <is>
          <t>第3営業部</t>
        </is>
      </c>
      <c r="D915" s="3" t="n">
        <v>46092</v>
      </c>
      <c r="E915" t="inlineStr">
        <is>
          <t>北斗産業株式会社</t>
        </is>
      </c>
      <c r="F915" t="inlineStr">
        <is>
          <t>兵庫県</t>
        </is>
      </c>
      <c r="G915" t="inlineStr">
        <is>
          <t>ソフトウェア</t>
        </is>
      </c>
      <c r="H915" t="inlineStr">
        <is>
          <t>営業支援SaaS</t>
        </is>
      </c>
      <c r="I915" s="4" t="n">
        <v>3</v>
      </c>
      <c r="J915" s="4" t="n">
        <v>262800</v>
      </c>
      <c r="K915" s="4">
        <f>I915*J915</f>
        <v/>
      </c>
      <c r="L915" t="inlineStr"/>
    </row>
    <row r="916">
      <c r="A916" t="inlineStr">
        <is>
          <t>SR038</t>
        </is>
      </c>
      <c r="B916" t="inlineStr">
        <is>
          <t>営業担当038</t>
        </is>
      </c>
      <c r="C916" t="inlineStr">
        <is>
          <t>第3営業部</t>
        </is>
      </c>
      <c r="D916" s="3" t="n">
        <v>46093</v>
      </c>
      <c r="E916" t="inlineStr">
        <is>
          <t>東洋フーズ(株)</t>
        </is>
      </c>
      <c r="F916" t="inlineStr">
        <is>
          <t>愛知県</t>
        </is>
      </c>
      <c r="G916" t="inlineStr">
        <is>
          <t>消耗品</t>
        </is>
      </c>
      <c r="H916" t="inlineStr">
        <is>
          <t>保守用バッテリー</t>
        </is>
      </c>
      <c r="I916" s="4" t="n">
        <v>2</v>
      </c>
      <c r="J916" s="4" t="n">
        <v>10560</v>
      </c>
      <c r="K916" s="4">
        <f>I916*J916</f>
        <v/>
      </c>
      <c r="L916" t="inlineStr">
        <is>
          <t>キャンペーン適用</t>
        </is>
      </c>
    </row>
    <row r="917">
      <c r="A917" t="inlineStr">
        <is>
          <t>SR039</t>
        </is>
      </c>
      <c r="B917" t="inlineStr">
        <is>
          <t>営業担当039</t>
        </is>
      </c>
      <c r="C917" t="inlineStr">
        <is>
          <t>パートナー営業部</t>
        </is>
      </c>
      <c r="D917" s="3" t="n">
        <v>45768</v>
      </c>
      <c r="E917" t="inlineStr">
        <is>
          <t>九州エナジー有限会社</t>
        </is>
      </c>
      <c r="F917" t="inlineStr">
        <is>
          <t>宮城県</t>
        </is>
      </c>
      <c r="G917" t="inlineStr">
        <is>
          <t>消耗品</t>
        </is>
      </c>
      <c r="H917" t="inlineStr">
        <is>
          <t>交換用ヘッド</t>
        </is>
      </c>
      <c r="I917" s="4" t="n">
        <v>11</v>
      </c>
      <c r="J917" s="4" t="n">
        <v>14450</v>
      </c>
      <c r="K917" s="4">
        <f>I917*J917</f>
        <v/>
      </c>
      <c r="L917" t="inlineStr">
        <is>
          <t>値引き調整あり</t>
        </is>
      </c>
    </row>
    <row r="918">
      <c r="A918" t="inlineStr">
        <is>
          <t>SR039</t>
        </is>
      </c>
      <c r="B918" t="inlineStr">
        <is>
          <t>営業担当039</t>
        </is>
      </c>
      <c r="C918" t="inlineStr">
        <is>
          <t>パートナー営業部</t>
        </is>
      </c>
      <c r="D918" s="3" t="n">
        <v>45772</v>
      </c>
      <c r="E918" t="inlineStr">
        <is>
          <t>オーシャン製作所(株)</t>
        </is>
      </c>
      <c r="F918" t="inlineStr">
        <is>
          <t>大阪府</t>
        </is>
      </c>
      <c r="G918" t="inlineStr">
        <is>
          <t>導入支援</t>
        </is>
      </c>
      <c r="H918" t="inlineStr">
        <is>
          <t>データ移行支援</t>
        </is>
      </c>
      <c r="I918" s="4" t="n">
        <v>3</v>
      </c>
      <c r="J918" s="4" t="n">
        <v>248700</v>
      </c>
      <c r="K918" s="4">
        <f>I918*J918</f>
        <v/>
      </c>
      <c r="L918" t="inlineStr">
        <is>
          <t>新規開拓</t>
        </is>
      </c>
    </row>
    <row r="919">
      <c r="A919" t="inlineStr">
        <is>
          <t>SR039</t>
        </is>
      </c>
      <c r="B919" t="inlineStr">
        <is>
          <t>営業担当039</t>
        </is>
      </c>
      <c r="C919" t="inlineStr">
        <is>
          <t>パートナー営業部</t>
        </is>
      </c>
      <c r="D919" s="3" t="n">
        <v>45779</v>
      </c>
      <c r="E919" t="inlineStr">
        <is>
          <t>桜井メディカル株式会社</t>
        </is>
      </c>
      <c r="F919" t="inlineStr">
        <is>
          <t>愛知県</t>
        </is>
      </c>
      <c r="G919" t="inlineStr">
        <is>
          <t>保守サービス</t>
        </is>
      </c>
      <c r="H919" t="inlineStr">
        <is>
          <t>ヘルプデスク契約</t>
        </is>
      </c>
      <c r="I919" s="4" t="n">
        <v>1</v>
      </c>
      <c r="J919" s="4" t="n">
        <v>106400</v>
      </c>
      <c r="K919" s="4">
        <f>I919*J919</f>
        <v/>
      </c>
      <c r="L919" t="inlineStr"/>
    </row>
    <row r="920">
      <c r="A920" t="inlineStr">
        <is>
          <t>SR039</t>
        </is>
      </c>
      <c r="B920" t="inlineStr">
        <is>
          <t>営業担当039</t>
        </is>
      </c>
      <c r="C920" t="inlineStr">
        <is>
          <t>パートナー営業部</t>
        </is>
      </c>
      <c r="D920" s="3" t="n">
        <v>45784</v>
      </c>
      <c r="E920" t="inlineStr">
        <is>
          <t>福岡流通(株)</t>
        </is>
      </c>
      <c r="F920" t="inlineStr">
        <is>
          <t>福岡県</t>
        </is>
      </c>
      <c r="G920" t="inlineStr">
        <is>
          <t>ハードウェア</t>
        </is>
      </c>
      <c r="H920" t="inlineStr">
        <is>
          <t>小型ハンディ端末</t>
        </is>
      </c>
      <c r="I920" s="4" t="n">
        <v>3</v>
      </c>
      <c r="J920" s="4" t="n">
        <v>89500</v>
      </c>
      <c r="K920" s="4">
        <f>I920*J920</f>
        <v/>
      </c>
      <c r="L920" t="inlineStr">
        <is>
          <t>キャンペーン適用</t>
        </is>
      </c>
    </row>
    <row r="921">
      <c r="A921" t="inlineStr">
        <is>
          <t>SR039</t>
        </is>
      </c>
      <c r="B921" t="inlineStr">
        <is>
          <t>営業担当039</t>
        </is>
      </c>
      <c r="C921" t="inlineStr">
        <is>
          <t>パートナー営業部</t>
        </is>
      </c>
      <c r="D921" s="3" t="n">
        <v>45819</v>
      </c>
      <c r="E921" t="inlineStr">
        <is>
          <t>みらい物流有限会社</t>
        </is>
      </c>
      <c r="F921" t="inlineStr">
        <is>
          <t>愛知県</t>
        </is>
      </c>
      <c r="G921" t="inlineStr">
        <is>
          <t>導入支援</t>
        </is>
      </c>
      <c r="H921" t="inlineStr">
        <is>
          <t>データ移行支援</t>
        </is>
      </c>
      <c r="I921" s="4" t="n">
        <v>3</v>
      </c>
      <c r="J921" s="4" t="n">
        <v>344600</v>
      </c>
      <c r="K921" s="4">
        <f>I921*J921</f>
        <v/>
      </c>
      <c r="L921" t="inlineStr"/>
    </row>
    <row r="922">
      <c r="A922" t="inlineStr">
        <is>
          <t>SR039</t>
        </is>
      </c>
      <c r="B922" t="inlineStr">
        <is>
          <t>営業担当039</t>
        </is>
      </c>
      <c r="C922" t="inlineStr">
        <is>
          <t>パートナー営業部</t>
        </is>
      </c>
      <c r="D922" s="3" t="n">
        <v>45836</v>
      </c>
      <c r="E922" t="inlineStr">
        <is>
          <t>サンライズ建設株式会社</t>
        </is>
      </c>
      <c r="F922" t="inlineStr">
        <is>
          <t>北海道</t>
        </is>
      </c>
      <c r="G922" t="inlineStr">
        <is>
          <t>ハードウェア</t>
        </is>
      </c>
      <c r="H922" t="inlineStr">
        <is>
          <t>産業用タブレット</t>
        </is>
      </c>
      <c r="I922" s="4" t="n">
        <v>5</v>
      </c>
      <c r="J922" s="4" t="n">
        <v>101300</v>
      </c>
      <c r="K922" s="4">
        <f>I922*J922</f>
        <v/>
      </c>
      <c r="L922" t="inlineStr"/>
    </row>
    <row r="923">
      <c r="A923" t="inlineStr">
        <is>
          <t>SR039</t>
        </is>
      </c>
      <c r="B923" t="inlineStr">
        <is>
          <t>営業担当039</t>
        </is>
      </c>
      <c r="C923" t="inlineStr">
        <is>
          <t>パートナー営業部</t>
        </is>
      </c>
      <c r="D923" s="3" t="n">
        <v>45847</v>
      </c>
      <c r="E923" t="inlineStr">
        <is>
          <t>ライトホーム株式会社</t>
        </is>
      </c>
      <c r="F923" t="inlineStr">
        <is>
          <t>宮城県</t>
        </is>
      </c>
      <c r="G923" t="inlineStr">
        <is>
          <t>ハードウェア</t>
        </is>
      </c>
      <c r="H923" t="inlineStr">
        <is>
          <t>産業用タブレット</t>
        </is>
      </c>
      <c r="I923" s="4" t="n">
        <v>2</v>
      </c>
      <c r="J923" s="4" t="n">
        <v>87600</v>
      </c>
      <c r="K923" s="4">
        <f>I923*J923</f>
        <v/>
      </c>
      <c r="L923" t="inlineStr"/>
    </row>
    <row r="924">
      <c r="A924" t="inlineStr">
        <is>
          <t>SR039</t>
        </is>
      </c>
      <c r="B924" t="inlineStr">
        <is>
          <t>営業担当039</t>
        </is>
      </c>
      <c r="C924" t="inlineStr">
        <is>
          <t>パートナー営業部</t>
        </is>
      </c>
      <c r="D924" s="3" t="n">
        <v>45853</v>
      </c>
      <c r="E924" t="inlineStr">
        <is>
          <t>アーク電機有限会社</t>
        </is>
      </c>
      <c r="F924" t="inlineStr">
        <is>
          <t>京都府</t>
        </is>
      </c>
      <c r="G924" t="inlineStr">
        <is>
          <t>導入支援</t>
        </is>
      </c>
      <c r="H924" t="inlineStr">
        <is>
          <t>データ移行支援</t>
        </is>
      </c>
      <c r="I924" s="4" t="n">
        <v>1</v>
      </c>
      <c r="J924" s="4" t="n">
        <v>272300</v>
      </c>
      <c r="K924" s="4">
        <f>I924*J924</f>
        <v/>
      </c>
      <c r="L924" t="inlineStr"/>
    </row>
    <row r="925">
      <c r="A925" t="inlineStr">
        <is>
          <t>SR039</t>
        </is>
      </c>
      <c r="B925" t="inlineStr">
        <is>
          <t>営業担当039</t>
        </is>
      </c>
      <c r="C925" t="inlineStr">
        <is>
          <t>パートナー営業部</t>
        </is>
      </c>
      <c r="D925" s="3" t="n">
        <v>45877</v>
      </c>
      <c r="E925" t="inlineStr">
        <is>
          <t>サンライズ建設(株)</t>
        </is>
      </c>
      <c r="F925" t="inlineStr">
        <is>
          <t>広島県</t>
        </is>
      </c>
      <c r="G925" t="inlineStr">
        <is>
          <t>消耗品</t>
        </is>
      </c>
      <c r="H925" t="inlineStr">
        <is>
          <t>保守用バッテリー</t>
        </is>
      </c>
      <c r="I925" s="4" t="n">
        <v>7</v>
      </c>
      <c r="J925" s="4" t="n">
        <v>6550</v>
      </c>
      <c r="K925" s="4">
        <f>I925*J925</f>
        <v/>
      </c>
      <c r="L925" t="inlineStr">
        <is>
          <t>大型案件</t>
        </is>
      </c>
    </row>
    <row r="926">
      <c r="A926" t="inlineStr">
        <is>
          <t>SR039</t>
        </is>
      </c>
      <c r="B926" t="inlineStr">
        <is>
          <t>営業担当039</t>
        </is>
      </c>
      <c r="C926" t="inlineStr">
        <is>
          <t>パートナー営業部</t>
        </is>
      </c>
      <c r="D926" s="3" t="n">
        <v>45880</v>
      </c>
      <c r="E926" t="inlineStr">
        <is>
          <t>日新サービス有限会社</t>
        </is>
      </c>
      <c r="F926" t="inlineStr">
        <is>
          <t>宮城県</t>
        </is>
      </c>
      <c r="G926" t="inlineStr">
        <is>
          <t>保守サービス</t>
        </is>
      </c>
      <c r="H926" t="inlineStr">
        <is>
          <t>ヘルプデスク契約</t>
        </is>
      </c>
      <c r="I926" s="4" t="n">
        <v>1</v>
      </c>
      <c r="J926" s="4" t="n">
        <v>118700</v>
      </c>
      <c r="K926" s="4">
        <f>I926*J926</f>
        <v/>
      </c>
      <c r="L926" t="inlineStr">
        <is>
          <t>分納</t>
        </is>
      </c>
    </row>
    <row r="927">
      <c r="A927" t="inlineStr">
        <is>
          <t>SR039</t>
        </is>
      </c>
      <c r="B927" t="inlineStr">
        <is>
          <t>営業担当039</t>
        </is>
      </c>
      <c r="C927" t="inlineStr">
        <is>
          <t>パートナー営業部</t>
        </is>
      </c>
      <c r="D927" s="3" t="n">
        <v>45904</v>
      </c>
      <c r="E927" t="inlineStr">
        <is>
          <t>東洋フーズ(株)</t>
        </is>
      </c>
      <c r="F927" t="inlineStr">
        <is>
          <t>広島県</t>
        </is>
      </c>
      <c r="G927" t="inlineStr">
        <is>
          <t>消耗品</t>
        </is>
      </c>
      <c r="H927" t="inlineStr">
        <is>
          <t>交換用ヘッド</t>
        </is>
      </c>
      <c r="I927" s="4" t="n">
        <v>6</v>
      </c>
      <c r="J927" s="4" t="n">
        <v>18820</v>
      </c>
      <c r="K927" s="4">
        <f>I927*J927</f>
        <v/>
      </c>
      <c r="L927" t="inlineStr">
        <is>
          <t>リピート受注</t>
        </is>
      </c>
    </row>
    <row r="928">
      <c r="A928" t="inlineStr">
        <is>
          <t>SR039</t>
        </is>
      </c>
      <c r="B928" t="inlineStr">
        <is>
          <t>営業担当039</t>
        </is>
      </c>
      <c r="C928" t="inlineStr">
        <is>
          <t>パートナー営業部</t>
        </is>
      </c>
      <c r="D928" s="3" t="n">
        <v>45906</v>
      </c>
      <c r="E928" t="inlineStr">
        <is>
          <t>未来通信株式会社</t>
        </is>
      </c>
      <c r="F928" t="inlineStr">
        <is>
          <t>東京都</t>
        </is>
      </c>
      <c r="G928" t="inlineStr">
        <is>
          <t>保守サービス</t>
        </is>
      </c>
      <c r="H928" t="inlineStr">
        <is>
          <t>オンサイト保守</t>
        </is>
      </c>
      <c r="I928" s="4" t="n">
        <v>5</v>
      </c>
      <c r="J928" s="4" t="n">
        <v>76000</v>
      </c>
      <c r="K928" s="4">
        <f>I928*J928</f>
        <v/>
      </c>
      <c r="L928" t="inlineStr"/>
    </row>
    <row r="929">
      <c r="A929" t="inlineStr">
        <is>
          <t>SR039</t>
        </is>
      </c>
      <c r="B929" t="inlineStr">
        <is>
          <t>営業担当039</t>
        </is>
      </c>
      <c r="C929" t="inlineStr">
        <is>
          <t>パートナー営業部</t>
        </is>
      </c>
      <c r="D929" s="3" t="n">
        <v>45942</v>
      </c>
      <c r="E929" t="inlineStr">
        <is>
          <t>アーク電機株式会社</t>
        </is>
      </c>
      <c r="F929" t="inlineStr">
        <is>
          <t>広島県</t>
        </is>
      </c>
      <c r="G929" t="inlineStr">
        <is>
          <t>ソフトウェア</t>
        </is>
      </c>
      <c r="H929" t="inlineStr">
        <is>
          <t>営業支援SaaS</t>
        </is>
      </c>
      <c r="I929" s="4" t="n">
        <v>3</v>
      </c>
      <c r="J929" s="4" t="n">
        <v>228600</v>
      </c>
      <c r="K929" s="4">
        <f>I929*J929</f>
        <v/>
      </c>
      <c r="L929" t="inlineStr"/>
    </row>
    <row r="930">
      <c r="A930" t="inlineStr">
        <is>
          <t>SR039</t>
        </is>
      </c>
      <c r="B930" t="inlineStr">
        <is>
          <t>営業担当039</t>
        </is>
      </c>
      <c r="C930" t="inlineStr">
        <is>
          <t>パートナー営業部</t>
        </is>
      </c>
      <c r="D930" s="3" t="n">
        <v>45954</v>
      </c>
      <c r="E930" t="inlineStr">
        <is>
          <t>ネクストソリューション株式会社</t>
        </is>
      </c>
      <c r="F930" t="inlineStr">
        <is>
          <t>東京都</t>
        </is>
      </c>
      <c r="G930" t="inlineStr">
        <is>
          <t>ソフトウェア</t>
        </is>
      </c>
      <c r="H930" t="inlineStr">
        <is>
          <t>帳票自動化ツール</t>
        </is>
      </c>
      <c r="I930" s="4" t="n">
        <v>5</v>
      </c>
      <c r="J930" s="4" t="n">
        <v>272000</v>
      </c>
      <c r="K930" s="4">
        <f>I930*J930</f>
        <v/>
      </c>
      <c r="L930" t="inlineStr"/>
    </row>
    <row r="931">
      <c r="A931" t="inlineStr">
        <is>
          <t>SR039</t>
        </is>
      </c>
      <c r="B931" t="inlineStr">
        <is>
          <t>営業担当039</t>
        </is>
      </c>
      <c r="C931" t="inlineStr">
        <is>
          <t>パートナー営業部</t>
        </is>
      </c>
      <c r="D931" s="3" t="n">
        <v>45971</v>
      </c>
      <c r="E931" t="inlineStr">
        <is>
          <t>星和商会(株)</t>
        </is>
      </c>
      <c r="F931" t="inlineStr">
        <is>
          <t>愛知県</t>
        </is>
      </c>
      <c r="G931" t="inlineStr">
        <is>
          <t>消耗品</t>
        </is>
      </c>
      <c r="H931" t="inlineStr">
        <is>
          <t>交換用ヘッド</t>
        </is>
      </c>
      <c r="I931" s="4" t="n">
        <v>2</v>
      </c>
      <c r="J931" s="4" t="n">
        <v>41390</v>
      </c>
      <c r="K931" s="4">
        <f>I931*J931</f>
        <v/>
      </c>
      <c r="L931" t="inlineStr"/>
    </row>
    <row r="932">
      <c r="A932" t="inlineStr">
        <is>
          <t>SR039</t>
        </is>
      </c>
      <c r="B932" t="inlineStr">
        <is>
          <t>営業担当039</t>
        </is>
      </c>
      <c r="C932" t="inlineStr">
        <is>
          <t>パートナー営業部</t>
        </is>
      </c>
      <c r="D932" s="3" t="n">
        <v>45975</v>
      </c>
      <c r="E932" t="inlineStr">
        <is>
          <t>福岡流通有限会社</t>
        </is>
      </c>
      <c r="F932" t="inlineStr">
        <is>
          <t>大阪府</t>
        </is>
      </c>
      <c r="G932" t="inlineStr">
        <is>
          <t>導入支援</t>
        </is>
      </c>
      <c r="H932" t="inlineStr">
        <is>
          <t>操作研修パック</t>
        </is>
      </c>
      <c r="I932" s="4" t="n">
        <v>2</v>
      </c>
      <c r="J932" s="4" t="n">
        <v>78300</v>
      </c>
      <c r="K932" s="4">
        <f>I932*J932</f>
        <v/>
      </c>
      <c r="L932" t="inlineStr"/>
    </row>
    <row r="933">
      <c r="A933" t="inlineStr">
        <is>
          <t>SR039</t>
        </is>
      </c>
      <c r="B933" t="inlineStr">
        <is>
          <t>営業担当039</t>
        </is>
      </c>
      <c r="C933" t="inlineStr">
        <is>
          <t>パートナー営業部</t>
        </is>
      </c>
      <c r="D933" s="3" t="n">
        <v>46010</v>
      </c>
      <c r="E933" t="inlineStr">
        <is>
          <t>オーシャン製作所(株)</t>
        </is>
      </c>
      <c r="F933" t="inlineStr">
        <is>
          <t>大阪府</t>
        </is>
      </c>
      <c r="G933" t="inlineStr">
        <is>
          <t>消耗品</t>
        </is>
      </c>
      <c r="H933" t="inlineStr">
        <is>
          <t>交換用ヘッド</t>
        </is>
      </c>
      <c r="I933" s="4" t="n">
        <v>8</v>
      </c>
      <c r="J933" s="4" t="n">
        <v>29490</v>
      </c>
      <c r="K933" s="4">
        <f>I933*J933</f>
        <v/>
      </c>
      <c r="L933" t="inlineStr">
        <is>
          <t>大型案件</t>
        </is>
      </c>
    </row>
    <row r="934">
      <c r="A934" t="inlineStr">
        <is>
          <t>SR039</t>
        </is>
      </c>
      <c r="B934" t="inlineStr">
        <is>
          <t>営業担当039</t>
        </is>
      </c>
      <c r="C934" t="inlineStr">
        <is>
          <t>パートナー営業部</t>
        </is>
      </c>
      <c r="D934" s="3" t="n">
        <v>46010</v>
      </c>
      <c r="E934" t="inlineStr">
        <is>
          <t>大和精機株式会社</t>
        </is>
      </c>
      <c r="F934" t="inlineStr">
        <is>
          <t>京都府</t>
        </is>
      </c>
      <c r="G934" t="inlineStr">
        <is>
          <t>消耗品</t>
        </is>
      </c>
      <c r="H934" t="inlineStr">
        <is>
          <t>交換用ヘッド</t>
        </is>
      </c>
      <c r="I934" s="4" t="n">
        <v>5</v>
      </c>
      <c r="J934" s="4" t="n">
        <v>32330</v>
      </c>
      <c r="K934" s="4">
        <f>I934*J934</f>
        <v/>
      </c>
      <c r="L934" t="inlineStr"/>
    </row>
    <row r="935">
      <c r="A935" t="inlineStr">
        <is>
          <t>SR039</t>
        </is>
      </c>
      <c r="B935" t="inlineStr">
        <is>
          <t>営業担当039</t>
        </is>
      </c>
      <c r="C935" t="inlineStr">
        <is>
          <t>パートナー営業部</t>
        </is>
      </c>
      <c r="D935" s="3" t="n">
        <v>46030</v>
      </c>
      <c r="E935" t="inlineStr">
        <is>
          <t>ライトホーム株式会社</t>
        </is>
      </c>
      <c r="F935" t="inlineStr">
        <is>
          <t>北海道</t>
        </is>
      </c>
      <c r="G935" t="inlineStr">
        <is>
          <t>保守サービス</t>
        </is>
      </c>
      <c r="H935" t="inlineStr">
        <is>
          <t>ヘルプデスク契約</t>
        </is>
      </c>
      <c r="I935" s="4" t="n">
        <v>4</v>
      </c>
      <c r="J935" s="4" t="n">
        <v>118500</v>
      </c>
      <c r="K935" s="4">
        <f>I935*J935</f>
        <v/>
      </c>
      <c r="L935" t="inlineStr">
        <is>
          <t>大型案件</t>
        </is>
      </c>
    </row>
    <row r="936">
      <c r="A936" t="inlineStr">
        <is>
          <t>SR039</t>
        </is>
      </c>
      <c r="B936" t="inlineStr">
        <is>
          <t>営業担当039</t>
        </is>
      </c>
      <c r="C936" t="inlineStr">
        <is>
          <t>パートナー営業部</t>
        </is>
      </c>
      <c r="D936" s="3" t="n">
        <v>46034</v>
      </c>
      <c r="E936" t="inlineStr">
        <is>
          <t>みらい物流有限会社</t>
        </is>
      </c>
      <c r="F936" t="inlineStr">
        <is>
          <t>神奈川県</t>
        </is>
      </c>
      <c r="G936" t="inlineStr">
        <is>
          <t>消耗品</t>
        </is>
      </c>
      <c r="H936" t="inlineStr">
        <is>
          <t>保守用バッテリー</t>
        </is>
      </c>
      <c r="I936" s="4" t="n">
        <v>7</v>
      </c>
      <c r="J936" s="4" t="n">
        <v>16850</v>
      </c>
      <c r="K936" s="4">
        <f>I936*J936</f>
        <v/>
      </c>
      <c r="L936" t="inlineStr">
        <is>
          <t>新規開拓</t>
        </is>
      </c>
    </row>
    <row r="937">
      <c r="A937" t="inlineStr">
        <is>
          <t>SR039</t>
        </is>
      </c>
      <c r="B937" t="inlineStr">
        <is>
          <t>営業担当039</t>
        </is>
      </c>
      <c r="C937" t="inlineStr">
        <is>
          <t>パートナー営業部</t>
        </is>
      </c>
      <c r="D937" s="3" t="n">
        <v>46060</v>
      </c>
      <c r="E937" t="inlineStr">
        <is>
          <t>アーク電機(株)</t>
        </is>
      </c>
      <c r="F937" t="inlineStr">
        <is>
          <t>神奈川県</t>
        </is>
      </c>
      <c r="G937" t="inlineStr">
        <is>
          <t>消耗品</t>
        </is>
      </c>
      <c r="H937" t="inlineStr">
        <is>
          <t>交換用ヘッド</t>
        </is>
      </c>
      <c r="I937" s="4" t="n">
        <v>8</v>
      </c>
      <c r="J937" s="4" t="n">
        <v>39500</v>
      </c>
      <c r="K937" s="4">
        <f>I937*J937</f>
        <v/>
      </c>
      <c r="L937" t="inlineStr">
        <is>
          <t>値引き調整あり</t>
        </is>
      </c>
    </row>
    <row r="938">
      <c r="A938" t="inlineStr">
        <is>
          <t>SR039</t>
        </is>
      </c>
      <c r="B938" t="inlineStr">
        <is>
          <t>営業担当039</t>
        </is>
      </c>
      <c r="C938" t="inlineStr">
        <is>
          <t>パートナー営業部</t>
        </is>
      </c>
      <c r="D938" s="3" t="n">
        <v>46067</v>
      </c>
      <c r="E938" t="inlineStr">
        <is>
          <t>東洋フーズ株式会社</t>
        </is>
      </c>
      <c r="F938" t="inlineStr">
        <is>
          <t>大阪府</t>
        </is>
      </c>
      <c r="G938" t="inlineStr">
        <is>
          <t>ハードウェア</t>
        </is>
      </c>
      <c r="H938" t="inlineStr">
        <is>
          <t>小型ハンディ端末</t>
        </is>
      </c>
      <c r="I938" s="4" t="n">
        <v>3</v>
      </c>
      <c r="J938" s="4" t="n">
        <v>90000</v>
      </c>
      <c r="K938" s="4">
        <f>I938*J938</f>
        <v/>
      </c>
      <c r="L938" t="inlineStr">
        <is>
          <t>キャンペーン適用</t>
        </is>
      </c>
    </row>
    <row r="939">
      <c r="A939" t="inlineStr">
        <is>
          <t>SR039</t>
        </is>
      </c>
      <c r="B939" t="inlineStr">
        <is>
          <t>営業担当039</t>
        </is>
      </c>
      <c r="C939" t="inlineStr">
        <is>
          <t>パートナー営業部</t>
        </is>
      </c>
      <c r="D939" s="3" t="n">
        <v>46087</v>
      </c>
      <c r="E939" t="inlineStr">
        <is>
          <t>青葉商事有限会社</t>
        </is>
      </c>
      <c r="F939" t="inlineStr">
        <is>
          <t>京都府</t>
        </is>
      </c>
      <c r="G939" t="inlineStr">
        <is>
          <t>ハードウェア</t>
        </is>
      </c>
      <c r="H939" t="inlineStr">
        <is>
          <t>ネットワークカメラ</t>
        </is>
      </c>
      <c r="I939" s="4" t="n">
        <v>2</v>
      </c>
      <c r="J939" s="4" t="n">
        <v>71800</v>
      </c>
      <c r="K939" s="4">
        <f>I939*J939</f>
        <v/>
      </c>
      <c r="L939" t="inlineStr">
        <is>
          <t>リピート受注</t>
        </is>
      </c>
    </row>
    <row r="940">
      <c r="A940" t="inlineStr">
        <is>
          <t>SR039</t>
        </is>
      </c>
      <c r="B940" t="inlineStr">
        <is>
          <t>営業担当039</t>
        </is>
      </c>
      <c r="C940" t="inlineStr">
        <is>
          <t>パートナー営業部</t>
        </is>
      </c>
      <c r="D940" s="3" t="n">
        <v>46090</v>
      </c>
      <c r="E940" t="inlineStr">
        <is>
          <t>星和商会株式会社</t>
        </is>
      </c>
      <c r="F940" t="inlineStr">
        <is>
          <t>広島県</t>
        </is>
      </c>
      <c r="G940" t="inlineStr">
        <is>
          <t>消耗品</t>
        </is>
      </c>
      <c r="H940" t="inlineStr">
        <is>
          <t>保守用バッテリー</t>
        </is>
      </c>
      <c r="I940" s="4" t="n">
        <v>12</v>
      </c>
      <c r="J940" s="4" t="n">
        <v>8110</v>
      </c>
      <c r="K940" s="4">
        <f>I940*J940</f>
        <v/>
      </c>
      <c r="L940" t="inlineStr">
        <is>
          <t>新規開拓</t>
        </is>
      </c>
    </row>
    <row r="941">
      <c r="A941" t="inlineStr">
        <is>
          <t>SR040</t>
        </is>
      </c>
      <c r="B941" t="inlineStr">
        <is>
          <t>営業担当040</t>
        </is>
      </c>
      <c r="C941" t="inlineStr">
        <is>
          <t>インサイドセールス部</t>
        </is>
      </c>
      <c r="D941" s="3" t="n">
        <v>45756</v>
      </c>
      <c r="E941" t="inlineStr">
        <is>
          <t>西日本機工株式会社</t>
        </is>
      </c>
      <c r="F941" t="inlineStr">
        <is>
          <t>宮城県</t>
        </is>
      </c>
      <c r="G941" t="inlineStr">
        <is>
          <t>消耗品</t>
        </is>
      </c>
      <c r="H941" t="inlineStr">
        <is>
          <t>保守用バッテリー</t>
        </is>
      </c>
      <c r="I941" s="4" t="n">
        <v>10</v>
      </c>
      <c r="J941" s="4" t="n">
        <v>11120</v>
      </c>
      <c r="K941" s="4">
        <f>I941*J941</f>
        <v/>
      </c>
      <c r="L941" t="inlineStr"/>
    </row>
    <row r="942">
      <c r="A942" t="inlineStr">
        <is>
          <t>SR040</t>
        </is>
      </c>
      <c r="B942" t="inlineStr">
        <is>
          <t>営業担当040</t>
        </is>
      </c>
      <c r="C942" t="inlineStr">
        <is>
          <t>インサイドセールス部</t>
        </is>
      </c>
      <c r="D942" s="3" t="n">
        <v>45765</v>
      </c>
      <c r="E942" t="inlineStr">
        <is>
          <t>アーク電機(株)</t>
        </is>
      </c>
      <c r="F942" t="inlineStr">
        <is>
          <t>愛知県</t>
        </is>
      </c>
      <c r="G942" t="inlineStr">
        <is>
          <t>保守サービス</t>
        </is>
      </c>
      <c r="H942" t="inlineStr">
        <is>
          <t>年間保守契約</t>
        </is>
      </c>
      <c r="I942" s="4" t="n">
        <v>3</v>
      </c>
      <c r="J942" s="4" t="n">
        <v>254600</v>
      </c>
      <c r="K942" s="4">
        <f>I942*J942</f>
        <v/>
      </c>
      <c r="L942" t="inlineStr">
        <is>
          <t>新規開拓</t>
        </is>
      </c>
    </row>
    <row r="943">
      <c r="A943" t="inlineStr">
        <is>
          <t>SR040</t>
        </is>
      </c>
      <c r="B943" t="inlineStr">
        <is>
          <t>営業担当040</t>
        </is>
      </c>
      <c r="C943" t="inlineStr">
        <is>
          <t>インサイドセールス部</t>
        </is>
      </c>
      <c r="D943" s="3" t="n">
        <v>45780</v>
      </c>
      <c r="E943" t="inlineStr">
        <is>
          <t>福岡流通株式会社</t>
        </is>
      </c>
      <c r="F943" t="inlineStr">
        <is>
          <t>兵庫県</t>
        </is>
      </c>
      <c r="G943" t="inlineStr">
        <is>
          <t>ソフトウェア</t>
        </is>
      </c>
      <c r="H943" t="inlineStr">
        <is>
          <t>在庫管理クラウド</t>
        </is>
      </c>
      <c r="I943" s="4" t="n">
        <v>5</v>
      </c>
      <c r="J943" s="4" t="n">
        <v>358200</v>
      </c>
      <c r="K943" s="4">
        <f>I943*J943</f>
        <v/>
      </c>
      <c r="L943" t="inlineStr">
        <is>
          <t>分納</t>
        </is>
      </c>
    </row>
    <row r="944">
      <c r="A944" t="inlineStr">
        <is>
          <t>SR040</t>
        </is>
      </c>
      <c r="B944" t="inlineStr">
        <is>
          <t>営業担当040</t>
        </is>
      </c>
      <c r="C944" t="inlineStr">
        <is>
          <t>インサイドセールス部</t>
        </is>
      </c>
      <c r="D944" s="3" t="n">
        <v>45804</v>
      </c>
      <c r="E944" t="inlineStr">
        <is>
          <t>サンライズ建設株式会社</t>
        </is>
      </c>
      <c r="F944" t="inlineStr">
        <is>
          <t>兵庫県</t>
        </is>
      </c>
      <c r="G944" t="inlineStr">
        <is>
          <t>ソフトウェア</t>
        </is>
      </c>
      <c r="H944" t="inlineStr">
        <is>
          <t>在庫管理クラウド</t>
        </is>
      </c>
      <c r="I944" s="4" t="n">
        <v>2</v>
      </c>
      <c r="J944" s="4" t="n">
        <v>283600</v>
      </c>
      <c r="K944" s="4">
        <f>I944*J944</f>
        <v/>
      </c>
      <c r="L944" t="inlineStr">
        <is>
          <t>値引き調整あり</t>
        </is>
      </c>
    </row>
    <row r="945">
      <c r="A945" t="inlineStr">
        <is>
          <t>SR040</t>
        </is>
      </c>
      <c r="B945" t="inlineStr">
        <is>
          <t>営業担当040</t>
        </is>
      </c>
      <c r="C945" t="inlineStr">
        <is>
          <t>インサイドセールス部</t>
        </is>
      </c>
      <c r="D945" s="3" t="n">
        <v>45821</v>
      </c>
      <c r="E945" t="inlineStr">
        <is>
          <t>サンライズ建設有限会社</t>
        </is>
      </c>
      <c r="F945" t="inlineStr">
        <is>
          <t>北海道</t>
        </is>
      </c>
      <c r="G945" t="inlineStr">
        <is>
          <t>ソフトウェア</t>
        </is>
      </c>
      <c r="H945" t="inlineStr">
        <is>
          <t>営業支援SaaS</t>
        </is>
      </c>
      <c r="I945" s="4" t="n">
        <v>4</v>
      </c>
      <c r="J945" s="4" t="n">
        <v>279100</v>
      </c>
      <c r="K945" s="4">
        <f>I945*J945</f>
        <v/>
      </c>
      <c r="L945" t="inlineStr"/>
    </row>
    <row r="946">
      <c r="A946" t="inlineStr">
        <is>
          <t>SR040</t>
        </is>
      </c>
      <c r="B946" t="inlineStr">
        <is>
          <t>営業担当040</t>
        </is>
      </c>
      <c r="C946" t="inlineStr">
        <is>
          <t>インサイドセールス部</t>
        </is>
      </c>
      <c r="D946" s="3" t="n">
        <v>45835</v>
      </c>
      <c r="E946" t="inlineStr">
        <is>
          <t>ネクストソリューション株式会社</t>
        </is>
      </c>
      <c r="F946" t="inlineStr">
        <is>
          <t>愛知県</t>
        </is>
      </c>
      <c r="G946" t="inlineStr">
        <is>
          <t>ハードウェア</t>
        </is>
      </c>
      <c r="H946" t="inlineStr">
        <is>
          <t>小型ハンディ端末</t>
        </is>
      </c>
      <c r="I946" s="4" t="n">
        <v>3</v>
      </c>
      <c r="J946" s="4" t="n">
        <v>74400</v>
      </c>
      <c r="K946" s="4">
        <f>I946*J946</f>
        <v/>
      </c>
      <c r="L946" t="inlineStr">
        <is>
          <t>分納</t>
        </is>
      </c>
    </row>
    <row r="947">
      <c r="A947" t="inlineStr">
        <is>
          <t>SR040</t>
        </is>
      </c>
      <c r="B947" t="inlineStr">
        <is>
          <t>営業担当040</t>
        </is>
      </c>
      <c r="C947" t="inlineStr">
        <is>
          <t>インサイドセールス部</t>
        </is>
      </c>
      <c r="D947" s="3" t="n">
        <v>45851</v>
      </c>
      <c r="E947" t="inlineStr">
        <is>
          <t>未来通信(株)</t>
        </is>
      </c>
      <c r="F947" t="inlineStr">
        <is>
          <t>大阪府</t>
        </is>
      </c>
      <c r="G947" t="inlineStr">
        <is>
          <t>ハードウェア</t>
        </is>
      </c>
      <c r="H947" t="inlineStr">
        <is>
          <t>ラベルプリンター</t>
        </is>
      </c>
      <c r="I947" s="4" t="n">
        <v>2</v>
      </c>
      <c r="J947" s="4" t="n">
        <v>82000</v>
      </c>
      <c r="K947" s="4">
        <f>I947*J947</f>
        <v/>
      </c>
      <c r="L947" t="inlineStr"/>
    </row>
    <row r="948">
      <c r="A948" t="inlineStr">
        <is>
          <t>SR040</t>
        </is>
      </c>
      <c r="B948" t="inlineStr">
        <is>
          <t>営業担当040</t>
        </is>
      </c>
      <c r="C948" t="inlineStr">
        <is>
          <t>インサイドセールス部</t>
        </is>
      </c>
      <c r="D948" s="3" t="n">
        <v>45851</v>
      </c>
      <c r="E948" t="inlineStr">
        <is>
          <t>グリーンテック(株)</t>
        </is>
      </c>
      <c r="F948" t="inlineStr">
        <is>
          <t>愛知県</t>
        </is>
      </c>
      <c r="G948" t="inlineStr">
        <is>
          <t>消耗品</t>
        </is>
      </c>
      <c r="H948" t="inlineStr">
        <is>
          <t>ラベルロール</t>
        </is>
      </c>
      <c r="I948" s="4" t="n">
        <v>14</v>
      </c>
      <c r="J948" s="4" t="n">
        <v>7990</v>
      </c>
      <c r="K948" s="4">
        <f>I948*J948</f>
        <v/>
      </c>
      <c r="L948" t="inlineStr">
        <is>
          <t>大型案件</t>
        </is>
      </c>
    </row>
    <row r="949">
      <c r="A949" t="inlineStr">
        <is>
          <t>SR040</t>
        </is>
      </c>
      <c r="B949" t="inlineStr">
        <is>
          <t>営業担当040</t>
        </is>
      </c>
      <c r="C949" t="inlineStr">
        <is>
          <t>インサイドセールス部</t>
        </is>
      </c>
      <c r="D949" s="3" t="n">
        <v>45883</v>
      </c>
      <c r="E949" t="inlineStr">
        <is>
          <t>西日本機工(株)</t>
        </is>
      </c>
      <c r="F949" t="inlineStr">
        <is>
          <t>福岡県</t>
        </is>
      </c>
      <c r="G949" t="inlineStr">
        <is>
          <t>ソフトウェア</t>
        </is>
      </c>
      <c r="H949" t="inlineStr">
        <is>
          <t>帳票自動化ツール</t>
        </is>
      </c>
      <c r="I949" s="4" t="n">
        <v>3</v>
      </c>
      <c r="J949" s="4" t="n">
        <v>246400</v>
      </c>
      <c r="K949" s="4">
        <f>I949*J949</f>
        <v/>
      </c>
      <c r="L949" t="inlineStr">
        <is>
          <t>分納</t>
        </is>
      </c>
    </row>
    <row r="950">
      <c r="A950" t="inlineStr">
        <is>
          <t>SR040</t>
        </is>
      </c>
      <c r="B950" t="inlineStr">
        <is>
          <t>営業担当040</t>
        </is>
      </c>
      <c r="C950" t="inlineStr">
        <is>
          <t>インサイドセールス部</t>
        </is>
      </c>
      <c r="D950" s="3" t="n">
        <v>45884</v>
      </c>
      <c r="E950" t="inlineStr">
        <is>
          <t>オーシャン製作所有限会社</t>
        </is>
      </c>
      <c r="F950" t="inlineStr">
        <is>
          <t>宮城県</t>
        </is>
      </c>
      <c r="G950" t="inlineStr">
        <is>
          <t>ソフトウェア</t>
        </is>
      </c>
      <c r="H950" t="inlineStr">
        <is>
          <t>帳票自動化ツール</t>
        </is>
      </c>
      <c r="I950" s="4" t="n">
        <v>1</v>
      </c>
      <c r="J950" s="4" t="n">
        <v>351300</v>
      </c>
      <c r="K950" s="4">
        <f>I950*J950</f>
        <v/>
      </c>
      <c r="L950" t="inlineStr">
        <is>
          <t>分納</t>
        </is>
      </c>
    </row>
    <row r="951">
      <c r="A951" t="inlineStr">
        <is>
          <t>SR040</t>
        </is>
      </c>
      <c r="B951" t="inlineStr">
        <is>
          <t>営業担当040</t>
        </is>
      </c>
      <c r="C951" t="inlineStr">
        <is>
          <t>インサイドセールス部</t>
        </is>
      </c>
      <c r="D951" s="3" t="n">
        <v>45908</v>
      </c>
      <c r="E951" t="inlineStr">
        <is>
          <t>福岡流通有限会社</t>
        </is>
      </c>
      <c r="F951" t="inlineStr">
        <is>
          <t>広島県</t>
        </is>
      </c>
      <c r="G951" t="inlineStr">
        <is>
          <t>ソフトウェア</t>
        </is>
      </c>
      <c r="H951" t="inlineStr">
        <is>
          <t>在庫管理クラウド</t>
        </is>
      </c>
      <c r="I951" s="4" t="n">
        <v>4</v>
      </c>
      <c r="J951" s="4" t="n">
        <v>234500</v>
      </c>
      <c r="K951" s="4">
        <f>I951*J951</f>
        <v/>
      </c>
      <c r="L951" t="inlineStr">
        <is>
          <t>新規開拓</t>
        </is>
      </c>
    </row>
    <row r="952">
      <c r="A952" t="inlineStr">
        <is>
          <t>SR040</t>
        </is>
      </c>
      <c r="B952" t="inlineStr">
        <is>
          <t>営業担当040</t>
        </is>
      </c>
      <c r="C952" t="inlineStr">
        <is>
          <t>インサイドセールス部</t>
        </is>
      </c>
      <c r="D952" s="3" t="n">
        <v>45924</v>
      </c>
      <c r="E952" t="inlineStr">
        <is>
          <t>アーク電機(株)</t>
        </is>
      </c>
      <c r="F952" t="inlineStr">
        <is>
          <t>宮城県</t>
        </is>
      </c>
      <c r="G952" t="inlineStr">
        <is>
          <t>ソフトウェア</t>
        </is>
      </c>
      <c r="H952" t="inlineStr">
        <is>
          <t>営業支援SaaS</t>
        </is>
      </c>
      <c r="I952" s="4" t="n">
        <v>3</v>
      </c>
      <c r="J952" s="4" t="n">
        <v>327300</v>
      </c>
      <c r="K952" s="4">
        <f>I952*J952</f>
        <v/>
      </c>
      <c r="L952" t="inlineStr"/>
    </row>
    <row r="953">
      <c r="A953" t="inlineStr">
        <is>
          <t>SR040</t>
        </is>
      </c>
      <c r="B953" t="inlineStr">
        <is>
          <t>営業担当040</t>
        </is>
      </c>
      <c r="C953" t="inlineStr">
        <is>
          <t>インサイドセールス部</t>
        </is>
      </c>
      <c r="D953" s="3" t="n">
        <v>45942</v>
      </c>
      <c r="E953" t="inlineStr">
        <is>
          <t>アーク電機有限会社</t>
        </is>
      </c>
      <c r="F953" t="inlineStr">
        <is>
          <t>京都府</t>
        </is>
      </c>
      <c r="G953" t="inlineStr">
        <is>
          <t>保守サービス</t>
        </is>
      </c>
      <c r="H953" t="inlineStr">
        <is>
          <t>オンサイト保守</t>
        </is>
      </c>
      <c r="I953" s="4" t="n">
        <v>1</v>
      </c>
      <c r="J953" s="4" t="n">
        <v>50600</v>
      </c>
      <c r="K953" s="4">
        <f>I953*J953</f>
        <v/>
      </c>
      <c r="L953" t="inlineStr"/>
    </row>
    <row r="954">
      <c r="A954" t="inlineStr">
        <is>
          <t>SR040</t>
        </is>
      </c>
      <c r="B954" t="inlineStr">
        <is>
          <t>営業担当040</t>
        </is>
      </c>
      <c r="C954" t="inlineStr">
        <is>
          <t>インサイドセールス部</t>
        </is>
      </c>
      <c r="D954" s="3" t="n">
        <v>45953</v>
      </c>
      <c r="E954" t="inlineStr">
        <is>
          <t>日新サービス有限会社</t>
        </is>
      </c>
      <c r="F954" t="inlineStr">
        <is>
          <t>愛知県</t>
        </is>
      </c>
      <c r="G954" t="inlineStr">
        <is>
          <t>導入支援</t>
        </is>
      </c>
      <c r="H954" t="inlineStr">
        <is>
          <t>操作研修パック</t>
        </is>
      </c>
      <c r="I954" s="4" t="n">
        <v>4</v>
      </c>
      <c r="J954" s="4" t="n">
        <v>82400</v>
      </c>
      <c r="K954" s="4">
        <f>I954*J954</f>
        <v/>
      </c>
      <c r="L954" t="inlineStr"/>
    </row>
    <row r="955">
      <c r="A955" t="inlineStr">
        <is>
          <t>SR040</t>
        </is>
      </c>
      <c r="B955" t="inlineStr">
        <is>
          <t>営業担当040</t>
        </is>
      </c>
      <c r="C955" t="inlineStr">
        <is>
          <t>インサイドセールス部</t>
        </is>
      </c>
      <c r="D955" s="3" t="n">
        <v>45965</v>
      </c>
      <c r="E955" t="inlineStr">
        <is>
          <t>九州エナジー株式会社</t>
        </is>
      </c>
      <c r="F955" t="inlineStr">
        <is>
          <t>東京都</t>
        </is>
      </c>
      <c r="G955" t="inlineStr">
        <is>
          <t>保守サービス</t>
        </is>
      </c>
      <c r="H955" t="inlineStr">
        <is>
          <t>年間保守契約</t>
        </is>
      </c>
      <c r="I955" s="4" t="n">
        <v>4</v>
      </c>
      <c r="J955" s="4" t="n">
        <v>205100</v>
      </c>
      <c r="K955" s="4">
        <f>I955*J955</f>
        <v/>
      </c>
      <c r="L955" t="inlineStr"/>
    </row>
    <row r="956">
      <c r="A956" t="inlineStr">
        <is>
          <t>SR040</t>
        </is>
      </c>
      <c r="B956" t="inlineStr">
        <is>
          <t>営業担当040</t>
        </is>
      </c>
      <c r="C956" t="inlineStr">
        <is>
          <t>インサイドセールス部</t>
        </is>
      </c>
      <c r="D956" s="3" t="n">
        <v>45982</v>
      </c>
      <c r="E956" t="inlineStr">
        <is>
          <t>白峰化学有限会社</t>
        </is>
      </c>
      <c r="F956" t="inlineStr">
        <is>
          <t>福岡県</t>
        </is>
      </c>
      <c r="G956" t="inlineStr">
        <is>
          <t>ソフトウェア</t>
        </is>
      </c>
      <c r="H956" t="inlineStr">
        <is>
          <t>AIチャットボット</t>
        </is>
      </c>
      <c r="I956" s="4" t="n">
        <v>2</v>
      </c>
      <c r="J956" s="4" t="n">
        <v>764700</v>
      </c>
      <c r="K956" s="4">
        <f>I956*J956</f>
        <v/>
      </c>
      <c r="L956" t="inlineStr">
        <is>
          <t>リピート受注</t>
        </is>
      </c>
    </row>
    <row r="957">
      <c r="A957" t="inlineStr">
        <is>
          <t>SR040</t>
        </is>
      </c>
      <c r="B957" t="inlineStr">
        <is>
          <t>営業担当040</t>
        </is>
      </c>
      <c r="C957" t="inlineStr">
        <is>
          <t>インサイドセールス部</t>
        </is>
      </c>
      <c r="D957" s="3" t="n">
        <v>45992</v>
      </c>
      <c r="E957" t="inlineStr">
        <is>
          <t>未来通信有限会社</t>
        </is>
      </c>
      <c r="F957" t="inlineStr">
        <is>
          <t>兵庫県</t>
        </is>
      </c>
      <c r="G957" t="inlineStr">
        <is>
          <t>導入支援</t>
        </is>
      </c>
      <c r="H957" t="inlineStr">
        <is>
          <t>データ移行支援</t>
        </is>
      </c>
      <c r="I957" s="4" t="n">
        <v>4</v>
      </c>
      <c r="J957" s="4" t="n">
        <v>354900</v>
      </c>
      <c r="K957" s="4">
        <f>I957*J957</f>
        <v/>
      </c>
      <c r="L957" t="inlineStr">
        <is>
          <t>新規開拓</t>
        </is>
      </c>
    </row>
    <row r="958">
      <c r="A958" t="inlineStr">
        <is>
          <t>SR040</t>
        </is>
      </c>
      <c r="B958" t="inlineStr">
        <is>
          <t>営業担当040</t>
        </is>
      </c>
      <c r="C958" t="inlineStr">
        <is>
          <t>インサイドセールス部</t>
        </is>
      </c>
      <c r="D958" s="3" t="n">
        <v>46002</v>
      </c>
      <c r="E958" t="inlineStr">
        <is>
          <t>星和商会株式会社</t>
        </is>
      </c>
      <c r="F958" t="inlineStr">
        <is>
          <t>大阪府</t>
        </is>
      </c>
      <c r="G958" t="inlineStr">
        <is>
          <t>ハードウェア</t>
        </is>
      </c>
      <c r="H958" t="inlineStr">
        <is>
          <t>小型ハンディ端末</t>
        </is>
      </c>
      <c r="I958" s="4" t="n">
        <v>5</v>
      </c>
      <c r="J958" s="4" t="n">
        <v>58300</v>
      </c>
      <c r="K958" s="4">
        <f>I958*J958</f>
        <v/>
      </c>
      <c r="L958" t="inlineStr">
        <is>
          <t>キャンペーン適用</t>
        </is>
      </c>
    </row>
    <row r="959">
      <c r="A959" t="inlineStr">
        <is>
          <t>SR040</t>
        </is>
      </c>
      <c r="B959" t="inlineStr">
        <is>
          <t>営業担当040</t>
        </is>
      </c>
      <c r="C959" t="inlineStr">
        <is>
          <t>インサイドセールス部</t>
        </is>
      </c>
      <c r="D959" s="3" t="n">
        <v>46027</v>
      </c>
      <c r="E959" t="inlineStr">
        <is>
          <t>九州エナジー株式会社</t>
        </is>
      </c>
      <c r="F959" t="inlineStr">
        <is>
          <t>兵庫県</t>
        </is>
      </c>
      <c r="G959" t="inlineStr">
        <is>
          <t>ハードウェア</t>
        </is>
      </c>
      <c r="H959" t="inlineStr">
        <is>
          <t>ラベルプリンター</t>
        </is>
      </c>
      <c r="I959" s="4" t="n">
        <v>2</v>
      </c>
      <c r="J959" s="4" t="n">
        <v>63700</v>
      </c>
      <c r="K959" s="4">
        <f>I959*J959</f>
        <v/>
      </c>
      <c r="L959" t="inlineStr">
        <is>
          <t>分納</t>
        </is>
      </c>
    </row>
    <row r="960">
      <c r="A960" t="inlineStr">
        <is>
          <t>SR040</t>
        </is>
      </c>
      <c r="B960" t="inlineStr">
        <is>
          <t>営業担当040</t>
        </is>
      </c>
      <c r="C960" t="inlineStr">
        <is>
          <t>インサイドセールス部</t>
        </is>
      </c>
      <c r="D960" s="3" t="n">
        <v>46048</v>
      </c>
      <c r="E960" t="inlineStr">
        <is>
          <t>オーシャン製作所(株)</t>
        </is>
      </c>
      <c r="F960" t="inlineStr">
        <is>
          <t>広島県</t>
        </is>
      </c>
      <c r="G960" t="inlineStr">
        <is>
          <t>ハードウェア</t>
        </is>
      </c>
      <c r="H960" t="inlineStr">
        <is>
          <t>ラベルプリンター</t>
        </is>
      </c>
      <c r="I960" s="4" t="n">
        <v>2</v>
      </c>
      <c r="J960" s="4" t="n">
        <v>73100</v>
      </c>
      <c r="K960" s="4">
        <f>I960*J960</f>
        <v/>
      </c>
      <c r="L960" t="inlineStr">
        <is>
          <t>新規開拓</t>
        </is>
      </c>
    </row>
    <row r="961">
      <c r="A961" t="inlineStr">
        <is>
          <t>SR040</t>
        </is>
      </c>
      <c r="B961" t="inlineStr">
        <is>
          <t>営業担当040</t>
        </is>
      </c>
      <c r="C961" t="inlineStr">
        <is>
          <t>インサイドセールス部</t>
        </is>
      </c>
      <c r="D961" s="3" t="n">
        <v>46064</v>
      </c>
      <c r="E961" t="inlineStr">
        <is>
          <t>白峰化学株式会社</t>
        </is>
      </c>
      <c r="F961" t="inlineStr">
        <is>
          <t>大阪府</t>
        </is>
      </c>
      <c r="G961" t="inlineStr">
        <is>
          <t>保守サービス</t>
        </is>
      </c>
      <c r="H961" t="inlineStr">
        <is>
          <t>ヘルプデスク契約</t>
        </is>
      </c>
      <c r="I961" s="4" t="n">
        <v>5</v>
      </c>
      <c r="J961" s="4" t="n">
        <v>80300</v>
      </c>
      <c r="K961" s="4">
        <f>I961*J961</f>
        <v/>
      </c>
      <c r="L961" t="inlineStr"/>
    </row>
    <row r="962">
      <c r="A962" t="inlineStr">
        <is>
          <t>SR040</t>
        </is>
      </c>
      <c r="B962" t="inlineStr">
        <is>
          <t>営業担当040</t>
        </is>
      </c>
      <c r="C962" t="inlineStr">
        <is>
          <t>インサイドセールス部</t>
        </is>
      </c>
      <c r="D962" s="3" t="n">
        <v>46079</v>
      </c>
      <c r="E962" t="inlineStr">
        <is>
          <t>サンライズ建設株式会社</t>
        </is>
      </c>
      <c r="F962" t="inlineStr">
        <is>
          <t>大阪府</t>
        </is>
      </c>
      <c r="G962" t="inlineStr">
        <is>
          <t>導入支援</t>
        </is>
      </c>
      <c r="H962" t="inlineStr">
        <is>
          <t>データ移行支援</t>
        </is>
      </c>
      <c r="I962" s="4" t="n">
        <v>2</v>
      </c>
      <c r="J962" s="4" t="n">
        <v>241100</v>
      </c>
      <c r="K962" s="4">
        <f>I962*J962</f>
        <v/>
      </c>
      <c r="L962" t="inlineStr">
        <is>
          <t>キャンペーン適用</t>
        </is>
      </c>
    </row>
    <row r="963">
      <c r="A963" t="inlineStr">
        <is>
          <t>SR040</t>
        </is>
      </c>
      <c r="B963" t="inlineStr">
        <is>
          <t>営業担当040</t>
        </is>
      </c>
      <c r="C963" t="inlineStr">
        <is>
          <t>インサイドセールス部</t>
        </is>
      </c>
      <c r="D963" s="3" t="n">
        <v>46090</v>
      </c>
      <c r="E963" t="inlineStr">
        <is>
          <t>中央設備(株)</t>
        </is>
      </c>
      <c r="F963" t="inlineStr">
        <is>
          <t>東京都</t>
        </is>
      </c>
      <c r="G963" t="inlineStr">
        <is>
          <t>ハードウェア</t>
        </is>
      </c>
      <c r="H963" t="inlineStr">
        <is>
          <t>ネットワークカメラ</t>
        </is>
      </c>
      <c r="I963" s="4" t="n">
        <v>3</v>
      </c>
      <c r="J963" s="4" t="n">
        <v>60900</v>
      </c>
      <c r="K963" s="4">
        <f>I963*J963</f>
        <v/>
      </c>
      <c r="L963" t="inlineStr">
        <is>
          <t>キャンペーン適用</t>
        </is>
      </c>
    </row>
    <row r="964">
      <c r="A964" t="inlineStr">
        <is>
          <t>SR040</t>
        </is>
      </c>
      <c r="B964" t="inlineStr">
        <is>
          <t>営業担当040</t>
        </is>
      </c>
      <c r="C964" t="inlineStr">
        <is>
          <t>インサイドセールス部</t>
        </is>
      </c>
      <c r="D964" s="3" t="n">
        <v>46108</v>
      </c>
      <c r="E964" t="inlineStr">
        <is>
          <t>星和商会株式会社</t>
        </is>
      </c>
      <c r="F964" t="inlineStr">
        <is>
          <t>東京都</t>
        </is>
      </c>
      <c r="G964" t="inlineStr">
        <is>
          <t>ソフトウェア</t>
        </is>
      </c>
      <c r="H964" t="inlineStr">
        <is>
          <t>営業支援SaaS</t>
        </is>
      </c>
      <c r="I964" s="4" t="n">
        <v>1</v>
      </c>
      <c r="J964" s="4" t="n">
        <v>309400</v>
      </c>
      <c r="K964" s="4">
        <f>I964*J964</f>
        <v/>
      </c>
      <c r="L964" t="inlineStr">
        <is>
          <t>大型案件</t>
        </is>
      </c>
    </row>
    <row r="965">
      <c r="A965" t="inlineStr">
        <is>
          <t>SR041</t>
        </is>
      </c>
      <c r="B965" t="inlineStr">
        <is>
          <t>営業担当041</t>
        </is>
      </c>
      <c r="C965" t="inlineStr">
        <is>
          <t>第1営業部</t>
        </is>
      </c>
      <c r="D965" s="3" t="n">
        <v>45753</v>
      </c>
      <c r="E965" t="inlineStr">
        <is>
          <t>日新サービス(株)</t>
        </is>
      </c>
      <c r="F965" t="inlineStr">
        <is>
          <t>神奈川県</t>
        </is>
      </c>
      <c r="G965" t="inlineStr">
        <is>
          <t>ハードウェア</t>
        </is>
      </c>
      <c r="H965" t="inlineStr">
        <is>
          <t>産業用タブレット</t>
        </is>
      </c>
      <c r="I965" s="4" t="n">
        <v>3</v>
      </c>
      <c r="J965" s="4" t="n">
        <v>118200</v>
      </c>
      <c r="K965" s="4">
        <f>I965*J965</f>
        <v/>
      </c>
      <c r="L965" t="inlineStr">
        <is>
          <t>キャンペーン適用</t>
        </is>
      </c>
    </row>
    <row r="966">
      <c r="A966" t="inlineStr">
        <is>
          <t>SR041</t>
        </is>
      </c>
      <c r="B966" t="inlineStr">
        <is>
          <t>営業担当041</t>
        </is>
      </c>
      <c r="C966" t="inlineStr">
        <is>
          <t>第1営業部</t>
        </is>
      </c>
      <c r="D966" s="3" t="n">
        <v>45757</v>
      </c>
      <c r="E966" t="inlineStr">
        <is>
          <t>未来通信有限会社</t>
        </is>
      </c>
      <c r="F966" t="inlineStr">
        <is>
          <t>神奈川県</t>
        </is>
      </c>
      <c r="G966" t="inlineStr">
        <is>
          <t>消耗品</t>
        </is>
      </c>
      <c r="H966" t="inlineStr">
        <is>
          <t>保守用バッテリー</t>
        </is>
      </c>
      <c r="I966" s="4" t="n">
        <v>7</v>
      </c>
      <c r="J966" s="4" t="n">
        <v>9170</v>
      </c>
      <c r="K966" s="4">
        <f>I966*J966</f>
        <v/>
      </c>
      <c r="L966" t="inlineStr">
        <is>
          <t>新規開拓</t>
        </is>
      </c>
    </row>
    <row r="967">
      <c r="A967" t="inlineStr">
        <is>
          <t>SR041</t>
        </is>
      </c>
      <c r="B967" t="inlineStr">
        <is>
          <t>営業担当041</t>
        </is>
      </c>
      <c r="C967" t="inlineStr">
        <is>
          <t>第1営業部</t>
        </is>
      </c>
      <c r="D967" s="3" t="n">
        <v>45801</v>
      </c>
      <c r="E967" t="inlineStr">
        <is>
          <t>サンライズ建設有限会社</t>
        </is>
      </c>
      <c r="F967" t="inlineStr">
        <is>
          <t>兵庫県</t>
        </is>
      </c>
      <c r="G967" t="inlineStr">
        <is>
          <t>ハードウェア</t>
        </is>
      </c>
      <c r="H967" t="inlineStr">
        <is>
          <t>ラベルプリンター</t>
        </is>
      </c>
      <c r="I967" s="4" t="n">
        <v>1</v>
      </c>
      <c r="J967" s="4" t="n">
        <v>80600</v>
      </c>
      <c r="K967" s="4">
        <f>I967*J967</f>
        <v/>
      </c>
      <c r="L967" t="inlineStr">
        <is>
          <t>新規開拓</t>
        </is>
      </c>
    </row>
    <row r="968">
      <c r="A968" t="inlineStr">
        <is>
          <t>SR041</t>
        </is>
      </c>
      <c r="B968" t="inlineStr">
        <is>
          <t>営業担当041</t>
        </is>
      </c>
      <c r="C968" t="inlineStr">
        <is>
          <t>第1営業部</t>
        </is>
      </c>
      <c r="D968" s="3" t="n">
        <v>45801</v>
      </c>
      <c r="E968" t="inlineStr">
        <is>
          <t>ネクストソリューション株式会社</t>
        </is>
      </c>
      <c r="F968" t="inlineStr">
        <is>
          <t>京都府</t>
        </is>
      </c>
      <c r="G968" t="inlineStr">
        <is>
          <t>導入支援</t>
        </is>
      </c>
      <c r="H968" t="inlineStr">
        <is>
          <t>初期設定支援</t>
        </is>
      </c>
      <c r="I968" s="4" t="n">
        <v>2</v>
      </c>
      <c r="J968" s="4" t="n">
        <v>80400</v>
      </c>
      <c r="K968" s="4">
        <f>I968*J968</f>
        <v/>
      </c>
      <c r="L968" t="inlineStr"/>
    </row>
    <row r="969">
      <c r="A969" t="inlineStr">
        <is>
          <t>SR041</t>
        </is>
      </c>
      <c r="B969" t="inlineStr">
        <is>
          <t>営業担当041</t>
        </is>
      </c>
      <c r="C969" t="inlineStr">
        <is>
          <t>第1営業部</t>
        </is>
      </c>
      <c r="D969" s="3" t="n">
        <v>45816</v>
      </c>
      <c r="E969" t="inlineStr">
        <is>
          <t>西日本機工株式会社</t>
        </is>
      </c>
      <c r="F969" t="inlineStr">
        <is>
          <t>広島県</t>
        </is>
      </c>
      <c r="G969" t="inlineStr">
        <is>
          <t>保守サービス</t>
        </is>
      </c>
      <c r="H969" t="inlineStr">
        <is>
          <t>年間保守契約</t>
        </is>
      </c>
      <c r="I969" s="4" t="n">
        <v>4</v>
      </c>
      <c r="J969" s="4" t="n">
        <v>238700</v>
      </c>
      <c r="K969" s="4">
        <f>I969*J969</f>
        <v/>
      </c>
      <c r="L969" t="inlineStr"/>
    </row>
    <row r="970">
      <c r="A970" t="inlineStr">
        <is>
          <t>SR041</t>
        </is>
      </c>
      <c r="B970" t="inlineStr">
        <is>
          <t>営業担当041</t>
        </is>
      </c>
      <c r="C970" t="inlineStr">
        <is>
          <t>第1営業部</t>
        </is>
      </c>
      <c r="D970" s="3" t="n">
        <v>45825</v>
      </c>
      <c r="E970" t="inlineStr">
        <is>
          <t>東洋フーズ(株)</t>
        </is>
      </c>
      <c r="F970" t="inlineStr">
        <is>
          <t>広島県</t>
        </is>
      </c>
      <c r="G970" t="inlineStr">
        <is>
          <t>導入支援</t>
        </is>
      </c>
      <c r="H970" t="inlineStr">
        <is>
          <t>データ移行支援</t>
        </is>
      </c>
      <c r="I970" s="4" t="n">
        <v>3</v>
      </c>
      <c r="J970" s="4" t="n">
        <v>310600</v>
      </c>
      <c r="K970" s="4">
        <f>I970*J970</f>
        <v/>
      </c>
      <c r="L970" t="inlineStr">
        <is>
          <t>キャンペーン適用</t>
        </is>
      </c>
    </row>
    <row r="971">
      <c r="A971" t="inlineStr">
        <is>
          <t>SR041</t>
        </is>
      </c>
      <c r="B971" t="inlineStr">
        <is>
          <t>営業担当041</t>
        </is>
      </c>
      <c r="C971" t="inlineStr">
        <is>
          <t>第1営業部</t>
        </is>
      </c>
      <c r="D971" s="3" t="n">
        <v>45841</v>
      </c>
      <c r="E971" t="inlineStr">
        <is>
          <t>アーク電機(株)</t>
        </is>
      </c>
      <c r="F971" t="inlineStr">
        <is>
          <t>兵庫県</t>
        </is>
      </c>
      <c r="G971" t="inlineStr">
        <is>
          <t>ハードウェア</t>
        </is>
      </c>
      <c r="H971" t="inlineStr">
        <is>
          <t>ネットワークカメラ</t>
        </is>
      </c>
      <c r="I971" s="4" t="n">
        <v>4</v>
      </c>
      <c r="J971" s="4" t="n">
        <v>33500</v>
      </c>
      <c r="K971" s="4">
        <f>I971*J971</f>
        <v/>
      </c>
      <c r="L971" t="inlineStr"/>
    </row>
    <row r="972">
      <c r="A972" t="inlineStr">
        <is>
          <t>SR041</t>
        </is>
      </c>
      <c r="B972" t="inlineStr">
        <is>
          <t>営業担当041</t>
        </is>
      </c>
      <c r="C972" t="inlineStr">
        <is>
          <t>第1営業部</t>
        </is>
      </c>
      <c r="D972" s="3" t="n">
        <v>45854</v>
      </c>
      <c r="E972" t="inlineStr">
        <is>
          <t>北斗産業(株)</t>
        </is>
      </c>
      <c r="F972" t="inlineStr">
        <is>
          <t>北海道</t>
        </is>
      </c>
      <c r="G972" t="inlineStr">
        <is>
          <t>消耗品</t>
        </is>
      </c>
      <c r="H972" t="inlineStr">
        <is>
          <t>保守用バッテリー</t>
        </is>
      </c>
      <c r="I972" s="4" t="n">
        <v>8</v>
      </c>
      <c r="J972" s="4" t="n">
        <v>15890</v>
      </c>
      <c r="K972" s="4">
        <f>I972*J972</f>
        <v/>
      </c>
      <c r="L972" t="inlineStr"/>
    </row>
    <row r="973">
      <c r="A973" t="inlineStr">
        <is>
          <t>SR041</t>
        </is>
      </c>
      <c r="B973" t="inlineStr">
        <is>
          <t>営業担当041</t>
        </is>
      </c>
      <c r="C973" t="inlineStr">
        <is>
          <t>第1営業部</t>
        </is>
      </c>
      <c r="D973" s="3" t="n">
        <v>45886</v>
      </c>
      <c r="E973" t="inlineStr">
        <is>
          <t>オーシャン製作所(株)</t>
        </is>
      </c>
      <c r="F973" t="inlineStr">
        <is>
          <t>愛知県</t>
        </is>
      </c>
      <c r="G973" t="inlineStr">
        <is>
          <t>ハードウェア</t>
        </is>
      </c>
      <c r="H973" t="inlineStr">
        <is>
          <t>ネットワークカメラ</t>
        </is>
      </c>
      <c r="I973" s="4" t="n">
        <v>5</v>
      </c>
      <c r="J973" s="4" t="n">
        <v>32500</v>
      </c>
      <c r="K973" s="4">
        <f>I973*J973</f>
        <v/>
      </c>
      <c r="L973" t="inlineStr">
        <is>
          <t>リピート受注</t>
        </is>
      </c>
    </row>
    <row r="974">
      <c r="A974" t="inlineStr">
        <is>
          <t>SR041</t>
        </is>
      </c>
      <c r="B974" t="inlineStr">
        <is>
          <t>営業担当041</t>
        </is>
      </c>
      <c r="C974" t="inlineStr">
        <is>
          <t>第1営業部</t>
        </is>
      </c>
      <c r="D974" s="3" t="n">
        <v>45897</v>
      </c>
      <c r="E974" t="inlineStr">
        <is>
          <t>グリーンテック株式会社</t>
        </is>
      </c>
      <c r="F974" t="inlineStr">
        <is>
          <t>北海道</t>
        </is>
      </c>
      <c r="G974" t="inlineStr">
        <is>
          <t>ソフトウェア</t>
        </is>
      </c>
      <c r="H974" t="inlineStr">
        <is>
          <t>営業支援SaaS</t>
        </is>
      </c>
      <c r="I974" s="4" t="n">
        <v>3</v>
      </c>
      <c r="J974" s="4" t="n">
        <v>193900</v>
      </c>
      <c r="K974" s="4">
        <f>I974*J974</f>
        <v/>
      </c>
      <c r="L974" t="inlineStr"/>
    </row>
    <row r="975">
      <c r="A975" t="inlineStr">
        <is>
          <t>SR041</t>
        </is>
      </c>
      <c r="B975" t="inlineStr">
        <is>
          <t>営業担当041</t>
        </is>
      </c>
      <c r="C975" t="inlineStr">
        <is>
          <t>第1営業部</t>
        </is>
      </c>
      <c r="D975" s="3" t="n">
        <v>45915</v>
      </c>
      <c r="E975" t="inlineStr">
        <is>
          <t>アーク電機株式会社</t>
        </is>
      </c>
      <c r="F975" t="inlineStr">
        <is>
          <t>広島県</t>
        </is>
      </c>
      <c r="G975" t="inlineStr">
        <is>
          <t>保守サービス</t>
        </is>
      </c>
      <c r="H975" t="inlineStr">
        <is>
          <t>年間保守契約</t>
        </is>
      </c>
      <c r="I975" s="4" t="n">
        <v>2</v>
      </c>
      <c r="J975" s="4" t="n">
        <v>183000</v>
      </c>
      <c r="K975" s="4">
        <f>I975*J975</f>
        <v/>
      </c>
      <c r="L975" t="inlineStr">
        <is>
          <t>大型案件</t>
        </is>
      </c>
    </row>
    <row r="976">
      <c r="A976" t="inlineStr">
        <is>
          <t>SR041</t>
        </is>
      </c>
      <c r="B976" t="inlineStr">
        <is>
          <t>営業担当041</t>
        </is>
      </c>
      <c r="C976" t="inlineStr">
        <is>
          <t>第1営業部</t>
        </is>
      </c>
      <c r="D976" s="3" t="n">
        <v>45924</v>
      </c>
      <c r="E976" t="inlineStr">
        <is>
          <t>大和精機(株)</t>
        </is>
      </c>
      <c r="F976" t="inlineStr">
        <is>
          <t>兵庫県</t>
        </is>
      </c>
      <c r="G976" t="inlineStr">
        <is>
          <t>消耗品</t>
        </is>
      </c>
      <c r="H976" t="inlineStr">
        <is>
          <t>ラベルロール</t>
        </is>
      </c>
      <c r="I976" s="4" t="n">
        <v>10</v>
      </c>
      <c r="J976" s="4" t="n">
        <v>2280</v>
      </c>
      <c r="K976" s="4">
        <f>I976*J976</f>
        <v/>
      </c>
      <c r="L976" t="inlineStr">
        <is>
          <t>値引き調整あり</t>
        </is>
      </c>
    </row>
    <row r="977">
      <c r="A977" t="inlineStr">
        <is>
          <t>SR041</t>
        </is>
      </c>
      <c r="B977" t="inlineStr">
        <is>
          <t>営業担当041</t>
        </is>
      </c>
      <c r="C977" t="inlineStr">
        <is>
          <t>第1営業部</t>
        </is>
      </c>
      <c r="D977" s="3" t="n">
        <v>45947</v>
      </c>
      <c r="E977" t="inlineStr">
        <is>
          <t>アーク電機(株)</t>
        </is>
      </c>
      <c r="F977" t="inlineStr">
        <is>
          <t>兵庫県</t>
        </is>
      </c>
      <c r="G977" t="inlineStr">
        <is>
          <t>ソフトウェア</t>
        </is>
      </c>
      <c r="H977" t="inlineStr">
        <is>
          <t>在庫管理クラウド</t>
        </is>
      </c>
      <c r="I977" s="4" t="n">
        <v>1</v>
      </c>
      <c r="J977" s="4" t="n">
        <v>390200</v>
      </c>
      <c r="K977" s="4">
        <f>I977*J977</f>
        <v/>
      </c>
      <c r="L977" t="inlineStr"/>
    </row>
    <row r="978">
      <c r="A978" t="inlineStr">
        <is>
          <t>SR041</t>
        </is>
      </c>
      <c r="B978" t="inlineStr">
        <is>
          <t>営業担当041</t>
        </is>
      </c>
      <c r="C978" t="inlineStr">
        <is>
          <t>第1営業部</t>
        </is>
      </c>
      <c r="D978" s="3" t="n">
        <v>45955</v>
      </c>
      <c r="E978" t="inlineStr">
        <is>
          <t>星和商会株式会社</t>
        </is>
      </c>
      <c r="F978" t="inlineStr">
        <is>
          <t>宮城県</t>
        </is>
      </c>
      <c r="G978" t="inlineStr">
        <is>
          <t>ソフトウェア</t>
        </is>
      </c>
      <c r="H978" t="inlineStr">
        <is>
          <t>営業支援SaaS</t>
        </is>
      </c>
      <c r="I978" s="4" t="n">
        <v>4</v>
      </c>
      <c r="J978" s="4" t="n">
        <v>158600</v>
      </c>
      <c r="K978" s="4">
        <f>I978*J978</f>
        <v/>
      </c>
      <c r="L978" t="inlineStr">
        <is>
          <t>新規開拓</t>
        </is>
      </c>
    </row>
    <row r="979">
      <c r="A979" t="inlineStr">
        <is>
          <t>SR041</t>
        </is>
      </c>
      <c r="B979" t="inlineStr">
        <is>
          <t>営業担当041</t>
        </is>
      </c>
      <c r="C979" t="inlineStr">
        <is>
          <t>第1営業部</t>
        </is>
      </c>
      <c r="D979" s="3" t="n">
        <v>45962</v>
      </c>
      <c r="E979" t="inlineStr">
        <is>
          <t>サンライズ建設有限会社</t>
        </is>
      </c>
      <c r="F979" t="inlineStr">
        <is>
          <t>大阪府</t>
        </is>
      </c>
      <c r="G979" t="inlineStr">
        <is>
          <t>導入支援</t>
        </is>
      </c>
      <c r="H979" t="inlineStr">
        <is>
          <t>データ移行支援</t>
        </is>
      </c>
      <c r="I979" s="4" t="n">
        <v>5</v>
      </c>
      <c r="J979" s="4" t="n">
        <v>123400</v>
      </c>
      <c r="K979" s="4">
        <f>I979*J979</f>
        <v/>
      </c>
      <c r="L979" t="inlineStr">
        <is>
          <t>新規開拓</t>
        </is>
      </c>
    </row>
    <row r="980">
      <c r="A980" t="inlineStr">
        <is>
          <t>SR041</t>
        </is>
      </c>
      <c r="B980" t="inlineStr">
        <is>
          <t>営業担当041</t>
        </is>
      </c>
      <c r="C980" t="inlineStr">
        <is>
          <t>第1営業部</t>
        </is>
      </c>
      <c r="D980" s="3" t="n">
        <v>45978</v>
      </c>
      <c r="E980" t="inlineStr">
        <is>
          <t>アーク電機(株)</t>
        </is>
      </c>
      <c r="F980" t="inlineStr">
        <is>
          <t>大阪府</t>
        </is>
      </c>
      <c r="G980" t="inlineStr">
        <is>
          <t>導入支援</t>
        </is>
      </c>
      <c r="H980" t="inlineStr">
        <is>
          <t>操作研修パック</t>
        </is>
      </c>
      <c r="I980" s="4" t="n">
        <v>5</v>
      </c>
      <c r="J980" s="4" t="n">
        <v>81800</v>
      </c>
      <c r="K980" s="4">
        <f>I980*J980</f>
        <v/>
      </c>
      <c r="L980" t="inlineStr">
        <is>
          <t>新規開拓</t>
        </is>
      </c>
    </row>
    <row r="981">
      <c r="A981" t="inlineStr">
        <is>
          <t>SR041</t>
        </is>
      </c>
      <c r="B981" t="inlineStr">
        <is>
          <t>営業担当041</t>
        </is>
      </c>
      <c r="C981" t="inlineStr">
        <is>
          <t>第1営業部</t>
        </is>
      </c>
      <c r="D981" s="3" t="n">
        <v>45996</v>
      </c>
      <c r="E981" t="inlineStr">
        <is>
          <t>青葉商事株式会社</t>
        </is>
      </c>
      <c r="F981" t="inlineStr">
        <is>
          <t>広島県</t>
        </is>
      </c>
      <c r="G981" t="inlineStr">
        <is>
          <t>導入支援</t>
        </is>
      </c>
      <c r="H981" t="inlineStr">
        <is>
          <t>データ移行支援</t>
        </is>
      </c>
      <c r="I981" s="4" t="n">
        <v>3</v>
      </c>
      <c r="J981" s="4" t="n">
        <v>323300</v>
      </c>
      <c r="K981" s="4">
        <f>I981*J981</f>
        <v/>
      </c>
      <c r="L981" t="inlineStr"/>
    </row>
    <row r="982">
      <c r="A982" t="inlineStr">
        <is>
          <t>SR041</t>
        </is>
      </c>
      <c r="B982" t="inlineStr">
        <is>
          <t>営業担当041</t>
        </is>
      </c>
      <c r="C982" t="inlineStr">
        <is>
          <t>第1営業部</t>
        </is>
      </c>
      <c r="D982" s="3" t="n">
        <v>46000</v>
      </c>
      <c r="E982" t="inlineStr">
        <is>
          <t>星和商会株式会社</t>
        </is>
      </c>
      <c r="F982" t="inlineStr">
        <is>
          <t>京都府</t>
        </is>
      </c>
      <c r="G982" t="inlineStr">
        <is>
          <t>ソフトウェア</t>
        </is>
      </c>
      <c r="H982" t="inlineStr">
        <is>
          <t>在庫管理クラウド</t>
        </is>
      </c>
      <c r="I982" s="4" t="n">
        <v>4</v>
      </c>
      <c r="J982" s="4" t="n">
        <v>253500</v>
      </c>
      <c r="K982" s="4">
        <f>I982*J982</f>
        <v/>
      </c>
      <c r="L982" t="inlineStr"/>
    </row>
    <row r="983">
      <c r="A983" t="inlineStr">
        <is>
          <t>SR041</t>
        </is>
      </c>
      <c r="B983" t="inlineStr">
        <is>
          <t>営業担当041</t>
        </is>
      </c>
      <c r="C983" t="inlineStr">
        <is>
          <t>第1営業部</t>
        </is>
      </c>
      <c r="D983" s="3" t="n">
        <v>46033</v>
      </c>
      <c r="E983" t="inlineStr">
        <is>
          <t>北斗産業有限会社</t>
        </is>
      </c>
      <c r="F983" t="inlineStr">
        <is>
          <t>兵庫県</t>
        </is>
      </c>
      <c r="G983" t="inlineStr">
        <is>
          <t>導入支援</t>
        </is>
      </c>
      <c r="H983" t="inlineStr">
        <is>
          <t>データ移行支援</t>
        </is>
      </c>
      <c r="I983" s="4" t="n">
        <v>5</v>
      </c>
      <c r="J983" s="4" t="n">
        <v>132900</v>
      </c>
      <c r="K983" s="4">
        <f>I983*J983</f>
        <v/>
      </c>
      <c r="L983" t="inlineStr">
        <is>
          <t>大型案件</t>
        </is>
      </c>
    </row>
    <row r="984">
      <c r="A984" t="inlineStr">
        <is>
          <t>SR041</t>
        </is>
      </c>
      <c r="B984" t="inlineStr">
        <is>
          <t>営業担当041</t>
        </is>
      </c>
      <c r="C984" t="inlineStr">
        <is>
          <t>第1営業部</t>
        </is>
      </c>
      <c r="D984" s="3" t="n">
        <v>46049</v>
      </c>
      <c r="E984" t="inlineStr">
        <is>
          <t>日新サービス株式会社</t>
        </is>
      </c>
      <c r="F984" t="inlineStr">
        <is>
          <t>大阪府</t>
        </is>
      </c>
      <c r="G984" t="inlineStr">
        <is>
          <t>導入支援</t>
        </is>
      </c>
      <c r="H984" t="inlineStr">
        <is>
          <t>操作研修パック</t>
        </is>
      </c>
      <c r="I984" s="4" t="n">
        <v>3</v>
      </c>
      <c r="J984" s="4" t="n">
        <v>94200</v>
      </c>
      <c r="K984" s="4">
        <f>I984*J984</f>
        <v/>
      </c>
      <c r="L984" t="inlineStr">
        <is>
          <t>分納</t>
        </is>
      </c>
    </row>
    <row r="985">
      <c r="A985" t="inlineStr">
        <is>
          <t>SR041</t>
        </is>
      </c>
      <c r="B985" t="inlineStr">
        <is>
          <t>営業担当041</t>
        </is>
      </c>
      <c r="C985" t="inlineStr">
        <is>
          <t>第1営業部</t>
        </is>
      </c>
      <c r="D985" s="3" t="n">
        <v>46078</v>
      </c>
      <c r="E985" t="inlineStr">
        <is>
          <t>白峰化学有限会社</t>
        </is>
      </c>
      <c r="F985" t="inlineStr">
        <is>
          <t>神奈川県</t>
        </is>
      </c>
      <c r="G985" t="inlineStr">
        <is>
          <t>保守サービス</t>
        </is>
      </c>
      <c r="H985" t="inlineStr">
        <is>
          <t>年間保守契約</t>
        </is>
      </c>
      <c r="I985" s="4" t="n">
        <v>2</v>
      </c>
      <c r="J985" s="4" t="n">
        <v>135800</v>
      </c>
      <c r="K985" s="4">
        <f>I985*J985</f>
        <v/>
      </c>
      <c r="L985" t="inlineStr"/>
    </row>
    <row r="986">
      <c r="A986" t="inlineStr">
        <is>
          <t>SR041</t>
        </is>
      </c>
      <c r="B986" t="inlineStr">
        <is>
          <t>営業担当041</t>
        </is>
      </c>
      <c r="C986" t="inlineStr">
        <is>
          <t>第1営業部</t>
        </is>
      </c>
      <c r="D986" s="3" t="n">
        <v>46081</v>
      </c>
      <c r="E986" t="inlineStr">
        <is>
          <t>北斗産業有限会社</t>
        </is>
      </c>
      <c r="F986" t="inlineStr">
        <is>
          <t>神奈川県</t>
        </is>
      </c>
      <c r="G986" t="inlineStr">
        <is>
          <t>保守サービス</t>
        </is>
      </c>
      <c r="H986" t="inlineStr">
        <is>
          <t>年間保守契約</t>
        </is>
      </c>
      <c r="I986" s="4" t="n">
        <v>1</v>
      </c>
      <c r="J986" s="4" t="n">
        <v>284100</v>
      </c>
      <c r="K986" s="4">
        <f>I986*J986</f>
        <v/>
      </c>
      <c r="L986" t="inlineStr">
        <is>
          <t>キャンペーン適用</t>
        </is>
      </c>
    </row>
    <row r="987">
      <c r="A987" t="inlineStr">
        <is>
          <t>SR041</t>
        </is>
      </c>
      <c r="B987" t="inlineStr">
        <is>
          <t>営業担当041</t>
        </is>
      </c>
      <c r="C987" t="inlineStr">
        <is>
          <t>第1営業部</t>
        </is>
      </c>
      <c r="D987" s="3" t="n">
        <v>46084</v>
      </c>
      <c r="E987" t="inlineStr">
        <is>
          <t>日新サービス(株)</t>
        </is>
      </c>
      <c r="F987" t="inlineStr">
        <is>
          <t>福岡県</t>
        </is>
      </c>
      <c r="G987" t="inlineStr">
        <is>
          <t>ハードウェア</t>
        </is>
      </c>
      <c r="H987" t="inlineStr">
        <is>
          <t>ネットワークカメラ</t>
        </is>
      </c>
      <c r="I987" s="4" t="n">
        <v>1</v>
      </c>
      <c r="J987" s="4" t="n">
        <v>26100</v>
      </c>
      <c r="K987" s="4">
        <f>I987*J987</f>
        <v/>
      </c>
      <c r="L987" t="inlineStr">
        <is>
          <t>大型案件</t>
        </is>
      </c>
    </row>
    <row r="988">
      <c r="A988" t="inlineStr">
        <is>
          <t>SR041</t>
        </is>
      </c>
      <c r="B988" t="inlineStr">
        <is>
          <t>営業担当041</t>
        </is>
      </c>
      <c r="C988" t="inlineStr">
        <is>
          <t>第1営業部</t>
        </is>
      </c>
      <c r="D988" s="3" t="n">
        <v>46105</v>
      </c>
      <c r="E988" t="inlineStr">
        <is>
          <t>ライトホーム(株)</t>
        </is>
      </c>
      <c r="F988" t="inlineStr">
        <is>
          <t>大阪府</t>
        </is>
      </c>
      <c r="G988" t="inlineStr">
        <is>
          <t>導入支援</t>
        </is>
      </c>
      <c r="H988" t="inlineStr">
        <is>
          <t>操作研修パック</t>
        </is>
      </c>
      <c r="I988" s="4" t="n">
        <v>1</v>
      </c>
      <c r="J988" s="4" t="n">
        <v>31100</v>
      </c>
      <c r="K988" s="4">
        <f>I988*J988</f>
        <v/>
      </c>
      <c r="L988" t="inlineStr">
        <is>
          <t>キャンペーン適用</t>
        </is>
      </c>
    </row>
    <row r="989">
      <c r="A989" t="inlineStr">
        <is>
          <t>SR042</t>
        </is>
      </c>
      <c r="B989" t="inlineStr">
        <is>
          <t>営業担当042</t>
        </is>
      </c>
      <c r="C989" t="inlineStr">
        <is>
          <t>第2営業部</t>
        </is>
      </c>
      <c r="D989" s="3" t="n">
        <v>45751</v>
      </c>
      <c r="E989" t="inlineStr">
        <is>
          <t>青葉商事株式会社</t>
        </is>
      </c>
      <c r="F989" t="inlineStr">
        <is>
          <t>広島県</t>
        </is>
      </c>
      <c r="G989" t="inlineStr">
        <is>
          <t>導入支援</t>
        </is>
      </c>
      <c r="H989" t="inlineStr">
        <is>
          <t>操作研修パック</t>
        </is>
      </c>
      <c r="I989" s="4" t="n">
        <v>4</v>
      </c>
      <c r="J989" s="4" t="n">
        <v>129600</v>
      </c>
      <c r="K989" s="4">
        <f>I989*J989</f>
        <v/>
      </c>
      <c r="L989" t="inlineStr">
        <is>
          <t>リピート受注</t>
        </is>
      </c>
    </row>
    <row r="990">
      <c r="A990" t="inlineStr">
        <is>
          <t>SR042</t>
        </is>
      </c>
      <c r="B990" t="inlineStr">
        <is>
          <t>営業担当042</t>
        </is>
      </c>
      <c r="C990" t="inlineStr">
        <is>
          <t>第2営業部</t>
        </is>
      </c>
      <c r="D990" s="3" t="n">
        <v>45757</v>
      </c>
      <c r="E990" t="inlineStr">
        <is>
          <t>日新サービス(株)</t>
        </is>
      </c>
      <c r="F990" t="inlineStr">
        <is>
          <t>北海道</t>
        </is>
      </c>
      <c r="G990" t="inlineStr">
        <is>
          <t>導入支援</t>
        </is>
      </c>
      <c r="H990" t="inlineStr">
        <is>
          <t>初期設定支援</t>
        </is>
      </c>
      <c r="I990" s="4" t="n">
        <v>5</v>
      </c>
      <c r="J990" s="4" t="n">
        <v>92400</v>
      </c>
      <c r="K990" s="4">
        <f>I990*J990</f>
        <v/>
      </c>
      <c r="L990" t="inlineStr">
        <is>
          <t>リピート受注</t>
        </is>
      </c>
    </row>
    <row r="991">
      <c r="A991" t="inlineStr">
        <is>
          <t>SR042</t>
        </is>
      </c>
      <c r="B991" t="inlineStr">
        <is>
          <t>営業担当042</t>
        </is>
      </c>
      <c r="C991" t="inlineStr">
        <is>
          <t>第2営業部</t>
        </is>
      </c>
      <c r="D991" s="3" t="n">
        <v>45797</v>
      </c>
      <c r="E991" t="inlineStr">
        <is>
          <t>ライトホーム(株)</t>
        </is>
      </c>
      <c r="F991" t="inlineStr">
        <is>
          <t>宮城県</t>
        </is>
      </c>
      <c r="G991" t="inlineStr">
        <is>
          <t>保守サービス</t>
        </is>
      </c>
      <c r="H991" t="inlineStr">
        <is>
          <t>年間保守契約</t>
        </is>
      </c>
      <c r="I991" s="4" t="n">
        <v>2</v>
      </c>
      <c r="J991" s="4" t="n">
        <v>115300</v>
      </c>
      <c r="K991" s="4">
        <f>I991*J991</f>
        <v/>
      </c>
      <c r="L991" t="inlineStr"/>
    </row>
    <row r="992">
      <c r="A992" t="inlineStr">
        <is>
          <t>SR042</t>
        </is>
      </c>
      <c r="B992" t="inlineStr">
        <is>
          <t>営業担当042</t>
        </is>
      </c>
      <c r="C992" t="inlineStr">
        <is>
          <t>第2営業部</t>
        </is>
      </c>
      <c r="D992" s="3" t="n">
        <v>45800</v>
      </c>
      <c r="E992" t="inlineStr">
        <is>
          <t>みらい物流有限会社</t>
        </is>
      </c>
      <c r="F992" t="inlineStr">
        <is>
          <t>広島県</t>
        </is>
      </c>
      <c r="G992" t="inlineStr">
        <is>
          <t>ハードウェア</t>
        </is>
      </c>
      <c r="H992" t="inlineStr">
        <is>
          <t>小型ハンディ端末</t>
        </is>
      </c>
      <c r="I992" s="4" t="n">
        <v>2</v>
      </c>
      <c r="J992" s="4" t="n">
        <v>61000</v>
      </c>
      <c r="K992" s="4">
        <f>I992*J992</f>
        <v/>
      </c>
      <c r="L992" t="inlineStr">
        <is>
          <t>分納</t>
        </is>
      </c>
    </row>
    <row r="993">
      <c r="A993" t="inlineStr">
        <is>
          <t>SR042</t>
        </is>
      </c>
      <c r="B993" t="inlineStr">
        <is>
          <t>営業担当042</t>
        </is>
      </c>
      <c r="C993" t="inlineStr">
        <is>
          <t>第2営業部</t>
        </is>
      </c>
      <c r="D993" s="3" t="n">
        <v>45812</v>
      </c>
      <c r="E993" t="inlineStr">
        <is>
          <t>アーク電機(株)</t>
        </is>
      </c>
      <c r="F993" t="inlineStr">
        <is>
          <t>神奈川県</t>
        </is>
      </c>
      <c r="G993" t="inlineStr">
        <is>
          <t>ハードウェア</t>
        </is>
      </c>
      <c r="H993" t="inlineStr">
        <is>
          <t>小型ハンディ端末</t>
        </is>
      </c>
      <c r="I993" s="4" t="n">
        <v>5</v>
      </c>
      <c r="J993" s="4" t="n">
        <v>49800</v>
      </c>
      <c r="K993" s="4">
        <f>I993*J993</f>
        <v/>
      </c>
      <c r="L993" t="inlineStr"/>
    </row>
    <row r="994">
      <c r="A994" t="inlineStr">
        <is>
          <t>SR042</t>
        </is>
      </c>
      <c r="B994" t="inlineStr">
        <is>
          <t>営業担当042</t>
        </is>
      </c>
      <c r="C994" t="inlineStr">
        <is>
          <t>第2営業部</t>
        </is>
      </c>
      <c r="D994" s="3" t="n">
        <v>45815</v>
      </c>
      <c r="E994" t="inlineStr">
        <is>
          <t>中央設備株式会社</t>
        </is>
      </c>
      <c r="F994" t="inlineStr">
        <is>
          <t>愛知県</t>
        </is>
      </c>
      <c r="G994" t="inlineStr">
        <is>
          <t>ソフトウェア</t>
        </is>
      </c>
      <c r="H994" t="inlineStr">
        <is>
          <t>営業支援SaaS</t>
        </is>
      </c>
      <c r="I994" s="4" t="n">
        <v>4</v>
      </c>
      <c r="J994" s="4" t="n">
        <v>179400</v>
      </c>
      <c r="K994" s="4">
        <f>I994*J994</f>
        <v/>
      </c>
      <c r="L994" t="inlineStr">
        <is>
          <t>大型案件</t>
        </is>
      </c>
    </row>
    <row r="995">
      <c r="A995" t="inlineStr">
        <is>
          <t>SR042</t>
        </is>
      </c>
      <c r="B995" t="inlineStr">
        <is>
          <t>営業担当042</t>
        </is>
      </c>
      <c r="C995" t="inlineStr">
        <is>
          <t>第2営業部</t>
        </is>
      </c>
      <c r="D995" s="3" t="n">
        <v>45850</v>
      </c>
      <c r="E995" t="inlineStr">
        <is>
          <t>未来通信(株)</t>
        </is>
      </c>
      <c r="F995" t="inlineStr">
        <is>
          <t>福岡県</t>
        </is>
      </c>
      <c r="G995" t="inlineStr">
        <is>
          <t>ハードウェア</t>
        </is>
      </c>
      <c r="H995" t="inlineStr">
        <is>
          <t>産業用タブレット</t>
        </is>
      </c>
      <c r="I995" s="4" t="n">
        <v>1</v>
      </c>
      <c r="J995" s="4" t="n">
        <v>102500</v>
      </c>
      <c r="K995" s="4">
        <f>I995*J995</f>
        <v/>
      </c>
      <c r="L995" t="inlineStr">
        <is>
          <t>キャンペーン適用</t>
        </is>
      </c>
    </row>
    <row r="996">
      <c r="A996" t="inlineStr">
        <is>
          <t>SR042</t>
        </is>
      </c>
      <c r="B996" t="inlineStr">
        <is>
          <t>営業担当042</t>
        </is>
      </c>
      <c r="C996" t="inlineStr">
        <is>
          <t>第2営業部</t>
        </is>
      </c>
      <c r="D996" s="3" t="n">
        <v>45852</v>
      </c>
      <c r="E996" t="inlineStr">
        <is>
          <t>九州エナジー株式会社</t>
        </is>
      </c>
      <c r="F996" t="inlineStr">
        <is>
          <t>大阪府</t>
        </is>
      </c>
      <c r="G996" t="inlineStr">
        <is>
          <t>保守サービス</t>
        </is>
      </c>
      <c r="H996" t="inlineStr">
        <is>
          <t>オンサイト保守</t>
        </is>
      </c>
      <c r="I996" s="4" t="n">
        <v>2</v>
      </c>
      <c r="J996" s="4" t="n">
        <v>137000</v>
      </c>
      <c r="K996" s="4">
        <f>I996*J996</f>
        <v/>
      </c>
      <c r="L996" t="inlineStr">
        <is>
          <t>キャンペーン適用</t>
        </is>
      </c>
    </row>
    <row r="997">
      <c r="A997" t="inlineStr">
        <is>
          <t>SR042</t>
        </is>
      </c>
      <c r="B997" t="inlineStr">
        <is>
          <t>営業担当042</t>
        </is>
      </c>
      <c r="C997" t="inlineStr">
        <is>
          <t>第2営業部</t>
        </is>
      </c>
      <c r="D997" s="3" t="n">
        <v>45870</v>
      </c>
      <c r="E997" t="inlineStr">
        <is>
          <t>中央設備株式会社</t>
        </is>
      </c>
      <c r="F997" t="inlineStr">
        <is>
          <t>福岡県</t>
        </is>
      </c>
      <c r="G997" t="inlineStr">
        <is>
          <t>導入支援</t>
        </is>
      </c>
      <c r="H997" t="inlineStr">
        <is>
          <t>データ移行支援</t>
        </is>
      </c>
      <c r="I997" s="4" t="n">
        <v>4</v>
      </c>
      <c r="J997" s="4" t="n">
        <v>88000</v>
      </c>
      <c r="K997" s="4">
        <f>I997*J997</f>
        <v/>
      </c>
      <c r="L997" t="inlineStr">
        <is>
          <t>分納</t>
        </is>
      </c>
    </row>
    <row r="998">
      <c r="A998" t="inlineStr">
        <is>
          <t>SR042</t>
        </is>
      </c>
      <c r="B998" t="inlineStr">
        <is>
          <t>営業担当042</t>
        </is>
      </c>
      <c r="C998" t="inlineStr">
        <is>
          <t>第2営業部</t>
        </is>
      </c>
      <c r="D998" s="3" t="n">
        <v>45873</v>
      </c>
      <c r="E998" t="inlineStr">
        <is>
          <t>ライトホーム株式会社</t>
        </is>
      </c>
      <c r="F998" t="inlineStr">
        <is>
          <t>大阪府</t>
        </is>
      </c>
      <c r="G998" t="inlineStr">
        <is>
          <t>消耗品</t>
        </is>
      </c>
      <c r="H998" t="inlineStr">
        <is>
          <t>ラベルロール</t>
        </is>
      </c>
      <c r="I998" s="4" t="n">
        <v>8</v>
      </c>
      <c r="J998" s="4" t="n">
        <v>7480</v>
      </c>
      <c r="K998" s="4">
        <f>I998*J998</f>
        <v/>
      </c>
      <c r="L998" t="inlineStr">
        <is>
          <t>新規開拓</t>
        </is>
      </c>
    </row>
    <row r="999">
      <c r="A999" t="inlineStr">
        <is>
          <t>SR042</t>
        </is>
      </c>
      <c r="B999" t="inlineStr">
        <is>
          <t>営業担当042</t>
        </is>
      </c>
      <c r="C999" t="inlineStr">
        <is>
          <t>第2営業部</t>
        </is>
      </c>
      <c r="D999" s="3" t="n">
        <v>45919</v>
      </c>
      <c r="E999" t="inlineStr">
        <is>
          <t>桜井メディカル株式会社</t>
        </is>
      </c>
      <c r="F999" t="inlineStr">
        <is>
          <t>神奈川県</t>
        </is>
      </c>
      <c r="G999" t="inlineStr">
        <is>
          <t>消耗品</t>
        </is>
      </c>
      <c r="H999" t="inlineStr">
        <is>
          <t>保守用バッテリー</t>
        </is>
      </c>
      <c r="I999" s="4" t="n">
        <v>1</v>
      </c>
      <c r="J999" s="4" t="n">
        <v>12630</v>
      </c>
      <c r="K999" s="4">
        <f>I999*J999</f>
        <v/>
      </c>
      <c r="L999" t="inlineStr"/>
    </row>
    <row r="1000">
      <c r="A1000" t="inlineStr">
        <is>
          <t>SR042</t>
        </is>
      </c>
      <c r="B1000" t="inlineStr">
        <is>
          <t>営業担当042</t>
        </is>
      </c>
      <c r="C1000" t="inlineStr">
        <is>
          <t>第2営業部</t>
        </is>
      </c>
      <c r="D1000" s="3" t="n">
        <v>45926</v>
      </c>
      <c r="E1000" t="inlineStr">
        <is>
          <t>福岡流通株式会社</t>
        </is>
      </c>
      <c r="F1000" t="inlineStr">
        <is>
          <t>京都府</t>
        </is>
      </c>
      <c r="G1000" t="inlineStr">
        <is>
          <t>保守サービス</t>
        </is>
      </c>
      <c r="H1000" t="inlineStr">
        <is>
          <t>年間保守契約</t>
        </is>
      </c>
      <c r="I1000" s="4" t="n">
        <v>5</v>
      </c>
      <c r="J1000" s="4" t="n">
        <v>102600</v>
      </c>
      <c r="K1000" s="4">
        <f>I1000*J1000</f>
        <v/>
      </c>
      <c r="L1000" t="inlineStr"/>
    </row>
    <row r="1001">
      <c r="A1001" t="inlineStr">
        <is>
          <t>SR042</t>
        </is>
      </c>
      <c r="B1001" t="inlineStr">
        <is>
          <t>営業担当042</t>
        </is>
      </c>
      <c r="C1001" t="inlineStr">
        <is>
          <t>第2営業部</t>
        </is>
      </c>
      <c r="D1001" s="3" t="n">
        <v>45934</v>
      </c>
      <c r="E1001" t="inlineStr">
        <is>
          <t>アーク電機(株)</t>
        </is>
      </c>
      <c r="F1001" t="inlineStr">
        <is>
          <t>広島県</t>
        </is>
      </c>
      <c r="G1001" t="inlineStr">
        <is>
          <t>消耗品</t>
        </is>
      </c>
      <c r="H1001" t="inlineStr">
        <is>
          <t>交換用ヘッド</t>
        </is>
      </c>
      <c r="I1001" s="4" t="n">
        <v>12</v>
      </c>
      <c r="J1001" s="4" t="n">
        <v>34700</v>
      </c>
      <c r="K1001" s="4">
        <f>I1001*J1001</f>
        <v/>
      </c>
      <c r="L1001" t="inlineStr">
        <is>
          <t>リピート受注</t>
        </is>
      </c>
    </row>
    <row r="1002">
      <c r="A1002" t="inlineStr">
        <is>
          <t>SR042</t>
        </is>
      </c>
      <c r="B1002" t="inlineStr">
        <is>
          <t>営業担当042</t>
        </is>
      </c>
      <c r="C1002" t="inlineStr">
        <is>
          <t>第2営業部</t>
        </is>
      </c>
      <c r="D1002" s="3" t="n">
        <v>45945</v>
      </c>
      <c r="E1002" t="inlineStr">
        <is>
          <t>白峰化学株式会社</t>
        </is>
      </c>
      <c r="F1002" t="inlineStr">
        <is>
          <t>大阪府</t>
        </is>
      </c>
      <c r="G1002" t="inlineStr">
        <is>
          <t>消耗品</t>
        </is>
      </c>
      <c r="H1002" t="inlineStr">
        <is>
          <t>交換用ヘッド</t>
        </is>
      </c>
      <c r="I1002" s="4" t="n">
        <v>13</v>
      </c>
      <c r="J1002" s="4" t="n">
        <v>16170</v>
      </c>
      <c r="K1002" s="4">
        <f>I1002*J1002</f>
        <v/>
      </c>
      <c r="L1002" t="inlineStr">
        <is>
          <t>値引き調整あり</t>
        </is>
      </c>
    </row>
    <row r="1003">
      <c r="A1003" t="inlineStr">
        <is>
          <t>SR042</t>
        </is>
      </c>
      <c r="B1003" t="inlineStr">
        <is>
          <t>営業担当042</t>
        </is>
      </c>
      <c r="C1003" t="inlineStr">
        <is>
          <t>第2営業部</t>
        </is>
      </c>
      <c r="D1003" s="3" t="n">
        <v>45963</v>
      </c>
      <c r="E1003" t="inlineStr">
        <is>
          <t>ネクストソリューション(株)</t>
        </is>
      </c>
      <c r="F1003" t="inlineStr">
        <is>
          <t>広島県</t>
        </is>
      </c>
      <c r="G1003" t="inlineStr">
        <is>
          <t>消耗品</t>
        </is>
      </c>
      <c r="H1003" t="inlineStr">
        <is>
          <t>交換用ヘッド</t>
        </is>
      </c>
      <c r="I1003" s="4" t="n">
        <v>12</v>
      </c>
      <c r="J1003" s="4" t="n">
        <v>37040</v>
      </c>
      <c r="K1003" s="4">
        <f>I1003*J1003</f>
        <v/>
      </c>
      <c r="L1003" t="inlineStr">
        <is>
          <t>分納</t>
        </is>
      </c>
    </row>
    <row r="1004">
      <c r="A1004" t="inlineStr">
        <is>
          <t>SR042</t>
        </is>
      </c>
      <c r="B1004" t="inlineStr">
        <is>
          <t>営業担当042</t>
        </is>
      </c>
      <c r="C1004" t="inlineStr">
        <is>
          <t>第2営業部</t>
        </is>
      </c>
      <c r="D1004" s="3" t="n">
        <v>45963</v>
      </c>
      <c r="E1004" t="inlineStr">
        <is>
          <t>大和精機株式会社</t>
        </is>
      </c>
      <c r="F1004" t="inlineStr">
        <is>
          <t>福岡県</t>
        </is>
      </c>
      <c r="G1004" t="inlineStr">
        <is>
          <t>ソフトウェア</t>
        </is>
      </c>
      <c r="H1004" t="inlineStr">
        <is>
          <t>営業支援SaaS</t>
        </is>
      </c>
      <c r="I1004" s="4" t="n">
        <v>3</v>
      </c>
      <c r="J1004" s="4" t="n">
        <v>184300</v>
      </c>
      <c r="K1004" s="4">
        <f>I1004*J1004</f>
        <v/>
      </c>
      <c r="L1004" t="inlineStr">
        <is>
          <t>リピート受注</t>
        </is>
      </c>
    </row>
    <row r="1005">
      <c r="A1005" t="inlineStr">
        <is>
          <t>SR042</t>
        </is>
      </c>
      <c r="B1005" t="inlineStr">
        <is>
          <t>営業担当042</t>
        </is>
      </c>
      <c r="C1005" t="inlineStr">
        <is>
          <t>第2営業部</t>
        </is>
      </c>
      <c r="D1005" s="3" t="n">
        <v>45999</v>
      </c>
      <c r="E1005" t="inlineStr">
        <is>
          <t>北斗産業有限会社</t>
        </is>
      </c>
      <c r="F1005" t="inlineStr">
        <is>
          <t>東京都</t>
        </is>
      </c>
      <c r="G1005" t="inlineStr">
        <is>
          <t>導入支援</t>
        </is>
      </c>
      <c r="H1005" t="inlineStr">
        <is>
          <t>操作研修パック</t>
        </is>
      </c>
      <c r="I1005" s="4" t="n">
        <v>3</v>
      </c>
      <c r="J1005" s="4" t="n">
        <v>143300</v>
      </c>
      <c r="K1005" s="4">
        <f>I1005*J1005</f>
        <v/>
      </c>
      <c r="L1005" t="inlineStr"/>
    </row>
    <row r="1006">
      <c r="A1006" t="inlineStr">
        <is>
          <t>SR042</t>
        </is>
      </c>
      <c r="B1006" t="inlineStr">
        <is>
          <t>営業担当042</t>
        </is>
      </c>
      <c r="C1006" t="inlineStr">
        <is>
          <t>第2営業部</t>
        </is>
      </c>
      <c r="D1006" s="3" t="n">
        <v>46014</v>
      </c>
      <c r="E1006" t="inlineStr">
        <is>
          <t>白峰化学有限会社</t>
        </is>
      </c>
      <c r="F1006" t="inlineStr">
        <is>
          <t>広島県</t>
        </is>
      </c>
      <c r="G1006" t="inlineStr">
        <is>
          <t>ソフトウェア</t>
        </is>
      </c>
      <c r="H1006" t="inlineStr">
        <is>
          <t>営業支援SaaS</t>
        </is>
      </c>
      <c r="I1006" s="4" t="n">
        <v>3</v>
      </c>
      <c r="J1006" s="4" t="n">
        <v>257000</v>
      </c>
      <c r="K1006" s="4">
        <f>I1006*J1006</f>
        <v/>
      </c>
      <c r="L1006" t="inlineStr"/>
    </row>
    <row r="1007">
      <c r="A1007" t="inlineStr">
        <is>
          <t>SR042</t>
        </is>
      </c>
      <c r="B1007" t="inlineStr">
        <is>
          <t>営業担当042</t>
        </is>
      </c>
      <c r="C1007" t="inlineStr">
        <is>
          <t>第2営業部</t>
        </is>
      </c>
      <c r="D1007" s="3" t="n">
        <v>46026</v>
      </c>
      <c r="E1007" t="inlineStr">
        <is>
          <t>東洋フーズ(株)</t>
        </is>
      </c>
      <c r="F1007" t="inlineStr">
        <is>
          <t>宮城県</t>
        </is>
      </c>
      <c r="G1007" t="inlineStr">
        <is>
          <t>ソフトウェア</t>
        </is>
      </c>
      <c r="H1007" t="inlineStr">
        <is>
          <t>営業支援SaaS</t>
        </is>
      </c>
      <c r="I1007" s="4" t="n">
        <v>4</v>
      </c>
      <c r="J1007" s="4" t="n">
        <v>259800</v>
      </c>
      <c r="K1007" s="4">
        <f>I1007*J1007</f>
        <v/>
      </c>
      <c r="L1007" t="inlineStr">
        <is>
          <t>リピート受注</t>
        </is>
      </c>
    </row>
    <row r="1008">
      <c r="A1008" t="inlineStr">
        <is>
          <t>SR042</t>
        </is>
      </c>
      <c r="B1008" t="inlineStr">
        <is>
          <t>営業担当042</t>
        </is>
      </c>
      <c r="C1008" t="inlineStr">
        <is>
          <t>第2営業部</t>
        </is>
      </c>
      <c r="D1008" s="3" t="n">
        <v>46031</v>
      </c>
      <c r="E1008" t="inlineStr">
        <is>
          <t>アーク電機(株)</t>
        </is>
      </c>
      <c r="F1008" t="inlineStr">
        <is>
          <t>大阪府</t>
        </is>
      </c>
      <c r="G1008" t="inlineStr">
        <is>
          <t>導入支援</t>
        </is>
      </c>
      <c r="H1008" t="inlineStr">
        <is>
          <t>操作研修パック</t>
        </is>
      </c>
      <c r="I1008" s="4" t="n">
        <v>3</v>
      </c>
      <c r="J1008" s="4" t="n">
        <v>121800</v>
      </c>
      <c r="K1008" s="4">
        <f>I1008*J1008</f>
        <v/>
      </c>
      <c r="L1008" t="inlineStr">
        <is>
          <t>キャンペーン適用</t>
        </is>
      </c>
    </row>
    <row r="1009">
      <c r="A1009" t="inlineStr">
        <is>
          <t>SR042</t>
        </is>
      </c>
      <c r="B1009" t="inlineStr">
        <is>
          <t>営業担当042</t>
        </is>
      </c>
      <c r="C1009" t="inlineStr">
        <is>
          <t>第2営業部</t>
        </is>
      </c>
      <c r="D1009" s="3" t="n">
        <v>46054</v>
      </c>
      <c r="E1009" t="inlineStr">
        <is>
          <t>西日本機工(株)</t>
        </is>
      </c>
      <c r="F1009" t="inlineStr">
        <is>
          <t>愛知県</t>
        </is>
      </c>
      <c r="G1009" t="inlineStr">
        <is>
          <t>導入支援</t>
        </is>
      </c>
      <c r="H1009" t="inlineStr">
        <is>
          <t>データ移行支援</t>
        </is>
      </c>
      <c r="I1009" s="4" t="n">
        <v>4</v>
      </c>
      <c r="J1009" s="4" t="n">
        <v>175000</v>
      </c>
      <c r="K1009" s="4">
        <f>I1009*J1009</f>
        <v/>
      </c>
      <c r="L1009" t="inlineStr">
        <is>
          <t>値引き調整あり</t>
        </is>
      </c>
    </row>
    <row r="1010">
      <c r="A1010" t="inlineStr">
        <is>
          <t>SR042</t>
        </is>
      </c>
      <c r="B1010" t="inlineStr">
        <is>
          <t>営業担当042</t>
        </is>
      </c>
      <c r="C1010" t="inlineStr">
        <is>
          <t>第2営業部</t>
        </is>
      </c>
      <c r="D1010" s="3" t="n">
        <v>46070</v>
      </c>
      <c r="E1010" t="inlineStr">
        <is>
          <t>西日本機工株式会社</t>
        </is>
      </c>
      <c r="F1010" t="inlineStr">
        <is>
          <t>神奈川県</t>
        </is>
      </c>
      <c r="G1010" t="inlineStr">
        <is>
          <t>保守サービス</t>
        </is>
      </c>
      <c r="H1010" t="inlineStr">
        <is>
          <t>ヘルプデスク契約</t>
        </is>
      </c>
      <c r="I1010" s="4" t="n">
        <v>4</v>
      </c>
      <c r="J1010" s="4" t="n">
        <v>72900</v>
      </c>
      <c r="K1010" s="4">
        <f>I1010*J1010</f>
        <v/>
      </c>
      <c r="L1010" t="inlineStr">
        <is>
          <t>大型案件</t>
        </is>
      </c>
    </row>
    <row r="1011">
      <c r="A1011" t="inlineStr">
        <is>
          <t>SR042</t>
        </is>
      </c>
      <c r="B1011" t="inlineStr">
        <is>
          <t>営業担当042</t>
        </is>
      </c>
      <c r="C1011" t="inlineStr">
        <is>
          <t>第2営業部</t>
        </is>
      </c>
      <c r="D1011" s="3" t="n">
        <v>46086</v>
      </c>
      <c r="E1011" t="inlineStr">
        <is>
          <t>大和精機(株)</t>
        </is>
      </c>
      <c r="F1011" t="inlineStr">
        <is>
          <t>愛知県</t>
        </is>
      </c>
      <c r="G1011" t="inlineStr">
        <is>
          <t>ハードウェア</t>
        </is>
      </c>
      <c r="H1011" t="inlineStr">
        <is>
          <t>ネットワークカメラ</t>
        </is>
      </c>
      <c r="I1011" s="4" t="n">
        <v>4</v>
      </c>
      <c r="J1011" s="4" t="n">
        <v>65900</v>
      </c>
      <c r="K1011" s="4">
        <f>I1011*J1011</f>
        <v/>
      </c>
      <c r="L1011" t="inlineStr">
        <is>
          <t>分納</t>
        </is>
      </c>
    </row>
    <row r="1012">
      <c r="A1012" t="inlineStr">
        <is>
          <t>SR042</t>
        </is>
      </c>
      <c r="B1012" t="inlineStr">
        <is>
          <t>営業担当042</t>
        </is>
      </c>
      <c r="C1012" t="inlineStr">
        <is>
          <t>第2営業部</t>
        </is>
      </c>
      <c r="D1012" s="3" t="n">
        <v>46089</v>
      </c>
      <c r="E1012" t="inlineStr">
        <is>
          <t>星和商会有限会社</t>
        </is>
      </c>
      <c r="F1012" t="inlineStr">
        <is>
          <t>北海道</t>
        </is>
      </c>
      <c r="G1012" t="inlineStr">
        <is>
          <t>消耗品</t>
        </is>
      </c>
      <c r="H1012" t="inlineStr">
        <is>
          <t>交換用ヘッド</t>
        </is>
      </c>
      <c r="I1012" s="4" t="n">
        <v>11</v>
      </c>
      <c r="J1012" s="4" t="n">
        <v>31180</v>
      </c>
      <c r="K1012" s="4">
        <f>I1012*J1012</f>
        <v/>
      </c>
      <c r="L1012" t="inlineStr"/>
    </row>
    <row r="1013">
      <c r="A1013" t="inlineStr">
        <is>
          <t>SR043</t>
        </is>
      </c>
      <c r="B1013" t="inlineStr">
        <is>
          <t>営業担当043</t>
        </is>
      </c>
      <c r="C1013" t="inlineStr">
        <is>
          <t>第3営業部</t>
        </is>
      </c>
      <c r="D1013" s="3" t="n">
        <v>45770</v>
      </c>
      <c r="E1013" t="inlineStr">
        <is>
          <t>日新サービス有限会社</t>
        </is>
      </c>
      <c r="F1013" t="inlineStr">
        <is>
          <t>愛知県</t>
        </is>
      </c>
      <c r="G1013" t="inlineStr">
        <is>
          <t>ソフトウェア</t>
        </is>
      </c>
      <c r="H1013" t="inlineStr">
        <is>
          <t>帳票自動化ツール</t>
        </is>
      </c>
      <c r="I1013" s="4" t="n">
        <v>5</v>
      </c>
      <c r="J1013" s="4" t="n">
        <v>388500</v>
      </c>
      <c r="K1013" s="4">
        <f>I1013*J1013</f>
        <v/>
      </c>
      <c r="L1013" t="inlineStr">
        <is>
          <t>大型案件</t>
        </is>
      </c>
    </row>
    <row r="1014">
      <c r="A1014" t="inlineStr">
        <is>
          <t>SR043</t>
        </is>
      </c>
      <c r="B1014" t="inlineStr">
        <is>
          <t>営業担当043</t>
        </is>
      </c>
      <c r="C1014" t="inlineStr">
        <is>
          <t>第3営業部</t>
        </is>
      </c>
      <c r="D1014" s="3" t="n">
        <v>45775</v>
      </c>
      <c r="E1014" t="inlineStr">
        <is>
          <t>大和精機有限会社</t>
        </is>
      </c>
      <c r="F1014" t="inlineStr">
        <is>
          <t>北海道</t>
        </is>
      </c>
      <c r="G1014" t="inlineStr">
        <is>
          <t>ソフトウェア</t>
        </is>
      </c>
      <c r="H1014" t="inlineStr">
        <is>
          <t>AIチャットボット</t>
        </is>
      </c>
      <c r="I1014" s="4" t="n">
        <v>2</v>
      </c>
      <c r="J1014" s="4" t="n">
        <v>880900</v>
      </c>
      <c r="K1014" s="4">
        <f>I1014*J1014</f>
        <v/>
      </c>
      <c r="L1014" t="inlineStr"/>
    </row>
    <row r="1015">
      <c r="A1015" t="inlineStr">
        <is>
          <t>SR043</t>
        </is>
      </c>
      <c r="B1015" t="inlineStr">
        <is>
          <t>営業担当043</t>
        </is>
      </c>
      <c r="C1015" t="inlineStr">
        <is>
          <t>第3営業部</t>
        </is>
      </c>
      <c r="D1015" s="3" t="n">
        <v>45800</v>
      </c>
      <c r="E1015" t="inlineStr">
        <is>
          <t>大和精機株式会社</t>
        </is>
      </c>
      <c r="F1015" t="inlineStr">
        <is>
          <t>大阪府</t>
        </is>
      </c>
      <c r="G1015" t="inlineStr">
        <is>
          <t>保守サービス</t>
        </is>
      </c>
      <c r="H1015" t="inlineStr">
        <is>
          <t>オンサイト保守</t>
        </is>
      </c>
      <c r="I1015" s="4" t="n">
        <v>4</v>
      </c>
      <c r="J1015" s="4" t="n">
        <v>73600</v>
      </c>
      <c r="K1015" s="4">
        <f>I1015*J1015</f>
        <v/>
      </c>
      <c r="L1015" t="inlineStr">
        <is>
          <t>キャンペーン適用</t>
        </is>
      </c>
    </row>
    <row r="1016">
      <c r="A1016" t="inlineStr">
        <is>
          <t>SR043</t>
        </is>
      </c>
      <c r="B1016" t="inlineStr">
        <is>
          <t>営業担当043</t>
        </is>
      </c>
      <c r="C1016" t="inlineStr">
        <is>
          <t>第3営業部</t>
        </is>
      </c>
      <c r="D1016" s="3" t="n">
        <v>45804</v>
      </c>
      <c r="E1016" t="inlineStr">
        <is>
          <t>福岡流通(株)</t>
        </is>
      </c>
      <c r="F1016" t="inlineStr">
        <is>
          <t>大阪府</t>
        </is>
      </c>
      <c r="G1016" t="inlineStr">
        <is>
          <t>ハードウェア</t>
        </is>
      </c>
      <c r="H1016" t="inlineStr">
        <is>
          <t>ネットワークカメラ</t>
        </is>
      </c>
      <c r="I1016" s="4" t="n">
        <v>4</v>
      </c>
      <c r="J1016" s="4" t="n">
        <v>32300</v>
      </c>
      <c r="K1016" s="4">
        <f>I1016*J1016</f>
        <v/>
      </c>
      <c r="L1016" t="inlineStr"/>
    </row>
    <row r="1017">
      <c r="A1017" t="inlineStr">
        <is>
          <t>SR043</t>
        </is>
      </c>
      <c r="B1017" t="inlineStr">
        <is>
          <t>営業担当043</t>
        </is>
      </c>
      <c r="C1017" t="inlineStr">
        <is>
          <t>第3営業部</t>
        </is>
      </c>
      <c r="D1017" s="3" t="n">
        <v>45810</v>
      </c>
      <c r="E1017" t="inlineStr">
        <is>
          <t>アーク電機株式会社</t>
        </is>
      </c>
      <c r="F1017" t="inlineStr">
        <is>
          <t>広島県</t>
        </is>
      </c>
      <c r="G1017" t="inlineStr">
        <is>
          <t>ハードウェア</t>
        </is>
      </c>
      <c r="H1017" t="inlineStr">
        <is>
          <t>ネットワークカメラ</t>
        </is>
      </c>
      <c r="I1017" s="4" t="n">
        <v>1</v>
      </c>
      <c r="J1017" s="4" t="n">
        <v>61800</v>
      </c>
      <c r="K1017" s="4">
        <f>I1017*J1017</f>
        <v/>
      </c>
      <c r="L1017" t="inlineStr">
        <is>
          <t>値引き調整あり</t>
        </is>
      </c>
    </row>
    <row r="1018">
      <c r="A1018" t="inlineStr">
        <is>
          <t>SR043</t>
        </is>
      </c>
      <c r="B1018" t="inlineStr">
        <is>
          <t>営業担当043</t>
        </is>
      </c>
      <c r="C1018" t="inlineStr">
        <is>
          <t>第3営業部</t>
        </is>
      </c>
      <c r="D1018" s="3" t="n">
        <v>45810</v>
      </c>
      <c r="E1018" t="inlineStr">
        <is>
          <t>日新サービス株式会社</t>
        </is>
      </c>
      <c r="F1018" t="inlineStr">
        <is>
          <t>福岡県</t>
        </is>
      </c>
      <c r="G1018" t="inlineStr">
        <is>
          <t>消耗品</t>
        </is>
      </c>
      <c r="H1018" t="inlineStr">
        <is>
          <t>ラベルロール</t>
        </is>
      </c>
      <c r="I1018" s="4" t="n">
        <v>11</v>
      </c>
      <c r="J1018" s="4" t="n">
        <v>8250</v>
      </c>
      <c r="K1018" s="4">
        <f>I1018*J1018</f>
        <v/>
      </c>
      <c r="L1018" t="inlineStr">
        <is>
          <t>キャンペーン適用</t>
        </is>
      </c>
    </row>
    <row r="1019">
      <c r="A1019" t="inlineStr">
        <is>
          <t>SR043</t>
        </is>
      </c>
      <c r="B1019" t="inlineStr">
        <is>
          <t>営業担当043</t>
        </is>
      </c>
      <c r="C1019" t="inlineStr">
        <is>
          <t>第3営業部</t>
        </is>
      </c>
      <c r="D1019" s="3" t="n">
        <v>45851</v>
      </c>
      <c r="E1019" t="inlineStr">
        <is>
          <t>星和商会有限会社</t>
        </is>
      </c>
      <c r="F1019" t="inlineStr">
        <is>
          <t>京都府</t>
        </is>
      </c>
      <c r="G1019" t="inlineStr">
        <is>
          <t>導入支援</t>
        </is>
      </c>
      <c r="H1019" t="inlineStr">
        <is>
          <t>データ移行支援</t>
        </is>
      </c>
      <c r="I1019" s="4" t="n">
        <v>5</v>
      </c>
      <c r="J1019" s="4" t="n">
        <v>284300</v>
      </c>
      <c r="K1019" s="4">
        <f>I1019*J1019</f>
        <v/>
      </c>
      <c r="L1019" t="inlineStr">
        <is>
          <t>キャンペーン適用</t>
        </is>
      </c>
    </row>
    <row r="1020">
      <c r="A1020" t="inlineStr">
        <is>
          <t>SR043</t>
        </is>
      </c>
      <c r="B1020" t="inlineStr">
        <is>
          <t>営業担当043</t>
        </is>
      </c>
      <c r="C1020" t="inlineStr">
        <is>
          <t>第3営業部</t>
        </is>
      </c>
      <c r="D1020" s="3" t="n">
        <v>45851</v>
      </c>
      <c r="E1020" t="inlineStr">
        <is>
          <t>九州エナジー(株)</t>
        </is>
      </c>
      <c r="F1020" t="inlineStr">
        <is>
          <t>北海道</t>
        </is>
      </c>
      <c r="G1020" t="inlineStr">
        <is>
          <t>保守サービス</t>
        </is>
      </c>
      <c r="H1020" t="inlineStr">
        <is>
          <t>年間保守契約</t>
        </is>
      </c>
      <c r="I1020" s="4" t="n">
        <v>3</v>
      </c>
      <c r="J1020" s="4" t="n">
        <v>276100</v>
      </c>
      <c r="K1020" s="4">
        <f>I1020*J1020</f>
        <v/>
      </c>
      <c r="L1020" t="inlineStr"/>
    </row>
    <row r="1021">
      <c r="A1021" t="inlineStr">
        <is>
          <t>SR043</t>
        </is>
      </c>
      <c r="B1021" t="inlineStr">
        <is>
          <t>営業担当043</t>
        </is>
      </c>
      <c r="C1021" t="inlineStr">
        <is>
          <t>第3営業部</t>
        </is>
      </c>
      <c r="D1021" s="3" t="n">
        <v>45884</v>
      </c>
      <c r="E1021" t="inlineStr">
        <is>
          <t>ネクストソリューション有限会社</t>
        </is>
      </c>
      <c r="F1021" t="inlineStr">
        <is>
          <t>宮城県</t>
        </is>
      </c>
      <c r="G1021" t="inlineStr">
        <is>
          <t>ハードウェア</t>
        </is>
      </c>
      <c r="H1021" t="inlineStr">
        <is>
          <t>小型ハンディ端末</t>
        </is>
      </c>
      <c r="I1021" s="4" t="n">
        <v>5</v>
      </c>
      <c r="J1021" s="4" t="n">
        <v>58000</v>
      </c>
      <c r="K1021" s="4">
        <f>I1021*J1021</f>
        <v/>
      </c>
      <c r="L1021" t="inlineStr">
        <is>
          <t>分納</t>
        </is>
      </c>
    </row>
    <row r="1022">
      <c r="A1022" t="inlineStr">
        <is>
          <t>SR043</t>
        </is>
      </c>
      <c r="B1022" t="inlineStr">
        <is>
          <t>営業担当043</t>
        </is>
      </c>
      <c r="C1022" t="inlineStr">
        <is>
          <t>第3営業部</t>
        </is>
      </c>
      <c r="D1022" s="3" t="n">
        <v>45892</v>
      </c>
      <c r="E1022" t="inlineStr">
        <is>
          <t>日新サービス(株)</t>
        </is>
      </c>
      <c r="F1022" t="inlineStr">
        <is>
          <t>愛知県</t>
        </is>
      </c>
      <c r="G1022" t="inlineStr">
        <is>
          <t>消耗品</t>
        </is>
      </c>
      <c r="H1022" t="inlineStr">
        <is>
          <t>交換用ヘッド</t>
        </is>
      </c>
      <c r="I1022" s="4" t="n">
        <v>13</v>
      </c>
      <c r="J1022" s="4" t="n">
        <v>37320</v>
      </c>
      <c r="K1022" s="4">
        <f>I1022*J1022</f>
        <v/>
      </c>
      <c r="L1022" t="inlineStr">
        <is>
          <t>分納</t>
        </is>
      </c>
    </row>
    <row r="1023">
      <c r="A1023" t="inlineStr">
        <is>
          <t>SR043</t>
        </is>
      </c>
      <c r="B1023" t="inlineStr">
        <is>
          <t>営業担当043</t>
        </is>
      </c>
      <c r="C1023" t="inlineStr">
        <is>
          <t>第3営業部</t>
        </is>
      </c>
      <c r="D1023" s="3" t="n">
        <v>45923</v>
      </c>
      <c r="E1023" t="inlineStr">
        <is>
          <t>福岡流通有限会社</t>
        </is>
      </c>
      <c r="F1023" t="inlineStr">
        <is>
          <t>宮城県</t>
        </is>
      </c>
      <c r="G1023" t="inlineStr">
        <is>
          <t>ハードウェア</t>
        </is>
      </c>
      <c r="H1023" t="inlineStr">
        <is>
          <t>ラベルプリンター</t>
        </is>
      </c>
      <c r="I1023" s="4" t="n">
        <v>1</v>
      </c>
      <c r="J1023" s="4" t="n">
        <v>39800</v>
      </c>
      <c r="K1023" s="4">
        <f>I1023*J1023</f>
        <v/>
      </c>
      <c r="L1023" t="inlineStr">
        <is>
          <t>値引き調整あり</t>
        </is>
      </c>
    </row>
    <row r="1024">
      <c r="A1024" t="inlineStr">
        <is>
          <t>SR043</t>
        </is>
      </c>
      <c r="B1024" t="inlineStr">
        <is>
          <t>営業担当043</t>
        </is>
      </c>
      <c r="C1024" t="inlineStr">
        <is>
          <t>第3営業部</t>
        </is>
      </c>
      <c r="D1024" s="3" t="n">
        <v>45923</v>
      </c>
      <c r="E1024" t="inlineStr">
        <is>
          <t>白峰化学株式会社</t>
        </is>
      </c>
      <c r="F1024" t="inlineStr">
        <is>
          <t>京都府</t>
        </is>
      </c>
      <c r="G1024" t="inlineStr">
        <is>
          <t>消耗品</t>
        </is>
      </c>
      <c r="H1024" t="inlineStr">
        <is>
          <t>ラベルロール</t>
        </is>
      </c>
      <c r="I1024" s="4" t="n">
        <v>12</v>
      </c>
      <c r="J1024" s="4" t="n">
        <v>6550</v>
      </c>
      <c r="K1024" s="4">
        <f>I1024*J1024</f>
        <v/>
      </c>
      <c r="L1024" t="inlineStr">
        <is>
          <t>分納</t>
        </is>
      </c>
    </row>
    <row r="1025">
      <c r="A1025" t="inlineStr">
        <is>
          <t>SR043</t>
        </is>
      </c>
      <c r="B1025" t="inlineStr">
        <is>
          <t>営業担当043</t>
        </is>
      </c>
      <c r="C1025" t="inlineStr">
        <is>
          <t>第3営業部</t>
        </is>
      </c>
      <c r="D1025" s="3" t="n">
        <v>45941</v>
      </c>
      <c r="E1025" t="inlineStr">
        <is>
          <t>日新サービス有限会社</t>
        </is>
      </c>
      <c r="F1025" t="inlineStr">
        <is>
          <t>福岡県</t>
        </is>
      </c>
      <c r="G1025" t="inlineStr">
        <is>
          <t>消耗品</t>
        </is>
      </c>
      <c r="H1025" t="inlineStr">
        <is>
          <t>交換用ヘッド</t>
        </is>
      </c>
      <c r="I1025" s="4" t="n">
        <v>5</v>
      </c>
      <c r="J1025" s="4" t="n">
        <v>20750</v>
      </c>
      <c r="K1025" s="4">
        <f>I1025*J1025</f>
        <v/>
      </c>
      <c r="L1025" t="inlineStr"/>
    </row>
    <row r="1026">
      <c r="A1026" t="inlineStr">
        <is>
          <t>SR043</t>
        </is>
      </c>
      <c r="B1026" t="inlineStr">
        <is>
          <t>営業担当043</t>
        </is>
      </c>
      <c r="C1026" t="inlineStr">
        <is>
          <t>第3営業部</t>
        </is>
      </c>
      <c r="D1026" s="3" t="n">
        <v>45946</v>
      </c>
      <c r="E1026" t="inlineStr">
        <is>
          <t>北斗産業有限会社</t>
        </is>
      </c>
      <c r="F1026" t="inlineStr">
        <is>
          <t>福岡県</t>
        </is>
      </c>
      <c r="G1026" t="inlineStr">
        <is>
          <t>消耗品</t>
        </is>
      </c>
      <c r="H1026" t="inlineStr">
        <is>
          <t>保守用バッテリー</t>
        </is>
      </c>
      <c r="I1026" s="4" t="n">
        <v>15</v>
      </c>
      <c r="J1026" s="4" t="n">
        <v>8230</v>
      </c>
      <c r="K1026" s="4">
        <f>I1026*J1026</f>
        <v/>
      </c>
      <c r="L1026" t="inlineStr">
        <is>
          <t>キャンペーン適用</t>
        </is>
      </c>
    </row>
    <row r="1027">
      <c r="A1027" t="inlineStr">
        <is>
          <t>SR043</t>
        </is>
      </c>
      <c r="B1027" t="inlineStr">
        <is>
          <t>営業担当043</t>
        </is>
      </c>
      <c r="C1027" t="inlineStr">
        <is>
          <t>第3営業部</t>
        </is>
      </c>
      <c r="D1027" s="3" t="n">
        <v>45965</v>
      </c>
      <c r="E1027" t="inlineStr">
        <is>
          <t>中央設備(株)</t>
        </is>
      </c>
      <c r="F1027" t="inlineStr">
        <is>
          <t>兵庫県</t>
        </is>
      </c>
      <c r="G1027" t="inlineStr">
        <is>
          <t>保守サービス</t>
        </is>
      </c>
      <c r="H1027" t="inlineStr">
        <is>
          <t>年間保守契約</t>
        </is>
      </c>
      <c r="I1027" s="4" t="n">
        <v>5</v>
      </c>
      <c r="J1027" s="4" t="n">
        <v>122700</v>
      </c>
      <c r="K1027" s="4">
        <f>I1027*J1027</f>
        <v/>
      </c>
      <c r="L1027" t="inlineStr"/>
    </row>
    <row r="1028">
      <c r="A1028" t="inlineStr">
        <is>
          <t>SR043</t>
        </is>
      </c>
      <c r="B1028" t="inlineStr">
        <is>
          <t>営業担当043</t>
        </is>
      </c>
      <c r="C1028" t="inlineStr">
        <is>
          <t>第3営業部</t>
        </is>
      </c>
      <c r="D1028" s="3" t="n">
        <v>45978</v>
      </c>
      <c r="E1028" t="inlineStr">
        <is>
          <t>九州エナジー(株)</t>
        </is>
      </c>
      <c r="F1028" t="inlineStr">
        <is>
          <t>京都府</t>
        </is>
      </c>
      <c r="G1028" t="inlineStr">
        <is>
          <t>保守サービス</t>
        </is>
      </c>
      <c r="H1028" t="inlineStr">
        <is>
          <t>ヘルプデスク契約</t>
        </is>
      </c>
      <c r="I1028" s="4" t="n">
        <v>2</v>
      </c>
      <c r="J1028" s="4" t="n">
        <v>38300</v>
      </c>
      <c r="K1028" s="4">
        <f>I1028*J1028</f>
        <v/>
      </c>
      <c r="L1028" t="inlineStr"/>
    </row>
    <row r="1029">
      <c r="A1029" t="inlineStr">
        <is>
          <t>SR043</t>
        </is>
      </c>
      <c r="B1029" t="inlineStr">
        <is>
          <t>営業担当043</t>
        </is>
      </c>
      <c r="C1029" t="inlineStr">
        <is>
          <t>第3営業部</t>
        </is>
      </c>
      <c r="D1029" s="3" t="n">
        <v>46003</v>
      </c>
      <c r="E1029" t="inlineStr">
        <is>
          <t>サンライズ建設(株)</t>
        </is>
      </c>
      <c r="F1029" t="inlineStr">
        <is>
          <t>神奈川県</t>
        </is>
      </c>
      <c r="G1029" t="inlineStr">
        <is>
          <t>保守サービス</t>
        </is>
      </c>
      <c r="H1029" t="inlineStr">
        <is>
          <t>オンサイト保守</t>
        </is>
      </c>
      <c r="I1029" s="4" t="n">
        <v>1</v>
      </c>
      <c r="J1029" s="4" t="n">
        <v>69200</v>
      </c>
      <c r="K1029" s="4">
        <f>I1029*J1029</f>
        <v/>
      </c>
      <c r="L1029" t="inlineStr"/>
    </row>
    <row r="1030">
      <c r="A1030" t="inlineStr">
        <is>
          <t>SR043</t>
        </is>
      </c>
      <c r="B1030" t="inlineStr">
        <is>
          <t>営業担当043</t>
        </is>
      </c>
      <c r="C1030" t="inlineStr">
        <is>
          <t>第3営業部</t>
        </is>
      </c>
      <c r="D1030" s="3" t="n">
        <v>46017</v>
      </c>
      <c r="E1030" t="inlineStr">
        <is>
          <t>九州エナジー有限会社</t>
        </is>
      </c>
      <c r="F1030" t="inlineStr">
        <is>
          <t>神奈川県</t>
        </is>
      </c>
      <c r="G1030" t="inlineStr">
        <is>
          <t>ハードウェア</t>
        </is>
      </c>
      <c r="H1030" t="inlineStr">
        <is>
          <t>ラベルプリンター</t>
        </is>
      </c>
      <c r="I1030" s="4" t="n">
        <v>4</v>
      </c>
      <c r="J1030" s="4" t="n">
        <v>63800</v>
      </c>
      <c r="K1030" s="4">
        <f>I1030*J1030</f>
        <v/>
      </c>
      <c r="L1030" t="inlineStr"/>
    </row>
    <row r="1031">
      <c r="A1031" t="inlineStr">
        <is>
          <t>SR043</t>
        </is>
      </c>
      <c r="B1031" t="inlineStr">
        <is>
          <t>営業担当043</t>
        </is>
      </c>
      <c r="C1031" t="inlineStr">
        <is>
          <t>第3営業部</t>
        </is>
      </c>
      <c r="D1031" s="3" t="n">
        <v>46046</v>
      </c>
      <c r="E1031" t="inlineStr">
        <is>
          <t>北斗産業(株)</t>
        </is>
      </c>
      <c r="F1031" t="inlineStr">
        <is>
          <t>神奈川県</t>
        </is>
      </c>
      <c r="G1031" t="inlineStr">
        <is>
          <t>消耗品</t>
        </is>
      </c>
      <c r="H1031" t="inlineStr">
        <is>
          <t>保守用バッテリー</t>
        </is>
      </c>
      <c r="I1031" s="4" t="n">
        <v>2</v>
      </c>
      <c r="J1031" s="4" t="n">
        <v>6770</v>
      </c>
      <c r="K1031" s="4">
        <f>I1031*J1031</f>
        <v/>
      </c>
      <c r="L1031" t="inlineStr"/>
    </row>
    <row r="1032">
      <c r="A1032" t="inlineStr">
        <is>
          <t>SR043</t>
        </is>
      </c>
      <c r="B1032" t="inlineStr">
        <is>
          <t>営業担当043</t>
        </is>
      </c>
      <c r="C1032" t="inlineStr">
        <is>
          <t>第3営業部</t>
        </is>
      </c>
      <c r="D1032" s="3" t="n">
        <v>46048</v>
      </c>
      <c r="E1032" t="inlineStr">
        <is>
          <t>星和商会(株)</t>
        </is>
      </c>
      <c r="F1032" t="inlineStr">
        <is>
          <t>東京都</t>
        </is>
      </c>
      <c r="G1032" t="inlineStr">
        <is>
          <t>保守サービス</t>
        </is>
      </c>
      <c r="H1032" t="inlineStr">
        <is>
          <t>オンサイト保守</t>
        </is>
      </c>
      <c r="I1032" s="4" t="n">
        <v>2</v>
      </c>
      <c r="J1032" s="4" t="n">
        <v>77400</v>
      </c>
      <c r="K1032" s="4">
        <f>I1032*J1032</f>
        <v/>
      </c>
      <c r="L1032" t="inlineStr">
        <is>
          <t>分納</t>
        </is>
      </c>
    </row>
    <row r="1033">
      <c r="A1033" t="inlineStr">
        <is>
          <t>SR043</t>
        </is>
      </c>
      <c r="B1033" t="inlineStr">
        <is>
          <t>営業担当043</t>
        </is>
      </c>
      <c r="C1033" t="inlineStr">
        <is>
          <t>第3営業部</t>
        </is>
      </c>
      <c r="D1033" s="3" t="n">
        <v>46054</v>
      </c>
      <c r="E1033" t="inlineStr">
        <is>
          <t>中央設備有限会社</t>
        </is>
      </c>
      <c r="F1033" t="inlineStr">
        <is>
          <t>北海道</t>
        </is>
      </c>
      <c r="G1033" t="inlineStr">
        <is>
          <t>ソフトウェア</t>
        </is>
      </c>
      <c r="H1033" t="inlineStr">
        <is>
          <t>在庫管理クラウド</t>
        </is>
      </c>
      <c r="I1033" s="4" t="n">
        <v>4</v>
      </c>
      <c r="J1033" s="4" t="n">
        <v>377000</v>
      </c>
      <c r="K1033" s="4">
        <f>I1033*J1033</f>
        <v/>
      </c>
      <c r="L1033" t="inlineStr">
        <is>
          <t>リピート受注</t>
        </is>
      </c>
    </row>
    <row r="1034">
      <c r="A1034" t="inlineStr">
        <is>
          <t>SR043</t>
        </is>
      </c>
      <c r="B1034" t="inlineStr">
        <is>
          <t>営業担当043</t>
        </is>
      </c>
      <c r="C1034" t="inlineStr">
        <is>
          <t>第3営業部</t>
        </is>
      </c>
      <c r="D1034" s="3" t="n">
        <v>46068</v>
      </c>
      <c r="E1034" t="inlineStr">
        <is>
          <t>サンライズ建設有限会社</t>
        </is>
      </c>
      <c r="F1034" t="inlineStr">
        <is>
          <t>東京都</t>
        </is>
      </c>
      <c r="G1034" t="inlineStr">
        <is>
          <t>導入支援</t>
        </is>
      </c>
      <c r="H1034" t="inlineStr">
        <is>
          <t>データ移行支援</t>
        </is>
      </c>
      <c r="I1034" s="4" t="n">
        <v>2</v>
      </c>
      <c r="J1034" s="4" t="n">
        <v>318200</v>
      </c>
      <c r="K1034" s="4">
        <f>I1034*J1034</f>
        <v/>
      </c>
      <c r="L1034" t="inlineStr">
        <is>
          <t>値引き調整あり</t>
        </is>
      </c>
    </row>
    <row r="1035">
      <c r="A1035" t="inlineStr">
        <is>
          <t>SR043</t>
        </is>
      </c>
      <c r="B1035" t="inlineStr">
        <is>
          <t>営業担当043</t>
        </is>
      </c>
      <c r="C1035" t="inlineStr">
        <is>
          <t>第3営業部</t>
        </is>
      </c>
      <c r="D1035" s="3" t="n">
        <v>46100</v>
      </c>
      <c r="E1035" t="inlineStr">
        <is>
          <t>白峰化学(株)</t>
        </is>
      </c>
      <c r="F1035" t="inlineStr">
        <is>
          <t>宮城県</t>
        </is>
      </c>
      <c r="G1035" t="inlineStr">
        <is>
          <t>導入支援</t>
        </is>
      </c>
      <c r="H1035" t="inlineStr">
        <is>
          <t>操作研修パック</t>
        </is>
      </c>
      <c r="I1035" s="4" t="n">
        <v>5</v>
      </c>
      <c r="J1035" s="4" t="n">
        <v>57100</v>
      </c>
      <c r="K1035" s="4">
        <f>I1035*J1035</f>
        <v/>
      </c>
      <c r="L1035" t="inlineStr"/>
    </row>
    <row r="1036">
      <c r="A1036" t="inlineStr">
        <is>
          <t>SR043</t>
        </is>
      </c>
      <c r="B1036" t="inlineStr">
        <is>
          <t>営業担当043</t>
        </is>
      </c>
      <c r="C1036" t="inlineStr">
        <is>
          <t>第3営業部</t>
        </is>
      </c>
      <c r="D1036" s="3" t="n">
        <v>46109</v>
      </c>
      <c r="E1036" t="inlineStr">
        <is>
          <t>ライトホーム株式会社</t>
        </is>
      </c>
      <c r="F1036" t="inlineStr">
        <is>
          <t>北海道</t>
        </is>
      </c>
      <c r="G1036" t="inlineStr">
        <is>
          <t>保守サービス</t>
        </is>
      </c>
      <c r="H1036" t="inlineStr">
        <is>
          <t>オンサイト保守</t>
        </is>
      </c>
      <c r="I1036" s="4" t="n">
        <v>5</v>
      </c>
      <c r="J1036" s="4" t="n">
        <v>177700</v>
      </c>
      <c r="K1036" s="4">
        <f>I1036*J1036</f>
        <v/>
      </c>
      <c r="L1036" t="inlineStr"/>
    </row>
    <row r="1037">
      <c r="A1037" t="inlineStr">
        <is>
          <t>SR044</t>
        </is>
      </c>
      <c r="B1037" t="inlineStr">
        <is>
          <t>営業担当044</t>
        </is>
      </c>
      <c r="C1037" t="inlineStr">
        <is>
          <t>パートナー営業部</t>
        </is>
      </c>
      <c r="D1037" s="3" t="n">
        <v>45760</v>
      </c>
      <c r="E1037" t="inlineStr">
        <is>
          <t>中央設備(株)</t>
        </is>
      </c>
      <c r="F1037" t="inlineStr">
        <is>
          <t>東京都</t>
        </is>
      </c>
      <c r="G1037" t="inlineStr">
        <is>
          <t>保守サービス</t>
        </is>
      </c>
      <c r="H1037" t="inlineStr">
        <is>
          <t>オンサイト保守</t>
        </is>
      </c>
      <c r="I1037" s="4" t="n">
        <v>5</v>
      </c>
      <c r="J1037" s="4" t="n">
        <v>123300</v>
      </c>
      <c r="K1037" s="4">
        <f>I1037*J1037</f>
        <v/>
      </c>
      <c r="L1037" t="inlineStr"/>
    </row>
    <row r="1038">
      <c r="A1038" t="inlineStr">
        <is>
          <t>SR044</t>
        </is>
      </c>
      <c r="B1038" t="inlineStr">
        <is>
          <t>営業担当044</t>
        </is>
      </c>
      <c r="C1038" t="inlineStr">
        <is>
          <t>パートナー営業部</t>
        </is>
      </c>
      <c r="D1038" s="3" t="n">
        <v>45764</v>
      </c>
      <c r="E1038" t="inlineStr">
        <is>
          <t>白峰化学(株)</t>
        </is>
      </c>
      <c r="F1038" t="inlineStr">
        <is>
          <t>広島県</t>
        </is>
      </c>
      <c r="G1038" t="inlineStr">
        <is>
          <t>ハードウェア</t>
        </is>
      </c>
      <c r="H1038" t="inlineStr">
        <is>
          <t>ラベルプリンター</t>
        </is>
      </c>
      <c r="I1038" s="4" t="n">
        <v>1</v>
      </c>
      <c r="J1038" s="4" t="n">
        <v>78900</v>
      </c>
      <c r="K1038" s="4">
        <f>I1038*J1038</f>
        <v/>
      </c>
      <c r="L1038" t="inlineStr">
        <is>
          <t>キャンペーン適用</t>
        </is>
      </c>
    </row>
    <row r="1039">
      <c r="A1039" t="inlineStr">
        <is>
          <t>SR044</t>
        </is>
      </c>
      <c r="B1039" t="inlineStr">
        <is>
          <t>営業担当044</t>
        </is>
      </c>
      <c r="C1039" t="inlineStr">
        <is>
          <t>パートナー営業部</t>
        </is>
      </c>
      <c r="D1039" s="3" t="n">
        <v>45790</v>
      </c>
      <c r="E1039" t="inlineStr">
        <is>
          <t>桜井メディカル(株)</t>
        </is>
      </c>
      <c r="F1039" t="inlineStr">
        <is>
          <t>北海道</t>
        </is>
      </c>
      <c r="G1039" t="inlineStr">
        <is>
          <t>消耗品</t>
        </is>
      </c>
      <c r="H1039" t="inlineStr">
        <is>
          <t>ラベルロール</t>
        </is>
      </c>
      <c r="I1039" s="4" t="n">
        <v>11</v>
      </c>
      <c r="J1039" s="4" t="n">
        <v>11270</v>
      </c>
      <c r="K1039" s="4">
        <f>I1039*J1039</f>
        <v/>
      </c>
      <c r="L1039" t="inlineStr">
        <is>
          <t>リピート受注</t>
        </is>
      </c>
    </row>
    <row r="1040">
      <c r="A1040" t="inlineStr">
        <is>
          <t>SR044</t>
        </is>
      </c>
      <c r="B1040" t="inlineStr">
        <is>
          <t>営業担当044</t>
        </is>
      </c>
      <c r="C1040" t="inlineStr">
        <is>
          <t>パートナー営業部</t>
        </is>
      </c>
      <c r="D1040" s="3" t="n">
        <v>45793</v>
      </c>
      <c r="E1040" t="inlineStr">
        <is>
          <t>青葉商事(株)</t>
        </is>
      </c>
      <c r="F1040" t="inlineStr">
        <is>
          <t>愛知県</t>
        </is>
      </c>
      <c r="G1040" t="inlineStr">
        <is>
          <t>ソフトウェア</t>
        </is>
      </c>
      <c r="H1040" t="inlineStr">
        <is>
          <t>帳票自動化ツール</t>
        </is>
      </c>
      <c r="I1040" s="4" t="n">
        <v>5</v>
      </c>
      <c r="J1040" s="4" t="n">
        <v>390000</v>
      </c>
      <c r="K1040" s="4">
        <f>I1040*J1040</f>
        <v/>
      </c>
      <c r="L1040" t="inlineStr"/>
    </row>
    <row r="1041">
      <c r="A1041" t="inlineStr">
        <is>
          <t>SR044</t>
        </is>
      </c>
      <c r="B1041" t="inlineStr">
        <is>
          <t>営業担当044</t>
        </is>
      </c>
      <c r="C1041" t="inlineStr">
        <is>
          <t>パートナー営業部</t>
        </is>
      </c>
      <c r="D1041" s="3" t="n">
        <v>45816</v>
      </c>
      <c r="E1041" t="inlineStr">
        <is>
          <t>九州エナジー有限会社</t>
        </is>
      </c>
      <c r="F1041" t="inlineStr">
        <is>
          <t>福岡県</t>
        </is>
      </c>
      <c r="G1041" t="inlineStr">
        <is>
          <t>保守サービス</t>
        </is>
      </c>
      <c r="H1041" t="inlineStr">
        <is>
          <t>ヘルプデスク契約</t>
        </is>
      </c>
      <c r="I1041" s="4" t="n">
        <v>4</v>
      </c>
      <c r="J1041" s="4" t="n">
        <v>81600</v>
      </c>
      <c r="K1041" s="4">
        <f>I1041*J1041</f>
        <v/>
      </c>
      <c r="L1041" t="inlineStr"/>
    </row>
    <row r="1042">
      <c r="A1042" t="inlineStr">
        <is>
          <t>SR044</t>
        </is>
      </c>
      <c r="B1042" t="inlineStr">
        <is>
          <t>営業担当044</t>
        </is>
      </c>
      <c r="C1042" t="inlineStr">
        <is>
          <t>パートナー営業部</t>
        </is>
      </c>
      <c r="D1042" s="3" t="n">
        <v>45829</v>
      </c>
      <c r="E1042" t="inlineStr">
        <is>
          <t>みらい物流株式会社</t>
        </is>
      </c>
      <c r="F1042" t="inlineStr">
        <is>
          <t>東京都</t>
        </is>
      </c>
      <c r="G1042" t="inlineStr">
        <is>
          <t>消耗品</t>
        </is>
      </c>
      <c r="H1042" t="inlineStr">
        <is>
          <t>交換用ヘッド</t>
        </is>
      </c>
      <c r="I1042" s="4" t="n">
        <v>13</v>
      </c>
      <c r="J1042" s="4" t="n">
        <v>40970</v>
      </c>
      <c r="K1042" s="4">
        <f>I1042*J1042</f>
        <v/>
      </c>
      <c r="L1042" t="inlineStr">
        <is>
          <t>リピート受注</t>
        </is>
      </c>
    </row>
    <row r="1043">
      <c r="A1043" t="inlineStr">
        <is>
          <t>SR044</t>
        </is>
      </c>
      <c r="B1043" t="inlineStr">
        <is>
          <t>営業担当044</t>
        </is>
      </c>
      <c r="C1043" t="inlineStr">
        <is>
          <t>パートナー営業部</t>
        </is>
      </c>
      <c r="D1043" s="3" t="n">
        <v>45856</v>
      </c>
      <c r="E1043" t="inlineStr">
        <is>
          <t>中央設備有限会社</t>
        </is>
      </c>
      <c r="F1043" t="inlineStr">
        <is>
          <t>京都府</t>
        </is>
      </c>
      <c r="G1043" t="inlineStr">
        <is>
          <t>ソフトウェア</t>
        </is>
      </c>
      <c r="H1043" t="inlineStr">
        <is>
          <t>営業支援SaaS</t>
        </is>
      </c>
      <c r="I1043" s="4" t="n">
        <v>5</v>
      </c>
      <c r="J1043" s="4" t="n">
        <v>341900</v>
      </c>
      <c r="K1043" s="4">
        <f>I1043*J1043</f>
        <v/>
      </c>
      <c r="L1043" t="inlineStr"/>
    </row>
    <row r="1044">
      <c r="A1044" t="inlineStr">
        <is>
          <t>SR044</t>
        </is>
      </c>
      <c r="B1044" t="inlineStr">
        <is>
          <t>営業担当044</t>
        </is>
      </c>
      <c r="C1044" t="inlineStr">
        <is>
          <t>パートナー営業部</t>
        </is>
      </c>
      <c r="D1044" s="3" t="n">
        <v>45866</v>
      </c>
      <c r="E1044" t="inlineStr">
        <is>
          <t>大和精機株式会社</t>
        </is>
      </c>
      <c r="F1044" t="inlineStr">
        <is>
          <t>福岡県</t>
        </is>
      </c>
      <c r="G1044" t="inlineStr">
        <is>
          <t>保守サービス</t>
        </is>
      </c>
      <c r="H1044" t="inlineStr">
        <is>
          <t>ヘルプデスク契約</t>
        </is>
      </c>
      <c r="I1044" s="4" t="n">
        <v>2</v>
      </c>
      <c r="J1044" s="4" t="n">
        <v>116000</v>
      </c>
      <c r="K1044" s="4">
        <f>I1044*J1044</f>
        <v/>
      </c>
      <c r="L1044" t="inlineStr">
        <is>
          <t>大型案件</t>
        </is>
      </c>
    </row>
    <row r="1045">
      <c r="A1045" t="inlineStr">
        <is>
          <t>SR044</t>
        </is>
      </c>
      <c r="B1045" t="inlineStr">
        <is>
          <t>営業担当044</t>
        </is>
      </c>
      <c r="C1045" t="inlineStr">
        <is>
          <t>パートナー営業部</t>
        </is>
      </c>
      <c r="D1045" s="3" t="n">
        <v>45887</v>
      </c>
      <c r="E1045" t="inlineStr">
        <is>
          <t>アーク電機有限会社</t>
        </is>
      </c>
      <c r="F1045" t="inlineStr">
        <is>
          <t>広島県</t>
        </is>
      </c>
      <c r="G1045" t="inlineStr">
        <is>
          <t>ソフトウェア</t>
        </is>
      </c>
      <c r="H1045" t="inlineStr">
        <is>
          <t>在庫管理クラウド</t>
        </is>
      </c>
      <c r="I1045" s="4" t="n">
        <v>4</v>
      </c>
      <c r="J1045" s="4" t="n">
        <v>434200</v>
      </c>
      <c r="K1045" s="4">
        <f>I1045*J1045</f>
        <v/>
      </c>
      <c r="L1045" t="inlineStr">
        <is>
          <t>リピート受注</t>
        </is>
      </c>
    </row>
    <row r="1046">
      <c r="A1046" t="inlineStr">
        <is>
          <t>SR044</t>
        </is>
      </c>
      <c r="B1046" t="inlineStr">
        <is>
          <t>営業担当044</t>
        </is>
      </c>
      <c r="C1046" t="inlineStr">
        <is>
          <t>パートナー営業部</t>
        </is>
      </c>
      <c r="D1046" s="3" t="n">
        <v>45888</v>
      </c>
      <c r="E1046" t="inlineStr">
        <is>
          <t>大和精機株式会社</t>
        </is>
      </c>
      <c r="F1046" t="inlineStr">
        <is>
          <t>広島県</t>
        </is>
      </c>
      <c r="G1046" t="inlineStr">
        <is>
          <t>消耗品</t>
        </is>
      </c>
      <c r="H1046" t="inlineStr">
        <is>
          <t>ラベルロール</t>
        </is>
      </c>
      <c r="I1046" s="4" t="n">
        <v>2</v>
      </c>
      <c r="J1046" s="4" t="n">
        <v>5880</v>
      </c>
      <c r="K1046" s="4">
        <f>I1046*J1046</f>
        <v/>
      </c>
      <c r="L1046" t="inlineStr"/>
    </row>
    <row r="1047">
      <c r="A1047" t="inlineStr">
        <is>
          <t>SR044</t>
        </is>
      </c>
      <c r="B1047" t="inlineStr">
        <is>
          <t>営業担当044</t>
        </is>
      </c>
      <c r="C1047" t="inlineStr">
        <is>
          <t>パートナー営業部</t>
        </is>
      </c>
      <c r="D1047" s="3" t="n">
        <v>45909</v>
      </c>
      <c r="E1047" t="inlineStr">
        <is>
          <t>東洋フーズ株式会社</t>
        </is>
      </c>
      <c r="F1047" t="inlineStr">
        <is>
          <t>兵庫県</t>
        </is>
      </c>
      <c r="G1047" t="inlineStr">
        <is>
          <t>導入支援</t>
        </is>
      </c>
      <c r="H1047" t="inlineStr">
        <is>
          <t>初期設定支援</t>
        </is>
      </c>
      <c r="I1047" s="4" t="n">
        <v>5</v>
      </c>
      <c r="J1047" s="4" t="n">
        <v>174200</v>
      </c>
      <c r="K1047" s="4">
        <f>I1047*J1047</f>
        <v/>
      </c>
      <c r="L1047" t="inlineStr">
        <is>
          <t>新規開拓</t>
        </is>
      </c>
    </row>
    <row r="1048">
      <c r="A1048" t="inlineStr">
        <is>
          <t>SR044</t>
        </is>
      </c>
      <c r="B1048" t="inlineStr">
        <is>
          <t>営業担当044</t>
        </is>
      </c>
      <c r="C1048" t="inlineStr">
        <is>
          <t>パートナー営業部</t>
        </is>
      </c>
      <c r="D1048" s="3" t="n">
        <v>45921</v>
      </c>
      <c r="E1048" t="inlineStr">
        <is>
          <t>西日本機工株式会社</t>
        </is>
      </c>
      <c r="F1048" t="inlineStr">
        <is>
          <t>東京都</t>
        </is>
      </c>
      <c r="G1048" t="inlineStr">
        <is>
          <t>導入支援</t>
        </is>
      </c>
      <c r="H1048" t="inlineStr">
        <is>
          <t>データ移行支援</t>
        </is>
      </c>
      <c r="I1048" s="4" t="n">
        <v>5</v>
      </c>
      <c r="J1048" s="4" t="n">
        <v>182700</v>
      </c>
      <c r="K1048" s="4">
        <f>I1048*J1048</f>
        <v/>
      </c>
      <c r="L1048" t="inlineStr">
        <is>
          <t>キャンペーン適用</t>
        </is>
      </c>
    </row>
    <row r="1049">
      <c r="A1049" t="inlineStr">
        <is>
          <t>SR044</t>
        </is>
      </c>
      <c r="B1049" t="inlineStr">
        <is>
          <t>営業担当044</t>
        </is>
      </c>
      <c r="C1049" t="inlineStr">
        <is>
          <t>パートナー営業部</t>
        </is>
      </c>
      <c r="D1049" s="3" t="n">
        <v>45942</v>
      </c>
      <c r="E1049" t="inlineStr">
        <is>
          <t>東洋フーズ有限会社</t>
        </is>
      </c>
      <c r="F1049" t="inlineStr">
        <is>
          <t>京都府</t>
        </is>
      </c>
      <c r="G1049" t="inlineStr">
        <is>
          <t>保守サービス</t>
        </is>
      </c>
      <c r="H1049" t="inlineStr">
        <is>
          <t>年間保守契約</t>
        </is>
      </c>
      <c r="I1049" s="4" t="n">
        <v>2</v>
      </c>
      <c r="J1049" s="4" t="n">
        <v>278700</v>
      </c>
      <c r="K1049" s="4">
        <f>I1049*J1049</f>
        <v/>
      </c>
      <c r="L1049" t="inlineStr"/>
    </row>
    <row r="1050">
      <c r="A1050" t="inlineStr">
        <is>
          <t>SR044</t>
        </is>
      </c>
      <c r="B1050" t="inlineStr">
        <is>
          <t>営業担当044</t>
        </is>
      </c>
      <c r="C1050" t="inlineStr">
        <is>
          <t>パートナー営業部</t>
        </is>
      </c>
      <c r="D1050" s="3" t="n">
        <v>45943</v>
      </c>
      <c r="E1050" t="inlineStr">
        <is>
          <t>星和商会株式会社</t>
        </is>
      </c>
      <c r="F1050" t="inlineStr">
        <is>
          <t>広島県</t>
        </is>
      </c>
      <c r="G1050" t="inlineStr">
        <is>
          <t>ソフトウェア</t>
        </is>
      </c>
      <c r="H1050" t="inlineStr">
        <is>
          <t>帳票自動化ツール</t>
        </is>
      </c>
      <c r="I1050" s="4" t="n">
        <v>4</v>
      </c>
      <c r="J1050" s="4" t="n">
        <v>223900</v>
      </c>
      <c r="K1050" s="4">
        <f>I1050*J1050</f>
        <v/>
      </c>
      <c r="L1050" t="inlineStr">
        <is>
          <t>キャンペーン適用</t>
        </is>
      </c>
    </row>
    <row r="1051">
      <c r="A1051" t="inlineStr">
        <is>
          <t>SR044</t>
        </is>
      </c>
      <c r="B1051" t="inlineStr">
        <is>
          <t>営業担当044</t>
        </is>
      </c>
      <c r="C1051" t="inlineStr">
        <is>
          <t>パートナー営業部</t>
        </is>
      </c>
      <c r="D1051" s="3" t="n">
        <v>45962</v>
      </c>
      <c r="E1051" t="inlineStr">
        <is>
          <t>大和精機(株)</t>
        </is>
      </c>
      <c r="F1051" t="inlineStr">
        <is>
          <t>宮城県</t>
        </is>
      </c>
      <c r="G1051" t="inlineStr">
        <is>
          <t>保守サービス</t>
        </is>
      </c>
      <c r="H1051" t="inlineStr">
        <is>
          <t>年間保守契約</t>
        </is>
      </c>
      <c r="I1051" s="4" t="n">
        <v>1</v>
      </c>
      <c r="J1051" s="4" t="n">
        <v>100600</v>
      </c>
      <c r="K1051" s="4">
        <f>I1051*J1051</f>
        <v/>
      </c>
      <c r="L1051" t="inlineStr">
        <is>
          <t>値引き調整あり</t>
        </is>
      </c>
    </row>
    <row r="1052">
      <c r="A1052" t="inlineStr">
        <is>
          <t>SR044</t>
        </is>
      </c>
      <c r="B1052" t="inlineStr">
        <is>
          <t>営業担当044</t>
        </is>
      </c>
      <c r="C1052" t="inlineStr">
        <is>
          <t>パートナー営業部</t>
        </is>
      </c>
      <c r="D1052" s="3" t="n">
        <v>45971</v>
      </c>
      <c r="E1052" t="inlineStr">
        <is>
          <t>みらい物流(株)</t>
        </is>
      </c>
      <c r="F1052" t="inlineStr">
        <is>
          <t>大阪府</t>
        </is>
      </c>
      <c r="G1052" t="inlineStr">
        <is>
          <t>ハードウェア</t>
        </is>
      </c>
      <c r="H1052" t="inlineStr">
        <is>
          <t>ラベルプリンター</t>
        </is>
      </c>
      <c r="I1052" s="4" t="n">
        <v>4</v>
      </c>
      <c r="J1052" s="4" t="n">
        <v>48700</v>
      </c>
      <c r="K1052" s="4">
        <f>I1052*J1052</f>
        <v/>
      </c>
      <c r="L1052" t="inlineStr">
        <is>
          <t>値引き調整あり</t>
        </is>
      </c>
    </row>
    <row r="1053">
      <c r="A1053" t="inlineStr">
        <is>
          <t>SR044</t>
        </is>
      </c>
      <c r="B1053" t="inlineStr">
        <is>
          <t>営業担当044</t>
        </is>
      </c>
      <c r="C1053" t="inlineStr">
        <is>
          <t>パートナー営業部</t>
        </is>
      </c>
      <c r="D1053" s="3" t="n">
        <v>45997</v>
      </c>
      <c r="E1053" t="inlineStr">
        <is>
          <t>サンライズ建設株式会社</t>
        </is>
      </c>
      <c r="F1053" t="inlineStr">
        <is>
          <t>福岡県</t>
        </is>
      </c>
      <c r="G1053" t="inlineStr">
        <is>
          <t>保守サービス</t>
        </is>
      </c>
      <c r="H1053" t="inlineStr">
        <is>
          <t>年間保守契約</t>
        </is>
      </c>
      <c r="I1053" s="4" t="n">
        <v>2</v>
      </c>
      <c r="J1053" s="4" t="n">
        <v>185600</v>
      </c>
      <c r="K1053" s="4">
        <f>I1053*J1053</f>
        <v/>
      </c>
      <c r="L1053" t="inlineStr">
        <is>
          <t>キャンペーン適用</t>
        </is>
      </c>
    </row>
    <row r="1054">
      <c r="A1054" t="inlineStr">
        <is>
          <t>SR044</t>
        </is>
      </c>
      <c r="B1054" t="inlineStr">
        <is>
          <t>営業担当044</t>
        </is>
      </c>
      <c r="C1054" t="inlineStr">
        <is>
          <t>パートナー営業部</t>
        </is>
      </c>
      <c r="D1054" s="3" t="n">
        <v>46017</v>
      </c>
      <c r="E1054" t="inlineStr">
        <is>
          <t>オーシャン製作所有限会社</t>
        </is>
      </c>
      <c r="F1054" t="inlineStr">
        <is>
          <t>北海道</t>
        </is>
      </c>
      <c r="G1054" t="inlineStr">
        <is>
          <t>保守サービス</t>
        </is>
      </c>
      <c r="H1054" t="inlineStr">
        <is>
          <t>ヘルプデスク契約</t>
        </is>
      </c>
      <c r="I1054" s="4" t="n">
        <v>4</v>
      </c>
      <c r="J1054" s="4" t="n">
        <v>63900</v>
      </c>
      <c r="K1054" s="4">
        <f>I1054*J1054</f>
        <v/>
      </c>
      <c r="L1054" t="inlineStr">
        <is>
          <t>大型案件</t>
        </is>
      </c>
    </row>
    <row r="1055">
      <c r="A1055" t="inlineStr">
        <is>
          <t>SR044</t>
        </is>
      </c>
      <c r="B1055" t="inlineStr">
        <is>
          <t>営業担当044</t>
        </is>
      </c>
      <c r="C1055" t="inlineStr">
        <is>
          <t>パートナー営業部</t>
        </is>
      </c>
      <c r="D1055" s="3" t="n">
        <v>46044</v>
      </c>
      <c r="E1055" t="inlineStr">
        <is>
          <t>西日本機工株式会社</t>
        </is>
      </c>
      <c r="F1055" t="inlineStr">
        <is>
          <t>兵庫県</t>
        </is>
      </c>
      <c r="G1055" t="inlineStr">
        <is>
          <t>保守サービス</t>
        </is>
      </c>
      <c r="H1055" t="inlineStr">
        <is>
          <t>年間保守契約</t>
        </is>
      </c>
      <c r="I1055" s="4" t="n">
        <v>1</v>
      </c>
      <c r="J1055" s="4" t="n">
        <v>83900</v>
      </c>
      <c r="K1055" s="4">
        <f>I1055*J1055</f>
        <v/>
      </c>
      <c r="L1055" t="inlineStr">
        <is>
          <t>リピート受注</t>
        </is>
      </c>
    </row>
    <row r="1056">
      <c r="A1056" t="inlineStr">
        <is>
          <t>SR044</t>
        </is>
      </c>
      <c r="B1056" t="inlineStr">
        <is>
          <t>営業担当044</t>
        </is>
      </c>
      <c r="C1056" t="inlineStr">
        <is>
          <t>パートナー営業部</t>
        </is>
      </c>
      <c r="D1056" s="3" t="n">
        <v>46044</v>
      </c>
      <c r="E1056" t="inlineStr">
        <is>
          <t>オーシャン製作所(株)</t>
        </is>
      </c>
      <c r="F1056" t="inlineStr">
        <is>
          <t>愛知県</t>
        </is>
      </c>
      <c r="G1056" t="inlineStr">
        <is>
          <t>導入支援</t>
        </is>
      </c>
      <c r="H1056" t="inlineStr">
        <is>
          <t>操作研修パック</t>
        </is>
      </c>
      <c r="I1056" s="4" t="n">
        <v>3</v>
      </c>
      <c r="J1056" s="4" t="n">
        <v>33200</v>
      </c>
      <c r="K1056" s="4">
        <f>I1056*J1056</f>
        <v/>
      </c>
      <c r="L1056" t="inlineStr"/>
    </row>
    <row r="1057">
      <c r="A1057" t="inlineStr">
        <is>
          <t>SR044</t>
        </is>
      </c>
      <c r="B1057" t="inlineStr">
        <is>
          <t>営業担当044</t>
        </is>
      </c>
      <c r="C1057" t="inlineStr">
        <is>
          <t>パートナー営業部</t>
        </is>
      </c>
      <c r="D1057" s="3" t="n">
        <v>46066</v>
      </c>
      <c r="E1057" t="inlineStr">
        <is>
          <t>中央設備(株)</t>
        </is>
      </c>
      <c r="F1057" t="inlineStr">
        <is>
          <t>福岡県</t>
        </is>
      </c>
      <c r="G1057" t="inlineStr">
        <is>
          <t>導入支援</t>
        </is>
      </c>
      <c r="H1057" t="inlineStr">
        <is>
          <t>データ移行支援</t>
        </is>
      </c>
      <c r="I1057" s="4" t="n">
        <v>3</v>
      </c>
      <c r="J1057" s="4" t="n">
        <v>233800</v>
      </c>
      <c r="K1057" s="4">
        <f>I1057*J1057</f>
        <v/>
      </c>
      <c r="L1057" t="inlineStr"/>
    </row>
    <row r="1058">
      <c r="A1058" t="inlineStr">
        <is>
          <t>SR044</t>
        </is>
      </c>
      <c r="B1058" t="inlineStr">
        <is>
          <t>営業担当044</t>
        </is>
      </c>
      <c r="C1058" t="inlineStr">
        <is>
          <t>パートナー営業部</t>
        </is>
      </c>
      <c r="D1058" s="3" t="n">
        <v>46074</v>
      </c>
      <c r="E1058" t="inlineStr">
        <is>
          <t>青葉商事有限会社</t>
        </is>
      </c>
      <c r="F1058" t="inlineStr">
        <is>
          <t>広島県</t>
        </is>
      </c>
      <c r="G1058" t="inlineStr">
        <is>
          <t>ソフトウェア</t>
        </is>
      </c>
      <c r="H1058" t="inlineStr">
        <is>
          <t>在庫管理クラウド</t>
        </is>
      </c>
      <c r="I1058" s="4" t="n">
        <v>2</v>
      </c>
      <c r="J1058" s="4" t="n">
        <v>349200</v>
      </c>
      <c r="K1058" s="4">
        <f>I1058*J1058</f>
        <v/>
      </c>
      <c r="L1058" t="inlineStr">
        <is>
          <t>値引き調整あり</t>
        </is>
      </c>
    </row>
    <row r="1059">
      <c r="A1059" t="inlineStr">
        <is>
          <t>SR044</t>
        </is>
      </c>
      <c r="B1059" t="inlineStr">
        <is>
          <t>営業担当044</t>
        </is>
      </c>
      <c r="C1059" t="inlineStr">
        <is>
          <t>パートナー営業部</t>
        </is>
      </c>
      <c r="D1059" s="3" t="n">
        <v>46083</v>
      </c>
      <c r="E1059" t="inlineStr">
        <is>
          <t>東洋フーズ株式会社</t>
        </is>
      </c>
      <c r="F1059" t="inlineStr">
        <is>
          <t>兵庫県</t>
        </is>
      </c>
      <c r="G1059" t="inlineStr">
        <is>
          <t>消耗品</t>
        </is>
      </c>
      <c r="H1059" t="inlineStr">
        <is>
          <t>ラベルロール</t>
        </is>
      </c>
      <c r="I1059" s="4" t="n">
        <v>8</v>
      </c>
      <c r="J1059" s="4" t="n">
        <v>12610</v>
      </c>
      <c r="K1059" s="4">
        <f>I1059*J1059</f>
        <v/>
      </c>
      <c r="L1059" t="inlineStr">
        <is>
          <t>値引き調整あり</t>
        </is>
      </c>
    </row>
    <row r="1060">
      <c r="A1060" t="inlineStr">
        <is>
          <t>SR044</t>
        </is>
      </c>
      <c r="B1060" t="inlineStr">
        <is>
          <t>営業担当044</t>
        </is>
      </c>
      <c r="C1060" t="inlineStr">
        <is>
          <t>パートナー営業部</t>
        </is>
      </c>
      <c r="D1060" s="3" t="n">
        <v>46104</v>
      </c>
      <c r="E1060" t="inlineStr">
        <is>
          <t>ネクストソリューション(株)</t>
        </is>
      </c>
      <c r="F1060" t="inlineStr">
        <is>
          <t>京都府</t>
        </is>
      </c>
      <c r="G1060" t="inlineStr">
        <is>
          <t>ソフトウェア</t>
        </is>
      </c>
      <c r="H1060" t="inlineStr">
        <is>
          <t>在庫管理クラウド</t>
        </is>
      </c>
      <c r="I1060" s="4" t="n">
        <v>5</v>
      </c>
      <c r="J1060" s="4" t="n">
        <v>192600</v>
      </c>
      <c r="K1060" s="4">
        <f>I1060*J1060</f>
        <v/>
      </c>
      <c r="L1060" t="inlineStr">
        <is>
          <t>分納</t>
        </is>
      </c>
    </row>
    <row r="1061">
      <c r="A1061" t="inlineStr">
        <is>
          <t>SR045</t>
        </is>
      </c>
      <c r="B1061" t="inlineStr">
        <is>
          <t>営業担当045</t>
        </is>
      </c>
      <c r="C1061" t="inlineStr">
        <is>
          <t>インサイドセールス部</t>
        </is>
      </c>
      <c r="D1061" s="3" t="n">
        <v>45753</v>
      </c>
      <c r="E1061" t="inlineStr">
        <is>
          <t>オーシャン製作所(株)</t>
        </is>
      </c>
      <c r="F1061" t="inlineStr">
        <is>
          <t>大阪府</t>
        </is>
      </c>
      <c r="G1061" t="inlineStr">
        <is>
          <t>ソフトウェア</t>
        </is>
      </c>
      <c r="H1061" t="inlineStr">
        <is>
          <t>在庫管理クラウド</t>
        </is>
      </c>
      <c r="I1061" s="4" t="n">
        <v>4</v>
      </c>
      <c r="J1061" s="4" t="n">
        <v>356900</v>
      </c>
      <c r="K1061" s="4">
        <f>I1061*J1061</f>
        <v/>
      </c>
      <c r="L1061" t="inlineStr"/>
    </row>
    <row r="1062">
      <c r="A1062" t="inlineStr">
        <is>
          <t>SR045</t>
        </is>
      </c>
      <c r="B1062" t="inlineStr">
        <is>
          <t>営業担当045</t>
        </is>
      </c>
      <c r="C1062" t="inlineStr">
        <is>
          <t>インサイドセールス部</t>
        </is>
      </c>
      <c r="D1062" s="3" t="n">
        <v>45769</v>
      </c>
      <c r="E1062" t="inlineStr">
        <is>
          <t>中央設備(株)</t>
        </is>
      </c>
      <c r="F1062" t="inlineStr">
        <is>
          <t>宮城県</t>
        </is>
      </c>
      <c r="G1062" t="inlineStr">
        <is>
          <t>消耗品</t>
        </is>
      </c>
      <c r="H1062" t="inlineStr">
        <is>
          <t>保守用バッテリー</t>
        </is>
      </c>
      <c r="I1062" s="4" t="n">
        <v>7</v>
      </c>
      <c r="J1062" s="4" t="n">
        <v>9420</v>
      </c>
      <c r="K1062" s="4">
        <f>I1062*J1062</f>
        <v/>
      </c>
      <c r="L1062" t="inlineStr"/>
    </row>
    <row r="1063">
      <c r="A1063" t="inlineStr">
        <is>
          <t>SR045</t>
        </is>
      </c>
      <c r="B1063" t="inlineStr">
        <is>
          <t>営業担当045</t>
        </is>
      </c>
      <c r="C1063" t="inlineStr">
        <is>
          <t>インサイドセールス部</t>
        </is>
      </c>
      <c r="D1063" s="3" t="n">
        <v>45781</v>
      </c>
      <c r="E1063" t="inlineStr">
        <is>
          <t>白峰化学(株)</t>
        </is>
      </c>
      <c r="F1063" t="inlineStr">
        <is>
          <t>愛知県</t>
        </is>
      </c>
      <c r="G1063" t="inlineStr">
        <is>
          <t>導入支援</t>
        </is>
      </c>
      <c r="H1063" t="inlineStr">
        <is>
          <t>初期設定支援</t>
        </is>
      </c>
      <c r="I1063" s="4" t="n">
        <v>2</v>
      </c>
      <c r="J1063" s="4" t="n">
        <v>202100</v>
      </c>
      <c r="K1063" s="4">
        <f>I1063*J1063</f>
        <v/>
      </c>
      <c r="L1063" t="inlineStr"/>
    </row>
    <row r="1064">
      <c r="A1064" t="inlineStr">
        <is>
          <t>SR045</t>
        </is>
      </c>
      <c r="B1064" t="inlineStr">
        <is>
          <t>営業担当045</t>
        </is>
      </c>
      <c r="C1064" t="inlineStr">
        <is>
          <t>インサイドセールス部</t>
        </is>
      </c>
      <c r="D1064" s="3" t="n">
        <v>45796</v>
      </c>
      <c r="E1064" t="inlineStr">
        <is>
          <t>オーシャン製作所(株)</t>
        </is>
      </c>
      <c r="F1064" t="inlineStr">
        <is>
          <t>愛知県</t>
        </is>
      </c>
      <c r="G1064" t="inlineStr">
        <is>
          <t>ソフトウェア</t>
        </is>
      </c>
      <c r="H1064" t="inlineStr">
        <is>
          <t>AIチャットボット</t>
        </is>
      </c>
      <c r="I1064" s="4" t="n">
        <v>2</v>
      </c>
      <c r="J1064" s="4" t="n">
        <v>529100</v>
      </c>
      <c r="K1064" s="4">
        <f>I1064*J1064</f>
        <v/>
      </c>
      <c r="L1064" t="inlineStr"/>
    </row>
    <row r="1065">
      <c r="A1065" t="inlineStr">
        <is>
          <t>SR045</t>
        </is>
      </c>
      <c r="B1065" t="inlineStr">
        <is>
          <t>営業担当045</t>
        </is>
      </c>
      <c r="C1065" t="inlineStr">
        <is>
          <t>インサイドセールス部</t>
        </is>
      </c>
      <c r="D1065" s="3" t="n">
        <v>45833</v>
      </c>
      <c r="E1065" t="inlineStr">
        <is>
          <t>未来通信有限会社</t>
        </is>
      </c>
      <c r="F1065" t="inlineStr">
        <is>
          <t>北海道</t>
        </is>
      </c>
      <c r="G1065" t="inlineStr">
        <is>
          <t>ハードウェア</t>
        </is>
      </c>
      <c r="H1065" t="inlineStr">
        <is>
          <t>産業用タブレット</t>
        </is>
      </c>
      <c r="I1065" s="4" t="n">
        <v>5</v>
      </c>
      <c r="J1065" s="4" t="n">
        <v>99000</v>
      </c>
      <c r="K1065" s="4">
        <f>I1065*J1065</f>
        <v/>
      </c>
      <c r="L1065" t="inlineStr">
        <is>
          <t>大型案件</t>
        </is>
      </c>
    </row>
    <row r="1066">
      <c r="A1066" t="inlineStr">
        <is>
          <t>SR045</t>
        </is>
      </c>
      <c r="B1066" t="inlineStr">
        <is>
          <t>営業担当045</t>
        </is>
      </c>
      <c r="C1066" t="inlineStr">
        <is>
          <t>インサイドセールス部</t>
        </is>
      </c>
      <c r="D1066" s="3" t="n">
        <v>45835</v>
      </c>
      <c r="E1066" t="inlineStr">
        <is>
          <t>オーシャン製作所有限会社</t>
        </is>
      </c>
      <c r="F1066" t="inlineStr">
        <is>
          <t>愛知県</t>
        </is>
      </c>
      <c r="G1066" t="inlineStr">
        <is>
          <t>ソフトウェア</t>
        </is>
      </c>
      <c r="H1066" t="inlineStr">
        <is>
          <t>AIチャットボット</t>
        </is>
      </c>
      <c r="I1066" s="4" t="n">
        <v>1</v>
      </c>
      <c r="J1066" s="4" t="n">
        <v>762200</v>
      </c>
      <c r="K1066" s="4">
        <f>I1066*J1066</f>
        <v/>
      </c>
      <c r="L1066" t="inlineStr">
        <is>
          <t>分納</t>
        </is>
      </c>
    </row>
    <row r="1067">
      <c r="A1067" t="inlineStr">
        <is>
          <t>SR045</t>
        </is>
      </c>
      <c r="B1067" t="inlineStr">
        <is>
          <t>営業担当045</t>
        </is>
      </c>
      <c r="C1067" t="inlineStr">
        <is>
          <t>インサイドセールス部</t>
        </is>
      </c>
      <c r="D1067" s="3" t="n">
        <v>45846</v>
      </c>
      <c r="E1067" t="inlineStr">
        <is>
          <t>ネクストソリューション(株)</t>
        </is>
      </c>
      <c r="F1067" t="inlineStr">
        <is>
          <t>東京都</t>
        </is>
      </c>
      <c r="G1067" t="inlineStr">
        <is>
          <t>保守サービス</t>
        </is>
      </c>
      <c r="H1067" t="inlineStr">
        <is>
          <t>オンサイト保守</t>
        </is>
      </c>
      <c r="I1067" s="4" t="n">
        <v>5</v>
      </c>
      <c r="J1067" s="4" t="n">
        <v>82800</v>
      </c>
      <c r="K1067" s="4">
        <f>I1067*J1067</f>
        <v/>
      </c>
      <c r="L1067" t="inlineStr"/>
    </row>
    <row r="1068">
      <c r="A1068" t="inlineStr">
        <is>
          <t>SR045</t>
        </is>
      </c>
      <c r="B1068" t="inlineStr">
        <is>
          <t>営業担当045</t>
        </is>
      </c>
      <c r="C1068" t="inlineStr">
        <is>
          <t>インサイドセールス部</t>
        </is>
      </c>
      <c r="D1068" s="3" t="n">
        <v>45857</v>
      </c>
      <c r="E1068" t="inlineStr">
        <is>
          <t>中央設備株式会社</t>
        </is>
      </c>
      <c r="F1068" t="inlineStr">
        <is>
          <t>東京都</t>
        </is>
      </c>
      <c r="G1068" t="inlineStr">
        <is>
          <t>ソフトウェア</t>
        </is>
      </c>
      <c r="H1068" t="inlineStr">
        <is>
          <t>AIチャットボット</t>
        </is>
      </c>
      <c r="I1068" s="4" t="n">
        <v>3</v>
      </c>
      <c r="J1068" s="4" t="n">
        <v>818000</v>
      </c>
      <c r="K1068" s="4">
        <f>I1068*J1068</f>
        <v/>
      </c>
      <c r="L1068" t="inlineStr"/>
    </row>
    <row r="1069">
      <c r="A1069" t="inlineStr">
        <is>
          <t>SR045</t>
        </is>
      </c>
      <c r="B1069" t="inlineStr">
        <is>
          <t>営業担当045</t>
        </is>
      </c>
      <c r="C1069" t="inlineStr">
        <is>
          <t>インサイドセールス部</t>
        </is>
      </c>
      <c r="D1069" s="3" t="n">
        <v>45876</v>
      </c>
      <c r="E1069" t="inlineStr">
        <is>
          <t>日新サービス株式会社</t>
        </is>
      </c>
      <c r="F1069" t="inlineStr">
        <is>
          <t>神奈川県</t>
        </is>
      </c>
      <c r="G1069" t="inlineStr">
        <is>
          <t>消耗品</t>
        </is>
      </c>
      <c r="H1069" t="inlineStr">
        <is>
          <t>交換用ヘッド</t>
        </is>
      </c>
      <c r="I1069" s="4" t="n">
        <v>8</v>
      </c>
      <c r="J1069" s="4" t="n">
        <v>18980</v>
      </c>
      <c r="K1069" s="4">
        <f>I1069*J1069</f>
        <v/>
      </c>
      <c r="L1069" t="inlineStr">
        <is>
          <t>値引き調整あり</t>
        </is>
      </c>
    </row>
    <row r="1070">
      <c r="A1070" t="inlineStr">
        <is>
          <t>SR045</t>
        </is>
      </c>
      <c r="B1070" t="inlineStr">
        <is>
          <t>営業担当045</t>
        </is>
      </c>
      <c r="C1070" t="inlineStr">
        <is>
          <t>インサイドセールス部</t>
        </is>
      </c>
      <c r="D1070" s="3" t="n">
        <v>45895</v>
      </c>
      <c r="E1070" t="inlineStr">
        <is>
          <t>グリーンテック株式会社</t>
        </is>
      </c>
      <c r="F1070" t="inlineStr">
        <is>
          <t>広島県</t>
        </is>
      </c>
      <c r="G1070" t="inlineStr">
        <is>
          <t>ソフトウェア</t>
        </is>
      </c>
      <c r="H1070" t="inlineStr">
        <is>
          <t>帳票自動化ツール</t>
        </is>
      </c>
      <c r="I1070" s="4" t="n">
        <v>5</v>
      </c>
      <c r="J1070" s="4" t="n">
        <v>406400</v>
      </c>
      <c r="K1070" s="4">
        <f>I1070*J1070</f>
        <v/>
      </c>
      <c r="L1070" t="inlineStr">
        <is>
          <t>キャンペーン適用</t>
        </is>
      </c>
    </row>
    <row r="1071">
      <c r="A1071" t="inlineStr">
        <is>
          <t>SR045</t>
        </is>
      </c>
      <c r="B1071" t="inlineStr">
        <is>
          <t>営業担当045</t>
        </is>
      </c>
      <c r="C1071" t="inlineStr">
        <is>
          <t>インサイドセールス部</t>
        </is>
      </c>
      <c r="D1071" s="3" t="n">
        <v>45903</v>
      </c>
      <c r="E1071" t="inlineStr">
        <is>
          <t>中央設備有限会社</t>
        </is>
      </c>
      <c r="F1071" t="inlineStr">
        <is>
          <t>東京都</t>
        </is>
      </c>
      <c r="G1071" t="inlineStr">
        <is>
          <t>消耗品</t>
        </is>
      </c>
      <c r="H1071" t="inlineStr">
        <is>
          <t>ラベルロール</t>
        </is>
      </c>
      <c r="I1071" s="4" t="n">
        <v>5</v>
      </c>
      <c r="J1071" s="4" t="n">
        <v>10010</v>
      </c>
      <c r="K1071" s="4">
        <f>I1071*J1071</f>
        <v/>
      </c>
      <c r="L1071" t="inlineStr">
        <is>
          <t>キャンペーン適用</t>
        </is>
      </c>
    </row>
    <row r="1072">
      <c r="A1072" t="inlineStr">
        <is>
          <t>SR045</t>
        </is>
      </c>
      <c r="B1072" t="inlineStr">
        <is>
          <t>営業担当045</t>
        </is>
      </c>
      <c r="C1072" t="inlineStr">
        <is>
          <t>インサイドセールス部</t>
        </is>
      </c>
      <c r="D1072" s="3" t="n">
        <v>45907</v>
      </c>
      <c r="E1072" t="inlineStr">
        <is>
          <t>星和商会有限会社</t>
        </is>
      </c>
      <c r="F1072" t="inlineStr">
        <is>
          <t>兵庫県</t>
        </is>
      </c>
      <c r="G1072" t="inlineStr">
        <is>
          <t>消耗品</t>
        </is>
      </c>
      <c r="H1072" t="inlineStr">
        <is>
          <t>ラベルロール</t>
        </is>
      </c>
      <c r="I1072" s="4" t="n">
        <v>2</v>
      </c>
      <c r="J1072" s="4" t="n">
        <v>4820</v>
      </c>
      <c r="K1072" s="4">
        <f>I1072*J1072</f>
        <v/>
      </c>
      <c r="L1072" t="inlineStr"/>
    </row>
    <row r="1073">
      <c r="A1073" t="inlineStr">
        <is>
          <t>SR045</t>
        </is>
      </c>
      <c r="B1073" t="inlineStr">
        <is>
          <t>営業担当045</t>
        </is>
      </c>
      <c r="C1073" t="inlineStr">
        <is>
          <t>インサイドセールス部</t>
        </is>
      </c>
      <c r="D1073" s="3" t="n">
        <v>45934</v>
      </c>
      <c r="E1073" t="inlineStr">
        <is>
          <t>ライトホーム(株)</t>
        </is>
      </c>
      <c r="F1073" t="inlineStr">
        <is>
          <t>愛知県</t>
        </is>
      </c>
      <c r="G1073" t="inlineStr">
        <is>
          <t>消耗品</t>
        </is>
      </c>
      <c r="H1073" t="inlineStr">
        <is>
          <t>交換用ヘッド</t>
        </is>
      </c>
      <c r="I1073" s="4" t="n">
        <v>10</v>
      </c>
      <c r="J1073" s="4" t="n">
        <v>12430</v>
      </c>
      <c r="K1073" s="4">
        <f>I1073*J1073</f>
        <v/>
      </c>
      <c r="L1073" t="inlineStr">
        <is>
          <t>分納</t>
        </is>
      </c>
    </row>
    <row r="1074">
      <c r="A1074" t="inlineStr">
        <is>
          <t>SR045</t>
        </is>
      </c>
      <c r="B1074" t="inlineStr">
        <is>
          <t>営業担当045</t>
        </is>
      </c>
      <c r="C1074" t="inlineStr">
        <is>
          <t>インサイドセールス部</t>
        </is>
      </c>
      <c r="D1074" s="3" t="n">
        <v>45935</v>
      </c>
      <c r="E1074" t="inlineStr">
        <is>
          <t>未来通信有限会社</t>
        </is>
      </c>
      <c r="F1074" t="inlineStr">
        <is>
          <t>愛知県</t>
        </is>
      </c>
      <c r="G1074" t="inlineStr">
        <is>
          <t>消耗品</t>
        </is>
      </c>
      <c r="H1074" t="inlineStr">
        <is>
          <t>交換用ヘッド</t>
        </is>
      </c>
      <c r="I1074" s="4" t="n">
        <v>13</v>
      </c>
      <c r="J1074" s="4" t="n">
        <v>23230</v>
      </c>
      <c r="K1074" s="4">
        <f>I1074*J1074</f>
        <v/>
      </c>
      <c r="L1074" t="inlineStr">
        <is>
          <t>大型案件</t>
        </is>
      </c>
    </row>
    <row r="1075">
      <c r="A1075" t="inlineStr">
        <is>
          <t>SR045</t>
        </is>
      </c>
      <c r="B1075" t="inlineStr">
        <is>
          <t>営業担当045</t>
        </is>
      </c>
      <c r="C1075" t="inlineStr">
        <is>
          <t>インサイドセールス部</t>
        </is>
      </c>
      <c r="D1075" s="3" t="n">
        <v>45974</v>
      </c>
      <c r="E1075" t="inlineStr">
        <is>
          <t>白峰化学(株)</t>
        </is>
      </c>
      <c r="F1075" t="inlineStr">
        <is>
          <t>兵庫県</t>
        </is>
      </c>
      <c r="G1075" t="inlineStr">
        <is>
          <t>消耗品</t>
        </is>
      </c>
      <c r="H1075" t="inlineStr">
        <is>
          <t>ラベルロール</t>
        </is>
      </c>
      <c r="I1075" s="4" t="n">
        <v>6</v>
      </c>
      <c r="J1075" s="4" t="n">
        <v>2730</v>
      </c>
      <c r="K1075" s="4">
        <f>I1075*J1075</f>
        <v/>
      </c>
      <c r="L1075" t="inlineStr">
        <is>
          <t>分納</t>
        </is>
      </c>
    </row>
    <row r="1076">
      <c r="A1076" t="inlineStr">
        <is>
          <t>SR045</t>
        </is>
      </c>
      <c r="B1076" t="inlineStr">
        <is>
          <t>営業担当045</t>
        </is>
      </c>
      <c r="C1076" t="inlineStr">
        <is>
          <t>インサイドセールス部</t>
        </is>
      </c>
      <c r="D1076" s="3" t="n">
        <v>45989</v>
      </c>
      <c r="E1076" t="inlineStr">
        <is>
          <t>青葉商事有限会社</t>
        </is>
      </c>
      <c r="F1076" t="inlineStr">
        <is>
          <t>京都府</t>
        </is>
      </c>
      <c r="G1076" t="inlineStr">
        <is>
          <t>消耗品</t>
        </is>
      </c>
      <c r="H1076" t="inlineStr">
        <is>
          <t>保守用バッテリー</t>
        </is>
      </c>
      <c r="I1076" s="4" t="n">
        <v>11</v>
      </c>
      <c r="J1076" s="4" t="n">
        <v>17270</v>
      </c>
      <c r="K1076" s="4">
        <f>I1076*J1076</f>
        <v/>
      </c>
      <c r="L1076" t="inlineStr">
        <is>
          <t>分納</t>
        </is>
      </c>
    </row>
    <row r="1077">
      <c r="A1077" t="inlineStr">
        <is>
          <t>SR045</t>
        </is>
      </c>
      <c r="B1077" t="inlineStr">
        <is>
          <t>営業担当045</t>
        </is>
      </c>
      <c r="C1077" t="inlineStr">
        <is>
          <t>インサイドセールス部</t>
        </is>
      </c>
      <c r="D1077" s="3" t="n">
        <v>45992</v>
      </c>
      <c r="E1077" t="inlineStr">
        <is>
          <t>アーク電機有限会社</t>
        </is>
      </c>
      <c r="F1077" t="inlineStr">
        <is>
          <t>東京都</t>
        </is>
      </c>
      <c r="G1077" t="inlineStr">
        <is>
          <t>保守サービス</t>
        </is>
      </c>
      <c r="H1077" t="inlineStr">
        <is>
          <t>オンサイト保守</t>
        </is>
      </c>
      <c r="I1077" s="4" t="n">
        <v>4</v>
      </c>
      <c r="J1077" s="4" t="n">
        <v>96100</v>
      </c>
      <c r="K1077" s="4">
        <f>I1077*J1077</f>
        <v/>
      </c>
      <c r="L1077" t="inlineStr"/>
    </row>
    <row r="1078">
      <c r="A1078" t="inlineStr">
        <is>
          <t>SR045</t>
        </is>
      </c>
      <c r="B1078" t="inlineStr">
        <is>
          <t>営業担当045</t>
        </is>
      </c>
      <c r="C1078" t="inlineStr">
        <is>
          <t>インサイドセールス部</t>
        </is>
      </c>
      <c r="D1078" s="3" t="n">
        <v>46008</v>
      </c>
      <c r="E1078" t="inlineStr">
        <is>
          <t>オーシャン製作所有限会社</t>
        </is>
      </c>
      <c r="F1078" t="inlineStr">
        <is>
          <t>愛知県</t>
        </is>
      </c>
      <c r="G1078" t="inlineStr">
        <is>
          <t>ソフトウェア</t>
        </is>
      </c>
      <c r="H1078" t="inlineStr">
        <is>
          <t>在庫管理クラウド</t>
        </is>
      </c>
      <c r="I1078" s="4" t="n">
        <v>1</v>
      </c>
      <c r="J1078" s="4" t="n">
        <v>423700</v>
      </c>
      <c r="K1078" s="4">
        <f>I1078*J1078</f>
        <v/>
      </c>
      <c r="L1078" t="inlineStr"/>
    </row>
    <row r="1079">
      <c r="A1079" t="inlineStr">
        <is>
          <t>SR045</t>
        </is>
      </c>
      <c r="B1079" t="inlineStr">
        <is>
          <t>営業担当045</t>
        </is>
      </c>
      <c r="C1079" t="inlineStr">
        <is>
          <t>インサイドセールス部</t>
        </is>
      </c>
      <c r="D1079" s="3" t="n">
        <v>46041</v>
      </c>
      <c r="E1079" t="inlineStr">
        <is>
          <t>東洋フーズ有限会社</t>
        </is>
      </c>
      <c r="F1079" t="inlineStr">
        <is>
          <t>福岡県</t>
        </is>
      </c>
      <c r="G1079" t="inlineStr">
        <is>
          <t>消耗品</t>
        </is>
      </c>
      <c r="H1079" t="inlineStr">
        <is>
          <t>保守用バッテリー</t>
        </is>
      </c>
      <c r="I1079" s="4" t="n">
        <v>6</v>
      </c>
      <c r="J1079" s="4" t="n">
        <v>14420</v>
      </c>
      <c r="K1079" s="4">
        <f>I1079*J1079</f>
        <v/>
      </c>
      <c r="L1079" t="inlineStr">
        <is>
          <t>分納</t>
        </is>
      </c>
    </row>
    <row r="1080">
      <c r="A1080" t="inlineStr">
        <is>
          <t>SR045</t>
        </is>
      </c>
      <c r="B1080" t="inlineStr">
        <is>
          <t>営業担当045</t>
        </is>
      </c>
      <c r="C1080" t="inlineStr">
        <is>
          <t>インサイドセールス部</t>
        </is>
      </c>
      <c r="D1080" s="3" t="n">
        <v>46044</v>
      </c>
      <c r="E1080" t="inlineStr">
        <is>
          <t>大和精機(株)</t>
        </is>
      </c>
      <c r="F1080" t="inlineStr">
        <is>
          <t>広島県</t>
        </is>
      </c>
      <c r="G1080" t="inlineStr">
        <is>
          <t>保守サービス</t>
        </is>
      </c>
      <c r="H1080" t="inlineStr">
        <is>
          <t>ヘルプデスク契約</t>
        </is>
      </c>
      <c r="I1080" s="4" t="n">
        <v>1</v>
      </c>
      <c r="J1080" s="4" t="n">
        <v>109800</v>
      </c>
      <c r="K1080" s="4">
        <f>I1080*J1080</f>
        <v/>
      </c>
      <c r="L1080" t="inlineStr">
        <is>
          <t>大型案件</t>
        </is>
      </c>
    </row>
    <row r="1081">
      <c r="A1081" t="inlineStr">
        <is>
          <t>SR045</t>
        </is>
      </c>
      <c r="B1081" t="inlineStr">
        <is>
          <t>営業担当045</t>
        </is>
      </c>
      <c r="C1081" t="inlineStr">
        <is>
          <t>インサイドセールス部</t>
        </is>
      </c>
      <c r="D1081" s="3" t="n">
        <v>46055</v>
      </c>
      <c r="E1081" t="inlineStr">
        <is>
          <t>未来通信(株)</t>
        </is>
      </c>
      <c r="F1081" t="inlineStr">
        <is>
          <t>京都府</t>
        </is>
      </c>
      <c r="G1081" t="inlineStr">
        <is>
          <t>導入支援</t>
        </is>
      </c>
      <c r="H1081" t="inlineStr">
        <is>
          <t>データ移行支援</t>
        </is>
      </c>
      <c r="I1081" s="4" t="n">
        <v>1</v>
      </c>
      <c r="J1081" s="4" t="n">
        <v>240500</v>
      </c>
      <c r="K1081" s="4">
        <f>I1081*J1081</f>
        <v/>
      </c>
      <c r="L1081" t="inlineStr">
        <is>
          <t>大型案件</t>
        </is>
      </c>
    </row>
    <row r="1082">
      <c r="A1082" t="inlineStr">
        <is>
          <t>SR045</t>
        </is>
      </c>
      <c r="B1082" t="inlineStr">
        <is>
          <t>営業担当045</t>
        </is>
      </c>
      <c r="C1082" t="inlineStr">
        <is>
          <t>インサイドセールス部</t>
        </is>
      </c>
      <c r="D1082" s="3" t="n">
        <v>46077</v>
      </c>
      <c r="E1082" t="inlineStr">
        <is>
          <t>ライトホーム(株)</t>
        </is>
      </c>
      <c r="F1082" t="inlineStr">
        <is>
          <t>福岡県</t>
        </is>
      </c>
      <c r="G1082" t="inlineStr">
        <is>
          <t>ハードウェア</t>
        </is>
      </c>
      <c r="H1082" t="inlineStr">
        <is>
          <t>小型ハンディ端末</t>
        </is>
      </c>
      <c r="I1082" s="4" t="n">
        <v>1</v>
      </c>
      <c r="J1082" s="4" t="n">
        <v>51100</v>
      </c>
      <c r="K1082" s="4">
        <f>I1082*J1082</f>
        <v/>
      </c>
      <c r="L1082" t="inlineStr"/>
    </row>
    <row r="1083">
      <c r="A1083" t="inlineStr">
        <is>
          <t>SR045</t>
        </is>
      </c>
      <c r="B1083" t="inlineStr">
        <is>
          <t>営業担当045</t>
        </is>
      </c>
      <c r="C1083" t="inlineStr">
        <is>
          <t>インサイドセールス部</t>
        </is>
      </c>
      <c r="D1083" s="3" t="n">
        <v>46091</v>
      </c>
      <c r="E1083" t="inlineStr">
        <is>
          <t>星和商会(株)</t>
        </is>
      </c>
      <c r="F1083" t="inlineStr">
        <is>
          <t>京都府</t>
        </is>
      </c>
      <c r="G1083" t="inlineStr">
        <is>
          <t>保守サービス</t>
        </is>
      </c>
      <c r="H1083" t="inlineStr">
        <is>
          <t>オンサイト保守</t>
        </is>
      </c>
      <c r="I1083" s="4" t="n">
        <v>5</v>
      </c>
      <c r="J1083" s="4" t="n">
        <v>150800</v>
      </c>
      <c r="K1083" s="4">
        <f>I1083*J1083</f>
        <v/>
      </c>
      <c r="L1083" t="inlineStr"/>
    </row>
    <row r="1084">
      <c r="A1084" t="inlineStr">
        <is>
          <t>SR045</t>
        </is>
      </c>
      <c r="B1084" t="inlineStr">
        <is>
          <t>営業担当045</t>
        </is>
      </c>
      <c r="C1084" t="inlineStr">
        <is>
          <t>インサイドセールス部</t>
        </is>
      </c>
      <c r="D1084" s="3" t="n">
        <v>46092</v>
      </c>
      <c r="E1084" t="inlineStr">
        <is>
          <t>みらい物流有限会社</t>
        </is>
      </c>
      <c r="F1084" t="inlineStr">
        <is>
          <t>東京都</t>
        </is>
      </c>
      <c r="G1084" t="inlineStr">
        <is>
          <t>ハードウェア</t>
        </is>
      </c>
      <c r="H1084" t="inlineStr">
        <is>
          <t>ネットワークカメラ</t>
        </is>
      </c>
      <c r="I1084" s="4" t="n">
        <v>1</v>
      </c>
      <c r="J1084" s="4" t="n">
        <v>49500</v>
      </c>
      <c r="K1084" s="4">
        <f>I1084*J1084</f>
        <v/>
      </c>
      <c r="L1084" t="inlineStr">
        <is>
          <t>大型案件</t>
        </is>
      </c>
    </row>
    <row r="1085">
      <c r="A1085" t="inlineStr">
        <is>
          <t>SR046</t>
        </is>
      </c>
      <c r="B1085" t="inlineStr">
        <is>
          <t>営業担当046</t>
        </is>
      </c>
      <c r="C1085" t="inlineStr">
        <is>
          <t>第1営業部</t>
        </is>
      </c>
      <c r="D1085" s="3" t="n">
        <v>45751</v>
      </c>
      <c r="E1085" t="inlineStr">
        <is>
          <t>グリーンテック株式会社</t>
        </is>
      </c>
      <c r="F1085" t="inlineStr">
        <is>
          <t>愛知県</t>
        </is>
      </c>
      <c r="G1085" t="inlineStr">
        <is>
          <t>ハードウェア</t>
        </is>
      </c>
      <c r="H1085" t="inlineStr">
        <is>
          <t>ネットワークカメラ</t>
        </is>
      </c>
      <c r="I1085" s="4" t="n">
        <v>3</v>
      </c>
      <c r="J1085" s="4" t="n">
        <v>56500</v>
      </c>
      <c r="K1085" s="4">
        <f>I1085*J1085</f>
        <v/>
      </c>
      <c r="L1085" t="inlineStr">
        <is>
          <t>キャンペーン適用</t>
        </is>
      </c>
    </row>
    <row r="1086">
      <c r="A1086" t="inlineStr">
        <is>
          <t>SR046</t>
        </is>
      </c>
      <c r="B1086" t="inlineStr">
        <is>
          <t>営業担当046</t>
        </is>
      </c>
      <c r="C1086" t="inlineStr">
        <is>
          <t>第1営業部</t>
        </is>
      </c>
      <c r="D1086" s="3" t="n">
        <v>45752</v>
      </c>
      <c r="E1086" t="inlineStr">
        <is>
          <t>ネクストソリューション(株)</t>
        </is>
      </c>
      <c r="F1086" t="inlineStr">
        <is>
          <t>兵庫県</t>
        </is>
      </c>
      <c r="G1086" t="inlineStr">
        <is>
          <t>保守サービス</t>
        </is>
      </c>
      <c r="H1086" t="inlineStr">
        <is>
          <t>オンサイト保守</t>
        </is>
      </c>
      <c r="I1086" s="4" t="n">
        <v>3</v>
      </c>
      <c r="J1086" s="4" t="n">
        <v>41600</v>
      </c>
      <c r="K1086" s="4">
        <f>I1086*J1086</f>
        <v/>
      </c>
      <c r="L1086" t="inlineStr">
        <is>
          <t>値引き調整あり</t>
        </is>
      </c>
    </row>
    <row r="1087">
      <c r="A1087" t="inlineStr">
        <is>
          <t>SR046</t>
        </is>
      </c>
      <c r="B1087" t="inlineStr">
        <is>
          <t>営業担当046</t>
        </is>
      </c>
      <c r="C1087" t="inlineStr">
        <is>
          <t>第1営業部</t>
        </is>
      </c>
      <c r="D1087" s="3" t="n">
        <v>45796</v>
      </c>
      <c r="E1087" t="inlineStr">
        <is>
          <t>グリーンテック株式会社</t>
        </is>
      </c>
      <c r="F1087" t="inlineStr">
        <is>
          <t>愛知県</t>
        </is>
      </c>
      <c r="G1087" t="inlineStr">
        <is>
          <t>消耗品</t>
        </is>
      </c>
      <c r="H1087" t="inlineStr">
        <is>
          <t>交換用ヘッド</t>
        </is>
      </c>
      <c r="I1087" s="4" t="n">
        <v>14</v>
      </c>
      <c r="J1087" s="4" t="n">
        <v>14230</v>
      </c>
      <c r="K1087" s="4">
        <f>I1087*J1087</f>
        <v/>
      </c>
      <c r="L1087" t="inlineStr">
        <is>
          <t>キャンペーン適用</t>
        </is>
      </c>
    </row>
    <row r="1088">
      <c r="A1088" t="inlineStr">
        <is>
          <t>SR046</t>
        </is>
      </c>
      <c r="B1088" t="inlineStr">
        <is>
          <t>営業担当046</t>
        </is>
      </c>
      <c r="C1088" t="inlineStr">
        <is>
          <t>第1営業部</t>
        </is>
      </c>
      <c r="D1088" s="3" t="n">
        <v>45798</v>
      </c>
      <c r="E1088" t="inlineStr">
        <is>
          <t>桜井メディカル株式会社</t>
        </is>
      </c>
      <c r="F1088" t="inlineStr">
        <is>
          <t>兵庫県</t>
        </is>
      </c>
      <c r="G1088" t="inlineStr">
        <is>
          <t>消耗品</t>
        </is>
      </c>
      <c r="H1088" t="inlineStr">
        <is>
          <t>ラベルロール</t>
        </is>
      </c>
      <c r="I1088" s="4" t="n">
        <v>14</v>
      </c>
      <c r="J1088" s="4" t="n">
        <v>8220</v>
      </c>
      <c r="K1088" s="4">
        <f>I1088*J1088</f>
        <v/>
      </c>
      <c r="L1088" t="inlineStr"/>
    </row>
    <row r="1089">
      <c r="A1089" t="inlineStr">
        <is>
          <t>SR046</t>
        </is>
      </c>
      <c r="B1089" t="inlineStr">
        <is>
          <t>営業担当046</t>
        </is>
      </c>
      <c r="C1089" t="inlineStr">
        <is>
          <t>第1営業部</t>
        </is>
      </c>
      <c r="D1089" s="3" t="n">
        <v>45819</v>
      </c>
      <c r="E1089" t="inlineStr">
        <is>
          <t>桜井メディカル株式会社</t>
        </is>
      </c>
      <c r="F1089" t="inlineStr">
        <is>
          <t>神奈川県</t>
        </is>
      </c>
      <c r="G1089" t="inlineStr">
        <is>
          <t>ハードウェア</t>
        </is>
      </c>
      <c r="H1089" t="inlineStr">
        <is>
          <t>ネットワークカメラ</t>
        </is>
      </c>
      <c r="I1089" s="4" t="n">
        <v>2</v>
      </c>
      <c r="J1089" s="4" t="n">
        <v>32300</v>
      </c>
      <c r="K1089" s="4">
        <f>I1089*J1089</f>
        <v/>
      </c>
      <c r="L1089" t="inlineStr">
        <is>
          <t>分納</t>
        </is>
      </c>
    </row>
    <row r="1090">
      <c r="A1090" t="inlineStr">
        <is>
          <t>SR046</t>
        </is>
      </c>
      <c r="B1090" t="inlineStr">
        <is>
          <t>営業担当046</t>
        </is>
      </c>
      <c r="C1090" t="inlineStr">
        <is>
          <t>第1営業部</t>
        </is>
      </c>
      <c r="D1090" s="3" t="n">
        <v>45820</v>
      </c>
      <c r="E1090" t="inlineStr">
        <is>
          <t>東洋フーズ株式会社</t>
        </is>
      </c>
      <c r="F1090" t="inlineStr">
        <is>
          <t>愛知県</t>
        </is>
      </c>
      <c r="G1090" t="inlineStr">
        <is>
          <t>ソフトウェア</t>
        </is>
      </c>
      <c r="H1090" t="inlineStr">
        <is>
          <t>帳票自動化ツール</t>
        </is>
      </c>
      <c r="I1090" s="4" t="n">
        <v>2</v>
      </c>
      <c r="J1090" s="4" t="n">
        <v>344800</v>
      </c>
      <c r="K1090" s="4">
        <f>I1090*J1090</f>
        <v/>
      </c>
      <c r="L1090" t="inlineStr">
        <is>
          <t>分納</t>
        </is>
      </c>
    </row>
    <row r="1091">
      <c r="A1091" t="inlineStr">
        <is>
          <t>SR046</t>
        </is>
      </c>
      <c r="B1091" t="inlineStr">
        <is>
          <t>営業担当046</t>
        </is>
      </c>
      <c r="C1091" t="inlineStr">
        <is>
          <t>第1営業部</t>
        </is>
      </c>
      <c r="D1091" s="3" t="n">
        <v>45858</v>
      </c>
      <c r="E1091" t="inlineStr">
        <is>
          <t>オーシャン製作所有限会社</t>
        </is>
      </c>
      <c r="F1091" t="inlineStr">
        <is>
          <t>兵庫県</t>
        </is>
      </c>
      <c r="G1091" t="inlineStr">
        <is>
          <t>保守サービス</t>
        </is>
      </c>
      <c r="H1091" t="inlineStr">
        <is>
          <t>ヘルプデスク契約</t>
        </is>
      </c>
      <c r="I1091" s="4" t="n">
        <v>3</v>
      </c>
      <c r="J1091" s="4" t="n">
        <v>78800</v>
      </c>
      <c r="K1091" s="4">
        <f>I1091*J1091</f>
        <v/>
      </c>
      <c r="L1091" t="inlineStr">
        <is>
          <t>新規開拓</t>
        </is>
      </c>
    </row>
    <row r="1092">
      <c r="A1092" t="inlineStr">
        <is>
          <t>SR046</t>
        </is>
      </c>
      <c r="B1092" t="inlineStr">
        <is>
          <t>営業担当046</t>
        </is>
      </c>
      <c r="C1092" t="inlineStr">
        <is>
          <t>第1営業部</t>
        </is>
      </c>
      <c r="D1092" s="3" t="n">
        <v>45864</v>
      </c>
      <c r="E1092" t="inlineStr">
        <is>
          <t>ライトホーム株式会社</t>
        </is>
      </c>
      <c r="F1092" t="inlineStr">
        <is>
          <t>福岡県</t>
        </is>
      </c>
      <c r="G1092" t="inlineStr">
        <is>
          <t>消耗品</t>
        </is>
      </c>
      <c r="H1092" t="inlineStr">
        <is>
          <t>保守用バッテリー</t>
        </is>
      </c>
      <c r="I1092" s="4" t="n">
        <v>13</v>
      </c>
      <c r="J1092" s="4" t="n">
        <v>16220</v>
      </c>
      <c r="K1092" s="4">
        <f>I1092*J1092</f>
        <v/>
      </c>
      <c r="L1092" t="inlineStr">
        <is>
          <t>新規開拓</t>
        </is>
      </c>
    </row>
    <row r="1093">
      <c r="A1093" t="inlineStr">
        <is>
          <t>SR046</t>
        </is>
      </c>
      <c r="B1093" t="inlineStr">
        <is>
          <t>営業担当046</t>
        </is>
      </c>
      <c r="C1093" t="inlineStr">
        <is>
          <t>第1営業部</t>
        </is>
      </c>
      <c r="D1093" s="3" t="n">
        <v>45875</v>
      </c>
      <c r="E1093" t="inlineStr">
        <is>
          <t>中央設備(株)</t>
        </is>
      </c>
      <c r="F1093" t="inlineStr">
        <is>
          <t>東京都</t>
        </is>
      </c>
      <c r="G1093" t="inlineStr">
        <is>
          <t>導入支援</t>
        </is>
      </c>
      <c r="H1093" t="inlineStr">
        <is>
          <t>初期設定支援</t>
        </is>
      </c>
      <c r="I1093" s="4" t="n">
        <v>1</v>
      </c>
      <c r="J1093" s="4" t="n">
        <v>180800</v>
      </c>
      <c r="K1093" s="4">
        <f>I1093*J1093</f>
        <v/>
      </c>
      <c r="L1093" t="inlineStr">
        <is>
          <t>大型案件</t>
        </is>
      </c>
    </row>
    <row r="1094">
      <c r="A1094" t="inlineStr">
        <is>
          <t>SR046</t>
        </is>
      </c>
      <c r="B1094" t="inlineStr">
        <is>
          <t>営業担当046</t>
        </is>
      </c>
      <c r="C1094" t="inlineStr">
        <is>
          <t>第1営業部</t>
        </is>
      </c>
      <c r="D1094" s="3" t="n">
        <v>45885</v>
      </c>
      <c r="E1094" t="inlineStr">
        <is>
          <t>大和精機(株)</t>
        </is>
      </c>
      <c r="F1094" t="inlineStr">
        <is>
          <t>福岡県</t>
        </is>
      </c>
      <c r="G1094" t="inlineStr">
        <is>
          <t>保守サービス</t>
        </is>
      </c>
      <c r="H1094" t="inlineStr">
        <is>
          <t>ヘルプデスク契約</t>
        </is>
      </c>
      <c r="I1094" s="4" t="n">
        <v>3</v>
      </c>
      <c r="J1094" s="4" t="n">
        <v>89800</v>
      </c>
      <c r="K1094" s="4">
        <f>I1094*J1094</f>
        <v/>
      </c>
      <c r="L1094" t="inlineStr">
        <is>
          <t>分納</t>
        </is>
      </c>
    </row>
    <row r="1095">
      <c r="A1095" t="inlineStr">
        <is>
          <t>SR046</t>
        </is>
      </c>
      <c r="B1095" t="inlineStr">
        <is>
          <t>営業担当046</t>
        </is>
      </c>
      <c r="C1095" t="inlineStr">
        <is>
          <t>第1営業部</t>
        </is>
      </c>
      <c r="D1095" s="3" t="n">
        <v>45923</v>
      </c>
      <c r="E1095" t="inlineStr">
        <is>
          <t>ネクストソリューション(株)</t>
        </is>
      </c>
      <c r="F1095" t="inlineStr">
        <is>
          <t>神奈川県</t>
        </is>
      </c>
      <c r="G1095" t="inlineStr">
        <is>
          <t>消耗品</t>
        </is>
      </c>
      <c r="H1095" t="inlineStr">
        <is>
          <t>保守用バッテリー</t>
        </is>
      </c>
      <c r="I1095" s="4" t="n">
        <v>11</v>
      </c>
      <c r="J1095" s="4" t="n">
        <v>17750</v>
      </c>
      <c r="K1095" s="4">
        <f>I1095*J1095</f>
        <v/>
      </c>
      <c r="L1095" t="inlineStr"/>
    </row>
    <row r="1096">
      <c r="A1096" t="inlineStr">
        <is>
          <t>SR046</t>
        </is>
      </c>
      <c r="B1096" t="inlineStr">
        <is>
          <t>営業担当046</t>
        </is>
      </c>
      <c r="C1096" t="inlineStr">
        <is>
          <t>第1営業部</t>
        </is>
      </c>
      <c r="D1096" s="3" t="n">
        <v>45923</v>
      </c>
      <c r="E1096" t="inlineStr">
        <is>
          <t>桜井メディカル(株)</t>
        </is>
      </c>
      <c r="F1096" t="inlineStr">
        <is>
          <t>兵庫県</t>
        </is>
      </c>
      <c r="G1096" t="inlineStr">
        <is>
          <t>ハードウェア</t>
        </is>
      </c>
      <c r="H1096" t="inlineStr">
        <is>
          <t>小型ハンディ端末</t>
        </is>
      </c>
      <c r="I1096" s="4" t="n">
        <v>4</v>
      </c>
      <c r="J1096" s="4" t="n">
        <v>78900</v>
      </c>
      <c r="K1096" s="4">
        <f>I1096*J1096</f>
        <v/>
      </c>
      <c r="L1096" t="inlineStr">
        <is>
          <t>キャンペーン適用</t>
        </is>
      </c>
    </row>
    <row r="1097">
      <c r="A1097" t="inlineStr">
        <is>
          <t>SR046</t>
        </is>
      </c>
      <c r="B1097" t="inlineStr">
        <is>
          <t>営業担当046</t>
        </is>
      </c>
      <c r="C1097" t="inlineStr">
        <is>
          <t>第1営業部</t>
        </is>
      </c>
      <c r="D1097" s="3" t="n">
        <v>45937</v>
      </c>
      <c r="E1097" t="inlineStr">
        <is>
          <t>桜井メディカル株式会社</t>
        </is>
      </c>
      <c r="F1097" t="inlineStr">
        <is>
          <t>広島県</t>
        </is>
      </c>
      <c r="G1097" t="inlineStr">
        <is>
          <t>ハードウェア</t>
        </is>
      </c>
      <c r="H1097" t="inlineStr">
        <is>
          <t>ネットワークカメラ</t>
        </is>
      </c>
      <c r="I1097" s="4" t="n">
        <v>2</v>
      </c>
      <c r="J1097" s="4" t="n">
        <v>55300</v>
      </c>
      <c r="K1097" s="4">
        <f>I1097*J1097</f>
        <v/>
      </c>
      <c r="L1097" t="inlineStr">
        <is>
          <t>キャンペーン適用</t>
        </is>
      </c>
    </row>
    <row r="1098">
      <c r="A1098" t="inlineStr">
        <is>
          <t>SR046</t>
        </is>
      </c>
      <c r="B1098" t="inlineStr">
        <is>
          <t>営業担当046</t>
        </is>
      </c>
      <c r="C1098" t="inlineStr">
        <is>
          <t>第1営業部</t>
        </is>
      </c>
      <c r="D1098" s="3" t="n">
        <v>45937</v>
      </c>
      <c r="E1098" t="inlineStr">
        <is>
          <t>日新サービス株式会社</t>
        </is>
      </c>
      <c r="F1098" t="inlineStr">
        <is>
          <t>東京都</t>
        </is>
      </c>
      <c r="G1098" t="inlineStr">
        <is>
          <t>保守サービス</t>
        </is>
      </c>
      <c r="H1098" t="inlineStr">
        <is>
          <t>年間保守契約</t>
        </is>
      </c>
      <c r="I1098" s="4" t="n">
        <v>1</v>
      </c>
      <c r="J1098" s="4" t="n">
        <v>206500</v>
      </c>
      <c r="K1098" s="4">
        <f>I1098*J1098</f>
        <v/>
      </c>
      <c r="L1098" t="inlineStr"/>
    </row>
    <row r="1099">
      <c r="A1099" t="inlineStr">
        <is>
          <t>SR046</t>
        </is>
      </c>
      <c r="B1099" t="inlineStr">
        <is>
          <t>営業担当046</t>
        </is>
      </c>
      <c r="C1099" t="inlineStr">
        <is>
          <t>第1営業部</t>
        </is>
      </c>
      <c r="D1099" s="3" t="n">
        <v>45974</v>
      </c>
      <c r="E1099" t="inlineStr">
        <is>
          <t>星和商会株式会社</t>
        </is>
      </c>
      <c r="F1099" t="inlineStr">
        <is>
          <t>北海道</t>
        </is>
      </c>
      <c r="G1099" t="inlineStr">
        <is>
          <t>保守サービス</t>
        </is>
      </c>
      <c r="H1099" t="inlineStr">
        <is>
          <t>ヘルプデスク契約</t>
        </is>
      </c>
      <c r="I1099" s="4" t="n">
        <v>1</v>
      </c>
      <c r="J1099" s="4" t="n">
        <v>49700</v>
      </c>
      <c r="K1099" s="4">
        <f>I1099*J1099</f>
        <v/>
      </c>
      <c r="L1099" t="inlineStr"/>
    </row>
    <row r="1100">
      <c r="A1100" t="inlineStr">
        <is>
          <t>SR046</t>
        </is>
      </c>
      <c r="B1100" t="inlineStr">
        <is>
          <t>営業担当046</t>
        </is>
      </c>
      <c r="C1100" t="inlineStr">
        <is>
          <t>第1営業部</t>
        </is>
      </c>
      <c r="D1100" s="3" t="n">
        <v>45979</v>
      </c>
      <c r="E1100" t="inlineStr">
        <is>
          <t>中央設備株式会社</t>
        </is>
      </c>
      <c r="F1100" t="inlineStr">
        <is>
          <t>神奈川県</t>
        </is>
      </c>
      <c r="G1100" t="inlineStr">
        <is>
          <t>導入支援</t>
        </is>
      </c>
      <c r="H1100" t="inlineStr">
        <is>
          <t>初期設定支援</t>
        </is>
      </c>
      <c r="I1100" s="4" t="n">
        <v>5</v>
      </c>
      <c r="J1100" s="4" t="n">
        <v>206700</v>
      </c>
      <c r="K1100" s="4">
        <f>I1100*J1100</f>
        <v/>
      </c>
      <c r="L1100" t="inlineStr">
        <is>
          <t>新規開拓</t>
        </is>
      </c>
    </row>
    <row r="1101">
      <c r="A1101" t="inlineStr">
        <is>
          <t>SR046</t>
        </is>
      </c>
      <c r="B1101" t="inlineStr">
        <is>
          <t>営業担当046</t>
        </is>
      </c>
      <c r="C1101" t="inlineStr">
        <is>
          <t>第1営業部</t>
        </is>
      </c>
      <c r="D1101" s="3" t="n">
        <v>45993</v>
      </c>
      <c r="E1101" t="inlineStr">
        <is>
          <t>青葉商事株式会社</t>
        </is>
      </c>
      <c r="F1101" t="inlineStr">
        <is>
          <t>愛知県</t>
        </is>
      </c>
      <c r="G1101" t="inlineStr">
        <is>
          <t>保守サービス</t>
        </is>
      </c>
      <c r="H1101" t="inlineStr">
        <is>
          <t>年間保守契約</t>
        </is>
      </c>
      <c r="I1101" s="4" t="n">
        <v>2</v>
      </c>
      <c r="J1101" s="4" t="n">
        <v>167300</v>
      </c>
      <c r="K1101" s="4">
        <f>I1101*J1101</f>
        <v/>
      </c>
      <c r="L1101" t="inlineStr"/>
    </row>
    <row r="1102">
      <c r="A1102" t="inlineStr">
        <is>
          <t>SR046</t>
        </is>
      </c>
      <c r="B1102" t="inlineStr">
        <is>
          <t>営業担当046</t>
        </is>
      </c>
      <c r="C1102" t="inlineStr">
        <is>
          <t>第1営業部</t>
        </is>
      </c>
      <c r="D1102" s="3" t="n">
        <v>46001</v>
      </c>
      <c r="E1102" t="inlineStr">
        <is>
          <t>白峰化学有限会社</t>
        </is>
      </c>
      <c r="F1102" t="inlineStr">
        <is>
          <t>北海道</t>
        </is>
      </c>
      <c r="G1102" t="inlineStr">
        <is>
          <t>ハードウェア</t>
        </is>
      </c>
      <c r="H1102" t="inlineStr">
        <is>
          <t>産業用タブレット</t>
        </is>
      </c>
      <c r="I1102" s="4" t="n">
        <v>4</v>
      </c>
      <c r="J1102" s="4" t="n">
        <v>120400</v>
      </c>
      <c r="K1102" s="4">
        <f>I1102*J1102</f>
        <v/>
      </c>
      <c r="L1102" t="inlineStr">
        <is>
          <t>新規開拓</t>
        </is>
      </c>
    </row>
    <row r="1103">
      <c r="A1103" t="inlineStr">
        <is>
          <t>SR046</t>
        </is>
      </c>
      <c r="B1103" t="inlineStr">
        <is>
          <t>営業担当046</t>
        </is>
      </c>
      <c r="C1103" t="inlineStr">
        <is>
          <t>第1営業部</t>
        </is>
      </c>
      <c r="D1103" s="3" t="n">
        <v>46033</v>
      </c>
      <c r="E1103" t="inlineStr">
        <is>
          <t>九州エナジー株式会社</t>
        </is>
      </c>
      <c r="F1103" t="inlineStr">
        <is>
          <t>福岡県</t>
        </is>
      </c>
      <c r="G1103" t="inlineStr">
        <is>
          <t>ハードウェア</t>
        </is>
      </c>
      <c r="H1103" t="inlineStr">
        <is>
          <t>産業用タブレット</t>
        </is>
      </c>
      <c r="I1103" s="4" t="n">
        <v>2</v>
      </c>
      <c r="J1103" s="4" t="n">
        <v>94800</v>
      </c>
      <c r="K1103" s="4">
        <f>I1103*J1103</f>
        <v/>
      </c>
      <c r="L1103" t="inlineStr"/>
    </row>
    <row r="1104">
      <c r="A1104" t="inlineStr">
        <is>
          <t>SR046</t>
        </is>
      </c>
      <c r="B1104" t="inlineStr">
        <is>
          <t>営業担当046</t>
        </is>
      </c>
      <c r="C1104" t="inlineStr">
        <is>
          <t>第1営業部</t>
        </is>
      </c>
      <c r="D1104" s="3" t="n">
        <v>46036</v>
      </c>
      <c r="E1104" t="inlineStr">
        <is>
          <t>白峰化学(株)</t>
        </is>
      </c>
      <c r="F1104" t="inlineStr">
        <is>
          <t>宮城県</t>
        </is>
      </c>
      <c r="G1104" t="inlineStr">
        <is>
          <t>導入支援</t>
        </is>
      </c>
      <c r="H1104" t="inlineStr">
        <is>
          <t>データ移行支援</t>
        </is>
      </c>
      <c r="I1104" s="4" t="n">
        <v>4</v>
      </c>
      <c r="J1104" s="4" t="n">
        <v>209800</v>
      </c>
      <c r="K1104" s="4">
        <f>I1104*J1104</f>
        <v/>
      </c>
      <c r="L1104" t="inlineStr">
        <is>
          <t>リピート受注</t>
        </is>
      </c>
    </row>
    <row r="1105">
      <c r="A1105" t="inlineStr">
        <is>
          <t>SR046</t>
        </is>
      </c>
      <c r="B1105" t="inlineStr">
        <is>
          <t>営業担当046</t>
        </is>
      </c>
      <c r="C1105" t="inlineStr">
        <is>
          <t>第1営業部</t>
        </is>
      </c>
      <c r="D1105" s="3" t="n">
        <v>46054</v>
      </c>
      <c r="E1105" t="inlineStr">
        <is>
          <t>グリーンテック(株)</t>
        </is>
      </c>
      <c r="F1105" t="inlineStr">
        <is>
          <t>大阪府</t>
        </is>
      </c>
      <c r="G1105" t="inlineStr">
        <is>
          <t>保守サービス</t>
        </is>
      </c>
      <c r="H1105" t="inlineStr">
        <is>
          <t>年間保守契約</t>
        </is>
      </c>
      <c r="I1105" s="4" t="n">
        <v>3</v>
      </c>
      <c r="J1105" s="4" t="n">
        <v>246800</v>
      </c>
      <c r="K1105" s="4">
        <f>I1105*J1105</f>
        <v/>
      </c>
      <c r="L1105" t="inlineStr">
        <is>
          <t>大型案件</t>
        </is>
      </c>
    </row>
    <row r="1106">
      <c r="A1106" t="inlineStr">
        <is>
          <t>SR046</t>
        </is>
      </c>
      <c r="B1106" t="inlineStr">
        <is>
          <t>営業担当046</t>
        </is>
      </c>
      <c r="C1106" t="inlineStr">
        <is>
          <t>第1営業部</t>
        </is>
      </c>
      <c r="D1106" s="3" t="n">
        <v>46066</v>
      </c>
      <c r="E1106" t="inlineStr">
        <is>
          <t>青葉商事株式会社</t>
        </is>
      </c>
      <c r="F1106" t="inlineStr">
        <is>
          <t>広島県</t>
        </is>
      </c>
      <c r="G1106" t="inlineStr">
        <is>
          <t>ハードウェア</t>
        </is>
      </c>
      <c r="H1106" t="inlineStr">
        <is>
          <t>ラベルプリンター</t>
        </is>
      </c>
      <c r="I1106" s="4" t="n">
        <v>1</v>
      </c>
      <c r="J1106" s="4" t="n">
        <v>56300</v>
      </c>
      <c r="K1106" s="4">
        <f>I1106*J1106</f>
        <v/>
      </c>
      <c r="L1106" t="inlineStr"/>
    </row>
    <row r="1107">
      <c r="A1107" t="inlineStr">
        <is>
          <t>SR046</t>
        </is>
      </c>
      <c r="B1107" t="inlineStr">
        <is>
          <t>営業担当046</t>
        </is>
      </c>
      <c r="C1107" t="inlineStr">
        <is>
          <t>第1営業部</t>
        </is>
      </c>
      <c r="D1107" s="3" t="n">
        <v>46091</v>
      </c>
      <c r="E1107" t="inlineStr">
        <is>
          <t>大和精機有限会社</t>
        </is>
      </c>
      <c r="F1107" t="inlineStr">
        <is>
          <t>京都府</t>
        </is>
      </c>
      <c r="G1107" t="inlineStr">
        <is>
          <t>ソフトウェア</t>
        </is>
      </c>
      <c r="H1107" t="inlineStr">
        <is>
          <t>帳票自動化ツール</t>
        </is>
      </c>
      <c r="I1107" s="4" t="n">
        <v>2</v>
      </c>
      <c r="J1107" s="4" t="n">
        <v>190300</v>
      </c>
      <c r="K1107" s="4">
        <f>I1107*J1107</f>
        <v/>
      </c>
      <c r="L1107" t="inlineStr"/>
    </row>
    <row r="1108">
      <c r="A1108" t="inlineStr">
        <is>
          <t>SR046</t>
        </is>
      </c>
      <c r="B1108" t="inlineStr">
        <is>
          <t>営業担当046</t>
        </is>
      </c>
      <c r="C1108" t="inlineStr">
        <is>
          <t>第1営業部</t>
        </is>
      </c>
      <c r="D1108" s="3" t="n">
        <v>46093</v>
      </c>
      <c r="E1108" t="inlineStr">
        <is>
          <t>福岡流通有限会社</t>
        </is>
      </c>
      <c r="F1108" t="inlineStr">
        <is>
          <t>福岡県</t>
        </is>
      </c>
      <c r="G1108" t="inlineStr">
        <is>
          <t>消耗品</t>
        </is>
      </c>
      <c r="H1108" t="inlineStr">
        <is>
          <t>交換用ヘッド</t>
        </is>
      </c>
      <c r="I1108" s="4" t="n">
        <v>15</v>
      </c>
      <c r="J1108" s="4" t="n">
        <v>29760</v>
      </c>
      <c r="K1108" s="4">
        <f>I1108*J1108</f>
        <v/>
      </c>
      <c r="L1108" t="inlineStr"/>
    </row>
    <row r="1109">
      <c r="A1109" t="inlineStr">
        <is>
          <t>SR047</t>
        </is>
      </c>
      <c r="B1109" t="inlineStr">
        <is>
          <t>営業担当047</t>
        </is>
      </c>
      <c r="C1109" t="inlineStr">
        <is>
          <t>第2営業部</t>
        </is>
      </c>
      <c r="D1109" s="3" t="n">
        <v>45750</v>
      </c>
      <c r="E1109" t="inlineStr">
        <is>
          <t>福岡流通株式会社</t>
        </is>
      </c>
      <c r="F1109" t="inlineStr">
        <is>
          <t>京都府</t>
        </is>
      </c>
      <c r="G1109" t="inlineStr">
        <is>
          <t>ハードウェア</t>
        </is>
      </c>
      <c r="H1109" t="inlineStr">
        <is>
          <t>ラベルプリンター</t>
        </is>
      </c>
      <c r="I1109" s="4" t="n">
        <v>2</v>
      </c>
      <c r="J1109" s="4" t="n">
        <v>72500</v>
      </c>
      <c r="K1109" s="4">
        <f>I1109*J1109</f>
        <v/>
      </c>
      <c r="L1109" t="inlineStr">
        <is>
          <t>新規開拓</t>
        </is>
      </c>
    </row>
    <row r="1110">
      <c r="A1110" t="inlineStr">
        <is>
          <t>SR047</t>
        </is>
      </c>
      <c r="B1110" t="inlineStr">
        <is>
          <t>営業担当047</t>
        </is>
      </c>
      <c r="C1110" t="inlineStr">
        <is>
          <t>第2営業部</t>
        </is>
      </c>
      <c r="D1110" s="3" t="n">
        <v>45754</v>
      </c>
      <c r="E1110" t="inlineStr">
        <is>
          <t>桜井メディカル(株)</t>
        </is>
      </c>
      <c r="F1110" t="inlineStr">
        <is>
          <t>京都府</t>
        </is>
      </c>
      <c r="G1110" t="inlineStr">
        <is>
          <t>ソフトウェア</t>
        </is>
      </c>
      <c r="H1110" t="inlineStr">
        <is>
          <t>AIチャットボット</t>
        </is>
      </c>
      <c r="I1110" s="4" t="n">
        <v>1</v>
      </c>
      <c r="J1110" s="4" t="n">
        <v>551900</v>
      </c>
      <c r="K1110" s="4">
        <f>I1110*J1110</f>
        <v/>
      </c>
      <c r="L1110" t="inlineStr">
        <is>
          <t>値引き調整あり</t>
        </is>
      </c>
    </row>
    <row r="1111">
      <c r="A1111" t="inlineStr">
        <is>
          <t>SR047</t>
        </is>
      </c>
      <c r="B1111" t="inlineStr">
        <is>
          <t>営業担当047</t>
        </is>
      </c>
      <c r="C1111" t="inlineStr">
        <is>
          <t>第2営業部</t>
        </is>
      </c>
      <c r="D1111" s="3" t="n">
        <v>45778</v>
      </c>
      <c r="E1111" t="inlineStr">
        <is>
          <t>西日本機工(株)</t>
        </is>
      </c>
      <c r="F1111" t="inlineStr">
        <is>
          <t>宮城県</t>
        </is>
      </c>
      <c r="G1111" t="inlineStr">
        <is>
          <t>導入支援</t>
        </is>
      </c>
      <c r="H1111" t="inlineStr">
        <is>
          <t>初期設定支援</t>
        </is>
      </c>
      <c r="I1111" s="4" t="n">
        <v>1</v>
      </c>
      <c r="J1111" s="4" t="n">
        <v>76400</v>
      </c>
      <c r="K1111" s="4">
        <f>I1111*J1111</f>
        <v/>
      </c>
      <c r="L1111" t="inlineStr">
        <is>
          <t>値引き調整あり</t>
        </is>
      </c>
    </row>
    <row r="1112">
      <c r="A1112" t="inlineStr">
        <is>
          <t>SR047</t>
        </is>
      </c>
      <c r="B1112" t="inlineStr">
        <is>
          <t>営業担当047</t>
        </is>
      </c>
      <c r="C1112" t="inlineStr">
        <is>
          <t>第2営業部</t>
        </is>
      </c>
      <c r="D1112" s="3" t="n">
        <v>45786</v>
      </c>
      <c r="E1112" t="inlineStr">
        <is>
          <t>サンライズ建設有限会社</t>
        </is>
      </c>
      <c r="F1112" t="inlineStr">
        <is>
          <t>神奈川県</t>
        </is>
      </c>
      <c r="G1112" t="inlineStr">
        <is>
          <t>ハードウェア</t>
        </is>
      </c>
      <c r="H1112" t="inlineStr">
        <is>
          <t>小型ハンディ端末</t>
        </is>
      </c>
      <c r="I1112" s="4" t="n">
        <v>5</v>
      </c>
      <c r="J1112" s="4" t="n">
        <v>71700</v>
      </c>
      <c r="K1112" s="4">
        <f>I1112*J1112</f>
        <v/>
      </c>
      <c r="L1112" t="inlineStr"/>
    </row>
    <row r="1113">
      <c r="A1113" t="inlineStr">
        <is>
          <t>SR047</t>
        </is>
      </c>
      <c r="B1113" t="inlineStr">
        <is>
          <t>営業担当047</t>
        </is>
      </c>
      <c r="C1113" t="inlineStr">
        <is>
          <t>第2営業部</t>
        </is>
      </c>
      <c r="D1113" s="3" t="n">
        <v>45822</v>
      </c>
      <c r="E1113" t="inlineStr">
        <is>
          <t>ネクストソリューション有限会社</t>
        </is>
      </c>
      <c r="F1113" t="inlineStr">
        <is>
          <t>大阪府</t>
        </is>
      </c>
      <c r="G1113" t="inlineStr">
        <is>
          <t>導入支援</t>
        </is>
      </c>
      <c r="H1113" t="inlineStr">
        <is>
          <t>初期設定支援</t>
        </is>
      </c>
      <c r="I1113" s="4" t="n">
        <v>2</v>
      </c>
      <c r="J1113" s="4" t="n">
        <v>92100</v>
      </c>
      <c r="K1113" s="4">
        <f>I1113*J1113</f>
        <v/>
      </c>
      <c r="L1113" t="inlineStr">
        <is>
          <t>リピート受注</t>
        </is>
      </c>
    </row>
    <row r="1114">
      <c r="A1114" t="inlineStr">
        <is>
          <t>SR047</t>
        </is>
      </c>
      <c r="B1114" t="inlineStr">
        <is>
          <t>営業担当047</t>
        </is>
      </c>
      <c r="C1114" t="inlineStr">
        <is>
          <t>第2営業部</t>
        </is>
      </c>
      <c r="D1114" s="3" t="n">
        <v>45833</v>
      </c>
      <c r="E1114" t="inlineStr">
        <is>
          <t>サンライズ建設(株)</t>
        </is>
      </c>
      <c r="F1114" t="inlineStr">
        <is>
          <t>北海道</t>
        </is>
      </c>
      <c r="G1114" t="inlineStr">
        <is>
          <t>導入支援</t>
        </is>
      </c>
      <c r="H1114" t="inlineStr">
        <is>
          <t>データ移行支援</t>
        </is>
      </c>
      <c r="I1114" s="4" t="n">
        <v>5</v>
      </c>
      <c r="J1114" s="4" t="n">
        <v>348400</v>
      </c>
      <c r="K1114" s="4">
        <f>I1114*J1114</f>
        <v/>
      </c>
      <c r="L1114" t="inlineStr"/>
    </row>
    <row r="1115">
      <c r="A1115" t="inlineStr">
        <is>
          <t>SR047</t>
        </is>
      </c>
      <c r="B1115" t="inlineStr">
        <is>
          <t>営業担当047</t>
        </is>
      </c>
      <c r="C1115" t="inlineStr">
        <is>
          <t>第2営業部</t>
        </is>
      </c>
      <c r="D1115" s="3" t="n">
        <v>45852</v>
      </c>
      <c r="E1115" t="inlineStr">
        <is>
          <t>ネクストソリューション株式会社</t>
        </is>
      </c>
      <c r="F1115" t="inlineStr">
        <is>
          <t>兵庫県</t>
        </is>
      </c>
      <c r="G1115" t="inlineStr">
        <is>
          <t>消耗品</t>
        </is>
      </c>
      <c r="H1115" t="inlineStr">
        <is>
          <t>保守用バッテリー</t>
        </is>
      </c>
      <c r="I1115" s="4" t="n">
        <v>10</v>
      </c>
      <c r="J1115" s="4" t="n">
        <v>9950</v>
      </c>
      <c r="K1115" s="4">
        <f>I1115*J1115</f>
        <v/>
      </c>
      <c r="L1115" t="inlineStr">
        <is>
          <t>値引き調整あり</t>
        </is>
      </c>
    </row>
    <row r="1116">
      <c r="A1116" t="inlineStr">
        <is>
          <t>SR047</t>
        </is>
      </c>
      <c r="B1116" t="inlineStr">
        <is>
          <t>営業担当047</t>
        </is>
      </c>
      <c r="C1116" t="inlineStr">
        <is>
          <t>第2営業部</t>
        </is>
      </c>
      <c r="D1116" s="3" t="n">
        <v>45854</v>
      </c>
      <c r="E1116" t="inlineStr">
        <is>
          <t>大和精機株式会社</t>
        </is>
      </c>
      <c r="F1116" t="inlineStr">
        <is>
          <t>宮城県</t>
        </is>
      </c>
      <c r="G1116" t="inlineStr">
        <is>
          <t>ハードウェア</t>
        </is>
      </c>
      <c r="H1116" t="inlineStr">
        <is>
          <t>小型ハンディ端末</t>
        </is>
      </c>
      <c r="I1116" s="4" t="n">
        <v>2</v>
      </c>
      <c r="J1116" s="4" t="n">
        <v>93500</v>
      </c>
      <c r="K1116" s="4">
        <f>I1116*J1116</f>
        <v/>
      </c>
      <c r="L1116" t="inlineStr">
        <is>
          <t>大型案件</t>
        </is>
      </c>
    </row>
    <row r="1117">
      <c r="A1117" t="inlineStr">
        <is>
          <t>SR047</t>
        </is>
      </c>
      <c r="B1117" t="inlineStr">
        <is>
          <t>営業担当047</t>
        </is>
      </c>
      <c r="C1117" t="inlineStr">
        <is>
          <t>第2営業部</t>
        </is>
      </c>
      <c r="D1117" s="3" t="n">
        <v>45886</v>
      </c>
      <c r="E1117" t="inlineStr">
        <is>
          <t>星和商会有限会社</t>
        </is>
      </c>
      <c r="F1117" t="inlineStr">
        <is>
          <t>広島県</t>
        </is>
      </c>
      <c r="G1117" t="inlineStr">
        <is>
          <t>導入支援</t>
        </is>
      </c>
      <c r="H1117" t="inlineStr">
        <is>
          <t>データ移行支援</t>
        </is>
      </c>
      <c r="I1117" s="4" t="n">
        <v>1</v>
      </c>
      <c r="J1117" s="4" t="n">
        <v>208200</v>
      </c>
      <c r="K1117" s="4">
        <f>I1117*J1117</f>
        <v/>
      </c>
      <c r="L1117" t="inlineStr">
        <is>
          <t>大型案件</t>
        </is>
      </c>
    </row>
    <row r="1118">
      <c r="A1118" t="inlineStr">
        <is>
          <t>SR047</t>
        </is>
      </c>
      <c r="B1118" t="inlineStr">
        <is>
          <t>営業担当047</t>
        </is>
      </c>
      <c r="C1118" t="inlineStr">
        <is>
          <t>第2営業部</t>
        </is>
      </c>
      <c r="D1118" s="3" t="n">
        <v>45892</v>
      </c>
      <c r="E1118" t="inlineStr">
        <is>
          <t>白峰化学(株)</t>
        </is>
      </c>
      <c r="F1118" t="inlineStr">
        <is>
          <t>愛知県</t>
        </is>
      </c>
      <c r="G1118" t="inlineStr">
        <is>
          <t>ソフトウェア</t>
        </is>
      </c>
      <c r="H1118" t="inlineStr">
        <is>
          <t>営業支援SaaS</t>
        </is>
      </c>
      <c r="I1118" s="4" t="n">
        <v>4</v>
      </c>
      <c r="J1118" s="4" t="n">
        <v>146200</v>
      </c>
      <c r="K1118" s="4">
        <f>I1118*J1118</f>
        <v/>
      </c>
      <c r="L1118" t="inlineStr">
        <is>
          <t>キャンペーン適用</t>
        </is>
      </c>
    </row>
    <row r="1119">
      <c r="A1119" t="inlineStr">
        <is>
          <t>SR047</t>
        </is>
      </c>
      <c r="B1119" t="inlineStr">
        <is>
          <t>営業担当047</t>
        </is>
      </c>
      <c r="C1119" t="inlineStr">
        <is>
          <t>第2営業部</t>
        </is>
      </c>
      <c r="D1119" s="3" t="n">
        <v>45914</v>
      </c>
      <c r="E1119" t="inlineStr">
        <is>
          <t>アーク電機株式会社</t>
        </is>
      </c>
      <c r="F1119" t="inlineStr">
        <is>
          <t>広島県</t>
        </is>
      </c>
      <c r="G1119" t="inlineStr">
        <is>
          <t>導入支援</t>
        </is>
      </c>
      <c r="H1119" t="inlineStr">
        <is>
          <t>操作研修パック</t>
        </is>
      </c>
      <c r="I1119" s="4" t="n">
        <v>1</v>
      </c>
      <c r="J1119" s="4" t="n">
        <v>106700</v>
      </c>
      <c r="K1119" s="4">
        <f>I1119*J1119</f>
        <v/>
      </c>
      <c r="L1119" t="inlineStr"/>
    </row>
    <row r="1120">
      <c r="A1120" t="inlineStr">
        <is>
          <t>SR047</t>
        </is>
      </c>
      <c r="B1120" t="inlineStr">
        <is>
          <t>営業担当047</t>
        </is>
      </c>
      <c r="C1120" t="inlineStr">
        <is>
          <t>第2営業部</t>
        </is>
      </c>
      <c r="D1120" s="3" t="n">
        <v>45920</v>
      </c>
      <c r="E1120" t="inlineStr">
        <is>
          <t>桜井メディカル有限会社</t>
        </is>
      </c>
      <c r="F1120" t="inlineStr">
        <is>
          <t>北海道</t>
        </is>
      </c>
      <c r="G1120" t="inlineStr">
        <is>
          <t>消耗品</t>
        </is>
      </c>
      <c r="H1120" t="inlineStr">
        <is>
          <t>保守用バッテリー</t>
        </is>
      </c>
      <c r="I1120" s="4" t="n">
        <v>8</v>
      </c>
      <c r="J1120" s="4" t="n">
        <v>15270</v>
      </c>
      <c r="K1120" s="4">
        <f>I1120*J1120</f>
        <v/>
      </c>
      <c r="L1120" t="inlineStr"/>
    </row>
    <row r="1121">
      <c r="A1121" t="inlineStr">
        <is>
          <t>SR047</t>
        </is>
      </c>
      <c r="B1121" t="inlineStr">
        <is>
          <t>営業担当047</t>
        </is>
      </c>
      <c r="C1121" t="inlineStr">
        <is>
          <t>第2営業部</t>
        </is>
      </c>
      <c r="D1121" s="3" t="n">
        <v>45949</v>
      </c>
      <c r="E1121" t="inlineStr">
        <is>
          <t>グリーンテック(株)</t>
        </is>
      </c>
      <c r="F1121" t="inlineStr">
        <is>
          <t>東京都</t>
        </is>
      </c>
      <c r="G1121" t="inlineStr">
        <is>
          <t>導入支援</t>
        </is>
      </c>
      <c r="H1121" t="inlineStr">
        <is>
          <t>操作研修パック</t>
        </is>
      </c>
      <c r="I1121" s="4" t="n">
        <v>3</v>
      </c>
      <c r="J1121" s="4" t="n">
        <v>99500</v>
      </c>
      <c r="K1121" s="4">
        <f>I1121*J1121</f>
        <v/>
      </c>
      <c r="L1121" t="inlineStr">
        <is>
          <t>大型案件</t>
        </is>
      </c>
    </row>
    <row r="1122">
      <c r="A1122" t="inlineStr">
        <is>
          <t>SR047</t>
        </is>
      </c>
      <c r="B1122" t="inlineStr">
        <is>
          <t>営業担当047</t>
        </is>
      </c>
      <c r="C1122" t="inlineStr">
        <is>
          <t>第2営業部</t>
        </is>
      </c>
      <c r="D1122" s="3" t="n">
        <v>45954</v>
      </c>
      <c r="E1122" t="inlineStr">
        <is>
          <t>みらい物流(株)</t>
        </is>
      </c>
      <c r="F1122" t="inlineStr">
        <is>
          <t>広島県</t>
        </is>
      </c>
      <c r="G1122" t="inlineStr">
        <is>
          <t>保守サービス</t>
        </is>
      </c>
      <c r="H1122" t="inlineStr">
        <is>
          <t>ヘルプデスク契約</t>
        </is>
      </c>
      <c r="I1122" s="4" t="n">
        <v>3</v>
      </c>
      <c r="J1122" s="4" t="n">
        <v>76000</v>
      </c>
      <c r="K1122" s="4">
        <f>I1122*J1122</f>
        <v/>
      </c>
      <c r="L1122" t="inlineStr"/>
    </row>
    <row r="1123">
      <c r="A1123" t="inlineStr">
        <is>
          <t>SR047</t>
        </is>
      </c>
      <c r="B1123" t="inlineStr">
        <is>
          <t>営業担当047</t>
        </is>
      </c>
      <c r="C1123" t="inlineStr">
        <is>
          <t>第2営業部</t>
        </is>
      </c>
      <c r="D1123" s="3" t="n">
        <v>45975</v>
      </c>
      <c r="E1123" t="inlineStr">
        <is>
          <t>桜井メディカル株式会社</t>
        </is>
      </c>
      <c r="F1123" t="inlineStr">
        <is>
          <t>兵庫県</t>
        </is>
      </c>
      <c r="G1123" t="inlineStr">
        <is>
          <t>導入支援</t>
        </is>
      </c>
      <c r="H1123" t="inlineStr">
        <is>
          <t>データ移行支援</t>
        </is>
      </c>
      <c r="I1123" s="4" t="n">
        <v>4</v>
      </c>
      <c r="J1123" s="4" t="n">
        <v>349900</v>
      </c>
      <c r="K1123" s="4">
        <f>I1123*J1123</f>
        <v/>
      </c>
      <c r="L1123" t="inlineStr"/>
    </row>
    <row r="1124">
      <c r="A1124" t="inlineStr">
        <is>
          <t>SR047</t>
        </is>
      </c>
      <c r="B1124" t="inlineStr">
        <is>
          <t>営業担当047</t>
        </is>
      </c>
      <c r="C1124" t="inlineStr">
        <is>
          <t>第2営業部</t>
        </is>
      </c>
      <c r="D1124" s="3" t="n">
        <v>45975</v>
      </c>
      <c r="E1124" t="inlineStr">
        <is>
          <t>アーク電機有限会社</t>
        </is>
      </c>
      <c r="F1124" t="inlineStr">
        <is>
          <t>宮城県</t>
        </is>
      </c>
      <c r="G1124" t="inlineStr">
        <is>
          <t>消耗品</t>
        </is>
      </c>
      <c r="H1124" t="inlineStr">
        <is>
          <t>保守用バッテリー</t>
        </is>
      </c>
      <c r="I1124" s="4" t="n">
        <v>6</v>
      </c>
      <c r="J1124" s="4" t="n">
        <v>17820</v>
      </c>
      <c r="K1124" s="4">
        <f>I1124*J1124</f>
        <v/>
      </c>
      <c r="L1124" t="inlineStr"/>
    </row>
    <row r="1125">
      <c r="A1125" t="inlineStr">
        <is>
          <t>SR047</t>
        </is>
      </c>
      <c r="B1125" t="inlineStr">
        <is>
          <t>営業担当047</t>
        </is>
      </c>
      <c r="C1125" t="inlineStr">
        <is>
          <t>第2営業部</t>
        </is>
      </c>
      <c r="D1125" s="3" t="n">
        <v>46010</v>
      </c>
      <c r="E1125" t="inlineStr">
        <is>
          <t>北斗産業株式会社</t>
        </is>
      </c>
      <c r="F1125" t="inlineStr">
        <is>
          <t>福岡県</t>
        </is>
      </c>
      <c r="G1125" t="inlineStr">
        <is>
          <t>保守サービス</t>
        </is>
      </c>
      <c r="H1125" t="inlineStr">
        <is>
          <t>ヘルプデスク契約</t>
        </is>
      </c>
      <c r="I1125" s="4" t="n">
        <v>5</v>
      </c>
      <c r="J1125" s="4" t="n">
        <v>98200</v>
      </c>
      <c r="K1125" s="4">
        <f>I1125*J1125</f>
        <v/>
      </c>
      <c r="L1125" t="inlineStr">
        <is>
          <t>キャンペーン適用</t>
        </is>
      </c>
    </row>
    <row r="1126">
      <c r="A1126" t="inlineStr">
        <is>
          <t>SR047</t>
        </is>
      </c>
      <c r="B1126" t="inlineStr">
        <is>
          <t>営業担当047</t>
        </is>
      </c>
      <c r="C1126" t="inlineStr">
        <is>
          <t>第2営業部</t>
        </is>
      </c>
      <c r="D1126" s="3" t="n">
        <v>46014</v>
      </c>
      <c r="E1126" t="inlineStr">
        <is>
          <t>星和商会株式会社</t>
        </is>
      </c>
      <c r="F1126" t="inlineStr">
        <is>
          <t>宮城県</t>
        </is>
      </c>
      <c r="G1126" t="inlineStr">
        <is>
          <t>ソフトウェア</t>
        </is>
      </c>
      <c r="H1126" t="inlineStr">
        <is>
          <t>営業支援SaaS</t>
        </is>
      </c>
      <c r="I1126" s="4" t="n">
        <v>2</v>
      </c>
      <c r="J1126" s="4" t="n">
        <v>232100</v>
      </c>
      <c r="K1126" s="4">
        <f>I1126*J1126</f>
        <v/>
      </c>
      <c r="L1126" t="inlineStr">
        <is>
          <t>値引き調整あり</t>
        </is>
      </c>
    </row>
    <row r="1127">
      <c r="A1127" t="inlineStr">
        <is>
          <t>SR047</t>
        </is>
      </c>
      <c r="B1127" t="inlineStr">
        <is>
          <t>営業担当047</t>
        </is>
      </c>
      <c r="C1127" t="inlineStr">
        <is>
          <t>第2営業部</t>
        </is>
      </c>
      <c r="D1127" s="3" t="n">
        <v>46032</v>
      </c>
      <c r="E1127" t="inlineStr">
        <is>
          <t>みらい物流有限会社</t>
        </is>
      </c>
      <c r="F1127" t="inlineStr">
        <is>
          <t>愛知県</t>
        </is>
      </c>
      <c r="G1127" t="inlineStr">
        <is>
          <t>導入支援</t>
        </is>
      </c>
      <c r="H1127" t="inlineStr">
        <is>
          <t>データ移行支援</t>
        </is>
      </c>
      <c r="I1127" s="4" t="n">
        <v>5</v>
      </c>
      <c r="J1127" s="4" t="n">
        <v>129600</v>
      </c>
      <c r="K1127" s="4">
        <f>I1127*J1127</f>
        <v/>
      </c>
      <c r="L1127" t="inlineStr">
        <is>
          <t>新規開拓</t>
        </is>
      </c>
    </row>
    <row r="1128">
      <c r="A1128" t="inlineStr">
        <is>
          <t>SR047</t>
        </is>
      </c>
      <c r="B1128" t="inlineStr">
        <is>
          <t>営業担当047</t>
        </is>
      </c>
      <c r="C1128" t="inlineStr">
        <is>
          <t>第2営業部</t>
        </is>
      </c>
      <c r="D1128" s="3" t="n">
        <v>46035</v>
      </c>
      <c r="E1128" t="inlineStr">
        <is>
          <t>東洋フーズ(株)</t>
        </is>
      </c>
      <c r="F1128" t="inlineStr">
        <is>
          <t>大阪府</t>
        </is>
      </c>
      <c r="G1128" t="inlineStr">
        <is>
          <t>消耗品</t>
        </is>
      </c>
      <c r="H1128" t="inlineStr">
        <is>
          <t>保守用バッテリー</t>
        </is>
      </c>
      <c r="I1128" s="4" t="n">
        <v>4</v>
      </c>
      <c r="J1128" s="4" t="n">
        <v>15520</v>
      </c>
      <c r="K1128" s="4">
        <f>I1128*J1128</f>
        <v/>
      </c>
      <c r="L1128" t="inlineStr"/>
    </row>
    <row r="1129">
      <c r="A1129" t="inlineStr">
        <is>
          <t>SR047</t>
        </is>
      </c>
      <c r="B1129" t="inlineStr">
        <is>
          <t>営業担当047</t>
        </is>
      </c>
      <c r="C1129" t="inlineStr">
        <is>
          <t>第2営業部</t>
        </is>
      </c>
      <c r="D1129" s="3" t="n">
        <v>46056</v>
      </c>
      <c r="E1129" t="inlineStr">
        <is>
          <t>中央設備有限会社</t>
        </is>
      </c>
      <c r="F1129" t="inlineStr">
        <is>
          <t>北海道</t>
        </is>
      </c>
      <c r="G1129" t="inlineStr">
        <is>
          <t>導入支援</t>
        </is>
      </c>
      <c r="H1129" t="inlineStr">
        <is>
          <t>データ移行支援</t>
        </is>
      </c>
      <c r="I1129" s="4" t="n">
        <v>2</v>
      </c>
      <c r="J1129" s="4" t="n">
        <v>183500</v>
      </c>
      <c r="K1129" s="4">
        <f>I1129*J1129</f>
        <v/>
      </c>
      <c r="L1129" t="inlineStr">
        <is>
          <t>大型案件</t>
        </is>
      </c>
    </row>
    <row r="1130">
      <c r="A1130" t="inlineStr">
        <is>
          <t>SR047</t>
        </is>
      </c>
      <c r="B1130" t="inlineStr">
        <is>
          <t>営業担当047</t>
        </is>
      </c>
      <c r="C1130" t="inlineStr">
        <is>
          <t>第2営業部</t>
        </is>
      </c>
      <c r="D1130" s="3" t="n">
        <v>46064</v>
      </c>
      <c r="E1130" t="inlineStr">
        <is>
          <t>星和商会(株)</t>
        </is>
      </c>
      <c r="F1130" t="inlineStr">
        <is>
          <t>神奈川県</t>
        </is>
      </c>
      <c r="G1130" t="inlineStr">
        <is>
          <t>ソフトウェア</t>
        </is>
      </c>
      <c r="H1130" t="inlineStr">
        <is>
          <t>営業支援SaaS</t>
        </is>
      </c>
      <c r="I1130" s="4" t="n">
        <v>1</v>
      </c>
      <c r="J1130" s="4" t="n">
        <v>346400</v>
      </c>
      <c r="K1130" s="4">
        <f>I1130*J1130</f>
        <v/>
      </c>
      <c r="L1130" t="inlineStr"/>
    </row>
    <row r="1131">
      <c r="A1131" t="inlineStr">
        <is>
          <t>SR047</t>
        </is>
      </c>
      <c r="B1131" t="inlineStr">
        <is>
          <t>営業担当047</t>
        </is>
      </c>
      <c r="C1131" t="inlineStr">
        <is>
          <t>第2営業部</t>
        </is>
      </c>
      <c r="D1131" s="3" t="n">
        <v>46083</v>
      </c>
      <c r="E1131" t="inlineStr">
        <is>
          <t>ライトホーム(株)</t>
        </is>
      </c>
      <c r="F1131" t="inlineStr">
        <is>
          <t>東京都</t>
        </is>
      </c>
      <c r="G1131" t="inlineStr">
        <is>
          <t>ハードウェア</t>
        </is>
      </c>
      <c r="H1131" t="inlineStr">
        <is>
          <t>小型ハンディ端末</t>
        </is>
      </c>
      <c r="I1131" s="4" t="n">
        <v>1</v>
      </c>
      <c r="J1131" s="4" t="n">
        <v>84500</v>
      </c>
      <c r="K1131" s="4">
        <f>I1131*J1131</f>
        <v/>
      </c>
      <c r="L1131" t="inlineStr">
        <is>
          <t>リピート受注</t>
        </is>
      </c>
    </row>
    <row r="1132">
      <c r="A1132" t="inlineStr">
        <is>
          <t>SR047</t>
        </is>
      </c>
      <c r="B1132" t="inlineStr">
        <is>
          <t>営業担当047</t>
        </is>
      </c>
      <c r="C1132" t="inlineStr">
        <is>
          <t>第2営業部</t>
        </is>
      </c>
      <c r="D1132" s="3" t="n">
        <v>46098</v>
      </c>
      <c r="E1132" t="inlineStr">
        <is>
          <t>北斗産業(株)</t>
        </is>
      </c>
      <c r="F1132" t="inlineStr">
        <is>
          <t>東京都</t>
        </is>
      </c>
      <c r="G1132" t="inlineStr">
        <is>
          <t>ソフトウェア</t>
        </is>
      </c>
      <c r="H1132" t="inlineStr">
        <is>
          <t>AIチャットボット</t>
        </is>
      </c>
      <c r="I1132" s="4" t="n">
        <v>4</v>
      </c>
      <c r="J1132" s="4" t="n">
        <v>531500</v>
      </c>
      <c r="K1132" s="4">
        <f>I1132*J1132</f>
        <v/>
      </c>
      <c r="L1132" t="inlineStr">
        <is>
          <t>キャンペーン適用</t>
        </is>
      </c>
    </row>
    <row r="1133">
      <c r="A1133" t="inlineStr">
        <is>
          <t>SR048</t>
        </is>
      </c>
      <c r="B1133" t="inlineStr">
        <is>
          <t>営業担当048</t>
        </is>
      </c>
      <c r="C1133" t="inlineStr">
        <is>
          <t>第3営業部</t>
        </is>
      </c>
      <c r="D1133" s="3" t="n">
        <v>45750</v>
      </c>
      <c r="E1133" t="inlineStr">
        <is>
          <t>未来通信有限会社</t>
        </is>
      </c>
      <c r="F1133" t="inlineStr">
        <is>
          <t>兵庫県</t>
        </is>
      </c>
      <c r="G1133" t="inlineStr">
        <is>
          <t>保守サービス</t>
        </is>
      </c>
      <c r="H1133" t="inlineStr">
        <is>
          <t>年間保守契約</t>
        </is>
      </c>
      <c r="I1133" s="4" t="n">
        <v>1</v>
      </c>
      <c r="J1133" s="4" t="n">
        <v>149500</v>
      </c>
      <c r="K1133" s="4">
        <f>I1133*J1133</f>
        <v/>
      </c>
      <c r="L1133" t="inlineStr">
        <is>
          <t>キャンペーン適用</t>
        </is>
      </c>
    </row>
    <row r="1134">
      <c r="A1134" t="inlineStr">
        <is>
          <t>SR048</t>
        </is>
      </c>
      <c r="B1134" t="inlineStr">
        <is>
          <t>営業担当048</t>
        </is>
      </c>
      <c r="C1134" t="inlineStr">
        <is>
          <t>第3営業部</t>
        </is>
      </c>
      <c r="D1134" s="3" t="n">
        <v>45775</v>
      </c>
      <c r="E1134" t="inlineStr">
        <is>
          <t>東洋フーズ(株)</t>
        </is>
      </c>
      <c r="F1134" t="inlineStr">
        <is>
          <t>東京都</t>
        </is>
      </c>
      <c r="G1134" t="inlineStr">
        <is>
          <t>ソフトウェア</t>
        </is>
      </c>
      <c r="H1134" t="inlineStr">
        <is>
          <t>帳票自動化ツール</t>
        </is>
      </c>
      <c r="I1134" s="4" t="n">
        <v>1</v>
      </c>
      <c r="J1134" s="4" t="n">
        <v>205900</v>
      </c>
      <c r="K1134" s="4">
        <f>I1134*J1134</f>
        <v/>
      </c>
      <c r="L1134" t="inlineStr">
        <is>
          <t>新規開拓</t>
        </is>
      </c>
    </row>
    <row r="1135">
      <c r="A1135" t="inlineStr">
        <is>
          <t>SR048</t>
        </is>
      </c>
      <c r="B1135" t="inlineStr">
        <is>
          <t>営業担当048</t>
        </is>
      </c>
      <c r="C1135" t="inlineStr">
        <is>
          <t>第3営業部</t>
        </is>
      </c>
      <c r="D1135" s="3" t="n">
        <v>45787</v>
      </c>
      <c r="E1135" t="inlineStr">
        <is>
          <t>ライトホーム(株)</t>
        </is>
      </c>
      <c r="F1135" t="inlineStr">
        <is>
          <t>大阪府</t>
        </is>
      </c>
      <c r="G1135" t="inlineStr">
        <is>
          <t>消耗品</t>
        </is>
      </c>
      <c r="H1135" t="inlineStr">
        <is>
          <t>交換用ヘッド</t>
        </is>
      </c>
      <c r="I1135" s="4" t="n">
        <v>3</v>
      </c>
      <c r="J1135" s="4" t="n">
        <v>22310</v>
      </c>
      <c r="K1135" s="4">
        <f>I1135*J1135</f>
        <v/>
      </c>
      <c r="L1135" t="inlineStr"/>
    </row>
    <row r="1136">
      <c r="A1136" t="inlineStr">
        <is>
          <t>SR048</t>
        </is>
      </c>
      <c r="B1136" t="inlineStr">
        <is>
          <t>営業担当048</t>
        </is>
      </c>
      <c r="C1136" t="inlineStr">
        <is>
          <t>第3営業部</t>
        </is>
      </c>
      <c r="D1136" s="3" t="n">
        <v>45799</v>
      </c>
      <c r="E1136" t="inlineStr">
        <is>
          <t>白峰化学(株)</t>
        </is>
      </c>
      <c r="F1136" t="inlineStr">
        <is>
          <t>広島県</t>
        </is>
      </c>
      <c r="G1136" t="inlineStr">
        <is>
          <t>ソフトウェア</t>
        </is>
      </c>
      <c r="H1136" t="inlineStr">
        <is>
          <t>在庫管理クラウド</t>
        </is>
      </c>
      <c r="I1136" s="4" t="n">
        <v>5</v>
      </c>
      <c r="J1136" s="4" t="n">
        <v>449100</v>
      </c>
      <c r="K1136" s="4">
        <f>I1136*J1136</f>
        <v/>
      </c>
      <c r="L1136" t="inlineStr">
        <is>
          <t>大型案件</t>
        </is>
      </c>
    </row>
    <row r="1137">
      <c r="A1137" t="inlineStr">
        <is>
          <t>SR048</t>
        </is>
      </c>
      <c r="B1137" t="inlineStr">
        <is>
          <t>営業担当048</t>
        </is>
      </c>
      <c r="C1137" t="inlineStr">
        <is>
          <t>第3営業部</t>
        </is>
      </c>
      <c r="D1137" s="3" t="n">
        <v>45828</v>
      </c>
      <c r="E1137" t="inlineStr">
        <is>
          <t>オーシャン製作所有限会社</t>
        </is>
      </c>
      <c r="F1137" t="inlineStr">
        <is>
          <t>宮城県</t>
        </is>
      </c>
      <c r="G1137" t="inlineStr">
        <is>
          <t>ハードウェア</t>
        </is>
      </c>
      <c r="H1137" t="inlineStr">
        <is>
          <t>ラベルプリンター</t>
        </is>
      </c>
      <c r="I1137" s="4" t="n">
        <v>2</v>
      </c>
      <c r="J1137" s="4" t="n">
        <v>70500</v>
      </c>
      <c r="K1137" s="4">
        <f>I1137*J1137</f>
        <v/>
      </c>
      <c r="L1137" t="inlineStr">
        <is>
          <t>新規開拓</t>
        </is>
      </c>
    </row>
    <row r="1138">
      <c r="A1138" t="inlineStr">
        <is>
          <t>SR048</t>
        </is>
      </c>
      <c r="B1138" t="inlineStr">
        <is>
          <t>営業担当048</t>
        </is>
      </c>
      <c r="C1138" t="inlineStr">
        <is>
          <t>第3営業部</t>
        </is>
      </c>
      <c r="D1138" s="3" t="n">
        <v>45831</v>
      </c>
      <c r="E1138" t="inlineStr">
        <is>
          <t>白峰化学株式会社</t>
        </is>
      </c>
      <c r="F1138" t="inlineStr">
        <is>
          <t>広島県</t>
        </is>
      </c>
      <c r="G1138" t="inlineStr">
        <is>
          <t>保守サービス</t>
        </is>
      </c>
      <c r="H1138" t="inlineStr">
        <is>
          <t>年間保守契約</t>
        </is>
      </c>
      <c r="I1138" s="4" t="n">
        <v>2</v>
      </c>
      <c r="J1138" s="4" t="n">
        <v>67300</v>
      </c>
      <c r="K1138" s="4">
        <f>I1138*J1138</f>
        <v/>
      </c>
      <c r="L1138" t="inlineStr"/>
    </row>
    <row r="1139">
      <c r="A1139" t="inlineStr">
        <is>
          <t>SR048</t>
        </is>
      </c>
      <c r="B1139" t="inlineStr">
        <is>
          <t>営業担当048</t>
        </is>
      </c>
      <c r="C1139" t="inlineStr">
        <is>
          <t>第3営業部</t>
        </is>
      </c>
      <c r="D1139" s="3" t="n">
        <v>45844</v>
      </c>
      <c r="E1139" t="inlineStr">
        <is>
          <t>サンライズ建設株式会社</t>
        </is>
      </c>
      <c r="F1139" t="inlineStr">
        <is>
          <t>京都府</t>
        </is>
      </c>
      <c r="G1139" t="inlineStr">
        <is>
          <t>導入支援</t>
        </is>
      </c>
      <c r="H1139" t="inlineStr">
        <is>
          <t>初期設定支援</t>
        </is>
      </c>
      <c r="I1139" s="4" t="n">
        <v>1</v>
      </c>
      <c r="J1139" s="4" t="n">
        <v>187500</v>
      </c>
      <c r="K1139" s="4">
        <f>I1139*J1139</f>
        <v/>
      </c>
      <c r="L1139" t="inlineStr"/>
    </row>
    <row r="1140">
      <c r="A1140" t="inlineStr">
        <is>
          <t>SR048</t>
        </is>
      </c>
      <c r="B1140" t="inlineStr">
        <is>
          <t>営業担当048</t>
        </is>
      </c>
      <c r="C1140" t="inlineStr">
        <is>
          <t>第3営業部</t>
        </is>
      </c>
      <c r="D1140" s="3" t="n">
        <v>45866</v>
      </c>
      <c r="E1140" t="inlineStr">
        <is>
          <t>ネクストソリューション株式会社</t>
        </is>
      </c>
      <c r="F1140" t="inlineStr">
        <is>
          <t>北海道</t>
        </is>
      </c>
      <c r="G1140" t="inlineStr">
        <is>
          <t>ソフトウェア</t>
        </is>
      </c>
      <c r="H1140" t="inlineStr">
        <is>
          <t>AIチャットボット</t>
        </is>
      </c>
      <c r="I1140" s="4" t="n">
        <v>4</v>
      </c>
      <c r="J1140" s="4" t="n">
        <v>668600</v>
      </c>
      <c r="K1140" s="4">
        <f>I1140*J1140</f>
        <v/>
      </c>
      <c r="L1140" t="inlineStr">
        <is>
          <t>大型案件</t>
        </is>
      </c>
    </row>
    <row r="1141">
      <c r="A1141" t="inlineStr">
        <is>
          <t>SR048</t>
        </is>
      </c>
      <c r="B1141" t="inlineStr">
        <is>
          <t>営業担当048</t>
        </is>
      </c>
      <c r="C1141" t="inlineStr">
        <is>
          <t>第3営業部</t>
        </is>
      </c>
      <c r="D1141" s="3" t="n">
        <v>45886</v>
      </c>
      <c r="E1141" t="inlineStr">
        <is>
          <t>星和商会有限会社</t>
        </is>
      </c>
      <c r="F1141" t="inlineStr">
        <is>
          <t>東京都</t>
        </is>
      </c>
      <c r="G1141" t="inlineStr">
        <is>
          <t>ハードウェア</t>
        </is>
      </c>
      <c r="H1141" t="inlineStr">
        <is>
          <t>産業用タブレット</t>
        </is>
      </c>
      <c r="I1141" s="4" t="n">
        <v>5</v>
      </c>
      <c r="J1141" s="4" t="n">
        <v>80700</v>
      </c>
      <c r="K1141" s="4">
        <f>I1141*J1141</f>
        <v/>
      </c>
      <c r="L1141" t="inlineStr">
        <is>
          <t>リピート受注</t>
        </is>
      </c>
    </row>
    <row r="1142">
      <c r="A1142" t="inlineStr">
        <is>
          <t>SR048</t>
        </is>
      </c>
      <c r="B1142" t="inlineStr">
        <is>
          <t>営業担当048</t>
        </is>
      </c>
      <c r="C1142" t="inlineStr">
        <is>
          <t>第3営業部</t>
        </is>
      </c>
      <c r="D1142" s="3" t="n">
        <v>45891</v>
      </c>
      <c r="E1142" t="inlineStr">
        <is>
          <t>未来通信株式会社</t>
        </is>
      </c>
      <c r="F1142" t="inlineStr">
        <is>
          <t>広島県</t>
        </is>
      </c>
      <c r="G1142" t="inlineStr">
        <is>
          <t>保守サービス</t>
        </is>
      </c>
      <c r="H1142" t="inlineStr">
        <is>
          <t>年間保守契約</t>
        </is>
      </c>
      <c r="I1142" s="4" t="n">
        <v>2</v>
      </c>
      <c r="J1142" s="4" t="n">
        <v>74100</v>
      </c>
      <c r="K1142" s="4">
        <f>I1142*J1142</f>
        <v/>
      </c>
      <c r="L1142" t="inlineStr">
        <is>
          <t>値引き調整あり</t>
        </is>
      </c>
    </row>
    <row r="1143">
      <c r="A1143" t="inlineStr">
        <is>
          <t>SR048</t>
        </is>
      </c>
      <c r="B1143" t="inlineStr">
        <is>
          <t>営業担当048</t>
        </is>
      </c>
      <c r="C1143" t="inlineStr">
        <is>
          <t>第3営業部</t>
        </is>
      </c>
      <c r="D1143" s="3" t="n">
        <v>45907</v>
      </c>
      <c r="E1143" t="inlineStr">
        <is>
          <t>白峰化学有限会社</t>
        </is>
      </c>
      <c r="F1143" t="inlineStr">
        <is>
          <t>東京都</t>
        </is>
      </c>
      <c r="G1143" t="inlineStr">
        <is>
          <t>消耗品</t>
        </is>
      </c>
      <c r="H1143" t="inlineStr">
        <is>
          <t>交換用ヘッド</t>
        </is>
      </c>
      <c r="I1143" s="4" t="n">
        <v>11</v>
      </c>
      <c r="J1143" s="4" t="n">
        <v>41340</v>
      </c>
      <c r="K1143" s="4">
        <f>I1143*J1143</f>
        <v/>
      </c>
      <c r="L1143" t="inlineStr"/>
    </row>
    <row r="1144">
      <c r="A1144" t="inlineStr">
        <is>
          <t>SR048</t>
        </is>
      </c>
      <c r="B1144" t="inlineStr">
        <is>
          <t>営業担当048</t>
        </is>
      </c>
      <c r="C1144" t="inlineStr">
        <is>
          <t>第3営業部</t>
        </is>
      </c>
      <c r="D1144" s="3" t="n">
        <v>45908</v>
      </c>
      <c r="E1144" t="inlineStr">
        <is>
          <t>アーク電機株式会社</t>
        </is>
      </c>
      <c r="F1144" t="inlineStr">
        <is>
          <t>兵庫県</t>
        </is>
      </c>
      <c r="G1144" t="inlineStr">
        <is>
          <t>ソフトウェア</t>
        </is>
      </c>
      <c r="H1144" t="inlineStr">
        <is>
          <t>在庫管理クラウド</t>
        </is>
      </c>
      <c r="I1144" s="4" t="n">
        <v>2</v>
      </c>
      <c r="J1144" s="4" t="n">
        <v>333400</v>
      </c>
      <c r="K1144" s="4">
        <f>I1144*J1144</f>
        <v/>
      </c>
      <c r="L1144" t="inlineStr">
        <is>
          <t>分納</t>
        </is>
      </c>
    </row>
    <row r="1145">
      <c r="A1145" t="inlineStr">
        <is>
          <t>SR048</t>
        </is>
      </c>
      <c r="B1145" t="inlineStr">
        <is>
          <t>営業担当048</t>
        </is>
      </c>
      <c r="C1145" t="inlineStr">
        <is>
          <t>第3営業部</t>
        </is>
      </c>
      <c r="D1145" s="3" t="n">
        <v>45940</v>
      </c>
      <c r="E1145" t="inlineStr">
        <is>
          <t>東洋フーズ株式会社</t>
        </is>
      </c>
      <c r="F1145" t="inlineStr">
        <is>
          <t>宮城県</t>
        </is>
      </c>
      <c r="G1145" t="inlineStr">
        <is>
          <t>ハードウェア</t>
        </is>
      </c>
      <c r="H1145" t="inlineStr">
        <is>
          <t>産業用タブレット</t>
        </is>
      </c>
      <c r="I1145" s="4" t="n">
        <v>2</v>
      </c>
      <c r="J1145" s="4" t="n">
        <v>113400</v>
      </c>
      <c r="K1145" s="4">
        <f>I1145*J1145</f>
        <v/>
      </c>
      <c r="L1145" t="inlineStr">
        <is>
          <t>新規開拓</t>
        </is>
      </c>
    </row>
    <row r="1146">
      <c r="A1146" t="inlineStr">
        <is>
          <t>SR048</t>
        </is>
      </c>
      <c r="B1146" t="inlineStr">
        <is>
          <t>営業担当048</t>
        </is>
      </c>
      <c r="C1146" t="inlineStr">
        <is>
          <t>第3営業部</t>
        </is>
      </c>
      <c r="D1146" s="3" t="n">
        <v>45943</v>
      </c>
      <c r="E1146" t="inlineStr">
        <is>
          <t>サンライズ建設(株)</t>
        </is>
      </c>
      <c r="F1146" t="inlineStr">
        <is>
          <t>東京都</t>
        </is>
      </c>
      <c r="G1146" t="inlineStr">
        <is>
          <t>消耗品</t>
        </is>
      </c>
      <c r="H1146" t="inlineStr">
        <is>
          <t>ラベルロール</t>
        </is>
      </c>
      <c r="I1146" s="4" t="n">
        <v>1</v>
      </c>
      <c r="J1146" s="4" t="n">
        <v>9920</v>
      </c>
      <c r="K1146" s="4">
        <f>I1146*J1146</f>
        <v/>
      </c>
      <c r="L1146" t="inlineStr">
        <is>
          <t>大型案件</t>
        </is>
      </c>
    </row>
    <row r="1147">
      <c r="A1147" t="inlineStr">
        <is>
          <t>SR048</t>
        </is>
      </c>
      <c r="B1147" t="inlineStr">
        <is>
          <t>営業担当048</t>
        </is>
      </c>
      <c r="C1147" t="inlineStr">
        <is>
          <t>第3営業部</t>
        </is>
      </c>
      <c r="D1147" s="3" t="n">
        <v>45966</v>
      </c>
      <c r="E1147" t="inlineStr">
        <is>
          <t>未来通信(株)</t>
        </is>
      </c>
      <c r="F1147" t="inlineStr">
        <is>
          <t>東京都</t>
        </is>
      </c>
      <c r="G1147" t="inlineStr">
        <is>
          <t>消耗品</t>
        </is>
      </c>
      <c r="H1147" t="inlineStr">
        <is>
          <t>保守用バッテリー</t>
        </is>
      </c>
      <c r="I1147" s="4" t="n">
        <v>11</v>
      </c>
      <c r="J1147" s="4" t="n">
        <v>11700</v>
      </c>
      <c r="K1147" s="4">
        <f>I1147*J1147</f>
        <v/>
      </c>
      <c r="L1147" t="inlineStr"/>
    </row>
    <row r="1148">
      <c r="A1148" t="inlineStr">
        <is>
          <t>SR048</t>
        </is>
      </c>
      <c r="B1148" t="inlineStr">
        <is>
          <t>営業担当048</t>
        </is>
      </c>
      <c r="C1148" t="inlineStr">
        <is>
          <t>第3営業部</t>
        </is>
      </c>
      <c r="D1148" s="3" t="n">
        <v>45969</v>
      </c>
      <c r="E1148" t="inlineStr">
        <is>
          <t>福岡流通株式会社</t>
        </is>
      </c>
      <c r="F1148" t="inlineStr">
        <is>
          <t>愛知県</t>
        </is>
      </c>
      <c r="G1148" t="inlineStr">
        <is>
          <t>ソフトウェア</t>
        </is>
      </c>
      <c r="H1148" t="inlineStr">
        <is>
          <t>在庫管理クラウド</t>
        </is>
      </c>
      <c r="I1148" s="4" t="n">
        <v>4</v>
      </c>
      <c r="J1148" s="4" t="n">
        <v>191400</v>
      </c>
      <c r="K1148" s="4">
        <f>I1148*J1148</f>
        <v/>
      </c>
      <c r="L1148" t="inlineStr"/>
    </row>
    <row r="1149">
      <c r="A1149" t="inlineStr">
        <is>
          <t>SR048</t>
        </is>
      </c>
      <c r="B1149" t="inlineStr">
        <is>
          <t>営業担当048</t>
        </is>
      </c>
      <c r="C1149" t="inlineStr">
        <is>
          <t>第3営業部</t>
        </is>
      </c>
      <c r="D1149" s="3" t="n">
        <v>45999</v>
      </c>
      <c r="E1149" t="inlineStr">
        <is>
          <t>オーシャン製作所(株)</t>
        </is>
      </c>
      <c r="F1149" t="inlineStr">
        <is>
          <t>愛知県</t>
        </is>
      </c>
      <c r="G1149" t="inlineStr">
        <is>
          <t>ハードウェア</t>
        </is>
      </c>
      <c r="H1149" t="inlineStr">
        <is>
          <t>産業用タブレット</t>
        </is>
      </c>
      <c r="I1149" s="4" t="n">
        <v>2</v>
      </c>
      <c r="J1149" s="4" t="n">
        <v>90700</v>
      </c>
      <c r="K1149" s="4">
        <f>I1149*J1149</f>
        <v/>
      </c>
      <c r="L1149" t="inlineStr">
        <is>
          <t>キャンペーン適用</t>
        </is>
      </c>
    </row>
    <row r="1150">
      <c r="A1150" t="inlineStr">
        <is>
          <t>SR048</t>
        </is>
      </c>
      <c r="B1150" t="inlineStr">
        <is>
          <t>営業担当048</t>
        </is>
      </c>
      <c r="C1150" t="inlineStr">
        <is>
          <t>第3営業部</t>
        </is>
      </c>
      <c r="D1150" s="3" t="n">
        <v>46002</v>
      </c>
      <c r="E1150" t="inlineStr">
        <is>
          <t>東洋フーズ有限会社</t>
        </is>
      </c>
      <c r="F1150" t="inlineStr">
        <is>
          <t>大阪府</t>
        </is>
      </c>
      <c r="G1150" t="inlineStr">
        <is>
          <t>ハードウェア</t>
        </is>
      </c>
      <c r="H1150" t="inlineStr">
        <is>
          <t>産業用タブレット</t>
        </is>
      </c>
      <c r="I1150" s="4" t="n">
        <v>2</v>
      </c>
      <c r="J1150" s="4" t="n">
        <v>85100</v>
      </c>
      <c r="K1150" s="4">
        <f>I1150*J1150</f>
        <v/>
      </c>
      <c r="L1150" t="inlineStr"/>
    </row>
    <row r="1151">
      <c r="A1151" t="inlineStr">
        <is>
          <t>SR048</t>
        </is>
      </c>
      <c r="B1151" t="inlineStr">
        <is>
          <t>営業担当048</t>
        </is>
      </c>
      <c r="C1151" t="inlineStr">
        <is>
          <t>第3営業部</t>
        </is>
      </c>
      <c r="D1151" s="3" t="n">
        <v>46036</v>
      </c>
      <c r="E1151" t="inlineStr">
        <is>
          <t>大和精機株式会社</t>
        </is>
      </c>
      <c r="F1151" t="inlineStr">
        <is>
          <t>北海道</t>
        </is>
      </c>
      <c r="G1151" t="inlineStr">
        <is>
          <t>保守サービス</t>
        </is>
      </c>
      <c r="H1151" t="inlineStr">
        <is>
          <t>ヘルプデスク契約</t>
        </is>
      </c>
      <c r="I1151" s="4" t="n">
        <v>2</v>
      </c>
      <c r="J1151" s="4" t="n">
        <v>99900</v>
      </c>
      <c r="K1151" s="4">
        <f>I1151*J1151</f>
        <v/>
      </c>
      <c r="L1151" t="inlineStr">
        <is>
          <t>大型案件</t>
        </is>
      </c>
    </row>
    <row r="1152">
      <c r="A1152" t="inlineStr">
        <is>
          <t>SR048</t>
        </is>
      </c>
      <c r="B1152" t="inlineStr">
        <is>
          <t>営業担当048</t>
        </is>
      </c>
      <c r="C1152" t="inlineStr">
        <is>
          <t>第3営業部</t>
        </is>
      </c>
      <c r="D1152" s="3" t="n">
        <v>46039</v>
      </c>
      <c r="E1152" t="inlineStr">
        <is>
          <t>オーシャン製作所株式会社</t>
        </is>
      </c>
      <c r="F1152" t="inlineStr">
        <is>
          <t>広島県</t>
        </is>
      </c>
      <c r="G1152" t="inlineStr">
        <is>
          <t>ソフトウェア</t>
        </is>
      </c>
      <c r="H1152" t="inlineStr">
        <is>
          <t>在庫管理クラウド</t>
        </is>
      </c>
      <c r="I1152" s="4" t="n">
        <v>4</v>
      </c>
      <c r="J1152" s="4" t="n">
        <v>208600</v>
      </c>
      <c r="K1152" s="4">
        <f>I1152*J1152</f>
        <v/>
      </c>
      <c r="L1152" t="inlineStr">
        <is>
          <t>大型案件</t>
        </is>
      </c>
    </row>
    <row r="1153">
      <c r="A1153" t="inlineStr">
        <is>
          <t>SR048</t>
        </is>
      </c>
      <c r="B1153" t="inlineStr">
        <is>
          <t>営業担当048</t>
        </is>
      </c>
      <c r="C1153" t="inlineStr">
        <is>
          <t>第3営業部</t>
        </is>
      </c>
      <c r="D1153" s="3" t="n">
        <v>46055</v>
      </c>
      <c r="E1153" t="inlineStr">
        <is>
          <t>グリーンテック株式会社</t>
        </is>
      </c>
      <c r="F1153" t="inlineStr">
        <is>
          <t>福岡県</t>
        </is>
      </c>
      <c r="G1153" t="inlineStr">
        <is>
          <t>ソフトウェア</t>
        </is>
      </c>
      <c r="H1153" t="inlineStr">
        <is>
          <t>営業支援SaaS</t>
        </is>
      </c>
      <c r="I1153" s="4" t="n">
        <v>5</v>
      </c>
      <c r="J1153" s="4" t="n">
        <v>344800</v>
      </c>
      <c r="K1153" s="4">
        <f>I1153*J1153</f>
        <v/>
      </c>
      <c r="L1153" t="inlineStr">
        <is>
          <t>大型案件</t>
        </is>
      </c>
    </row>
    <row r="1154">
      <c r="A1154" t="inlineStr">
        <is>
          <t>SR048</t>
        </is>
      </c>
      <c r="B1154" t="inlineStr">
        <is>
          <t>営業担当048</t>
        </is>
      </c>
      <c r="C1154" t="inlineStr">
        <is>
          <t>第3営業部</t>
        </is>
      </c>
      <c r="D1154" s="3" t="n">
        <v>46071</v>
      </c>
      <c r="E1154" t="inlineStr">
        <is>
          <t>日新サービス(株)</t>
        </is>
      </c>
      <c r="F1154" t="inlineStr">
        <is>
          <t>大阪府</t>
        </is>
      </c>
      <c r="G1154" t="inlineStr">
        <is>
          <t>ハードウェア</t>
        </is>
      </c>
      <c r="H1154" t="inlineStr">
        <is>
          <t>小型ハンディ端末</t>
        </is>
      </c>
      <c r="I1154" s="4" t="n">
        <v>1</v>
      </c>
      <c r="J1154" s="4" t="n">
        <v>81500</v>
      </c>
      <c r="K1154" s="4">
        <f>I1154*J1154</f>
        <v/>
      </c>
      <c r="L1154" t="inlineStr">
        <is>
          <t>新規開拓</t>
        </is>
      </c>
    </row>
    <row r="1155">
      <c r="A1155" t="inlineStr">
        <is>
          <t>SR048</t>
        </is>
      </c>
      <c r="B1155" t="inlineStr">
        <is>
          <t>営業担当048</t>
        </is>
      </c>
      <c r="C1155" t="inlineStr">
        <is>
          <t>第3営業部</t>
        </is>
      </c>
      <c r="D1155" s="3" t="n">
        <v>46087</v>
      </c>
      <c r="E1155" t="inlineStr">
        <is>
          <t>青葉商事(株)</t>
        </is>
      </c>
      <c r="F1155" t="inlineStr">
        <is>
          <t>北海道</t>
        </is>
      </c>
      <c r="G1155" t="inlineStr">
        <is>
          <t>ソフトウェア</t>
        </is>
      </c>
      <c r="H1155" t="inlineStr">
        <is>
          <t>AIチャットボット</t>
        </is>
      </c>
      <c r="I1155" s="4" t="n">
        <v>2</v>
      </c>
      <c r="J1155" s="4" t="n">
        <v>625800</v>
      </c>
      <c r="K1155" s="4">
        <f>I1155*J1155</f>
        <v/>
      </c>
      <c r="L1155" t="inlineStr">
        <is>
          <t>大型案件</t>
        </is>
      </c>
    </row>
    <row r="1156">
      <c r="A1156" t="inlineStr">
        <is>
          <t>SR048</t>
        </is>
      </c>
      <c r="B1156" t="inlineStr">
        <is>
          <t>営業担当048</t>
        </is>
      </c>
      <c r="C1156" t="inlineStr">
        <is>
          <t>第3営業部</t>
        </is>
      </c>
      <c r="D1156" s="3" t="n">
        <v>46089</v>
      </c>
      <c r="E1156" t="inlineStr">
        <is>
          <t>大和精機株式会社</t>
        </is>
      </c>
      <c r="F1156" t="inlineStr">
        <is>
          <t>宮城県</t>
        </is>
      </c>
      <c r="G1156" t="inlineStr">
        <is>
          <t>導入支援</t>
        </is>
      </c>
      <c r="H1156" t="inlineStr">
        <is>
          <t>データ移行支援</t>
        </is>
      </c>
      <c r="I1156" s="4" t="n">
        <v>2</v>
      </c>
      <c r="J1156" s="4" t="n">
        <v>160900</v>
      </c>
      <c r="K1156" s="4">
        <f>I1156*J1156</f>
        <v/>
      </c>
      <c r="L1156" t="inlineStr">
        <is>
          <t>大型案件</t>
        </is>
      </c>
    </row>
    <row r="1157">
      <c r="A1157" t="inlineStr">
        <is>
          <t>SR049</t>
        </is>
      </c>
      <c r="B1157" t="inlineStr">
        <is>
          <t>営業担当049</t>
        </is>
      </c>
      <c r="C1157" t="inlineStr">
        <is>
          <t>パートナー営業部</t>
        </is>
      </c>
      <c r="D1157" s="3" t="n">
        <v>45760</v>
      </c>
      <c r="E1157" t="inlineStr">
        <is>
          <t>星和商会株式会社</t>
        </is>
      </c>
      <c r="F1157" t="inlineStr">
        <is>
          <t>京都府</t>
        </is>
      </c>
      <c r="G1157" t="inlineStr">
        <is>
          <t>ハードウェア</t>
        </is>
      </c>
      <c r="H1157" t="inlineStr">
        <is>
          <t>ネットワークカメラ</t>
        </is>
      </c>
      <c r="I1157" s="4" t="n">
        <v>2</v>
      </c>
      <c r="J1157" s="4" t="n">
        <v>67700</v>
      </c>
      <c r="K1157" s="4">
        <f>I1157*J1157</f>
        <v/>
      </c>
      <c r="L1157" t="inlineStr">
        <is>
          <t>リピート受注</t>
        </is>
      </c>
    </row>
    <row r="1158">
      <c r="A1158" t="inlineStr">
        <is>
          <t>SR049</t>
        </is>
      </c>
      <c r="B1158" t="inlineStr">
        <is>
          <t>営業担当049</t>
        </is>
      </c>
      <c r="C1158" t="inlineStr">
        <is>
          <t>パートナー営業部</t>
        </is>
      </c>
      <c r="D1158" s="3" t="n">
        <v>45761</v>
      </c>
      <c r="E1158" t="inlineStr">
        <is>
          <t>西日本機工有限会社</t>
        </is>
      </c>
      <c r="F1158" t="inlineStr">
        <is>
          <t>愛知県</t>
        </is>
      </c>
      <c r="G1158" t="inlineStr">
        <is>
          <t>保守サービス</t>
        </is>
      </c>
      <c r="H1158" t="inlineStr">
        <is>
          <t>オンサイト保守</t>
        </is>
      </c>
      <c r="I1158" s="4" t="n">
        <v>5</v>
      </c>
      <c r="J1158" s="4" t="n">
        <v>131800</v>
      </c>
      <c r="K1158" s="4">
        <f>I1158*J1158</f>
        <v/>
      </c>
      <c r="L1158" t="inlineStr">
        <is>
          <t>大型案件</t>
        </is>
      </c>
    </row>
    <row r="1159">
      <c r="A1159" t="inlineStr">
        <is>
          <t>SR049</t>
        </is>
      </c>
      <c r="B1159" t="inlineStr">
        <is>
          <t>営業担当049</t>
        </is>
      </c>
      <c r="C1159" t="inlineStr">
        <is>
          <t>パートナー営業部</t>
        </is>
      </c>
      <c r="D1159" s="3" t="n">
        <v>45786</v>
      </c>
      <c r="E1159" t="inlineStr">
        <is>
          <t>ネクストソリューション株式会社</t>
        </is>
      </c>
      <c r="F1159" t="inlineStr">
        <is>
          <t>北海道</t>
        </is>
      </c>
      <c r="G1159" t="inlineStr">
        <is>
          <t>導入支援</t>
        </is>
      </c>
      <c r="H1159" t="inlineStr">
        <is>
          <t>データ移行支援</t>
        </is>
      </c>
      <c r="I1159" s="4" t="n">
        <v>2</v>
      </c>
      <c r="J1159" s="4" t="n">
        <v>272800</v>
      </c>
      <c r="K1159" s="4">
        <f>I1159*J1159</f>
        <v/>
      </c>
      <c r="L1159" t="inlineStr">
        <is>
          <t>分納</t>
        </is>
      </c>
    </row>
    <row r="1160">
      <c r="A1160" t="inlineStr">
        <is>
          <t>SR049</t>
        </is>
      </c>
      <c r="B1160" t="inlineStr">
        <is>
          <t>営業担当049</t>
        </is>
      </c>
      <c r="C1160" t="inlineStr">
        <is>
          <t>パートナー営業部</t>
        </is>
      </c>
      <c r="D1160" s="3" t="n">
        <v>45800</v>
      </c>
      <c r="E1160" t="inlineStr">
        <is>
          <t>サンライズ建設有限会社</t>
        </is>
      </c>
      <c r="F1160" t="inlineStr">
        <is>
          <t>京都府</t>
        </is>
      </c>
      <c r="G1160" t="inlineStr">
        <is>
          <t>導入支援</t>
        </is>
      </c>
      <c r="H1160" t="inlineStr">
        <is>
          <t>操作研修パック</t>
        </is>
      </c>
      <c r="I1160" s="4" t="n">
        <v>3</v>
      </c>
      <c r="J1160" s="4" t="n">
        <v>114200</v>
      </c>
      <c r="K1160" s="4">
        <f>I1160*J1160</f>
        <v/>
      </c>
      <c r="L1160" t="inlineStr"/>
    </row>
    <row r="1161">
      <c r="A1161" t="inlineStr">
        <is>
          <t>SR049</t>
        </is>
      </c>
      <c r="B1161" t="inlineStr">
        <is>
          <t>営業担当049</t>
        </is>
      </c>
      <c r="C1161" t="inlineStr">
        <is>
          <t>パートナー営業部</t>
        </is>
      </c>
      <c r="D1161" s="3" t="n">
        <v>45812</v>
      </c>
      <c r="E1161" t="inlineStr">
        <is>
          <t>星和商会(株)</t>
        </is>
      </c>
      <c r="F1161" t="inlineStr">
        <is>
          <t>福岡県</t>
        </is>
      </c>
      <c r="G1161" t="inlineStr">
        <is>
          <t>保守サービス</t>
        </is>
      </c>
      <c r="H1161" t="inlineStr">
        <is>
          <t>ヘルプデスク契約</t>
        </is>
      </c>
      <c r="I1161" s="4" t="n">
        <v>2</v>
      </c>
      <c r="J1161" s="4" t="n">
        <v>112600</v>
      </c>
      <c r="K1161" s="4">
        <f>I1161*J1161</f>
        <v/>
      </c>
      <c r="L1161" t="inlineStr">
        <is>
          <t>キャンペーン適用</t>
        </is>
      </c>
    </row>
    <row r="1162">
      <c r="A1162" t="inlineStr">
        <is>
          <t>SR049</t>
        </is>
      </c>
      <c r="B1162" t="inlineStr">
        <is>
          <t>営業担当049</t>
        </is>
      </c>
      <c r="C1162" t="inlineStr">
        <is>
          <t>パートナー営業部</t>
        </is>
      </c>
      <c r="D1162" s="3" t="n">
        <v>45822</v>
      </c>
      <c r="E1162" t="inlineStr">
        <is>
          <t>大和精機有限会社</t>
        </is>
      </c>
      <c r="F1162" t="inlineStr">
        <is>
          <t>宮城県</t>
        </is>
      </c>
      <c r="G1162" t="inlineStr">
        <is>
          <t>ハードウェア</t>
        </is>
      </c>
      <c r="H1162" t="inlineStr">
        <is>
          <t>ネットワークカメラ</t>
        </is>
      </c>
      <c r="I1162" s="4" t="n">
        <v>1</v>
      </c>
      <c r="J1162" s="4" t="n">
        <v>63000</v>
      </c>
      <c r="K1162" s="4">
        <f>I1162*J1162</f>
        <v/>
      </c>
      <c r="L1162" t="inlineStr">
        <is>
          <t>キャンペーン適用</t>
        </is>
      </c>
    </row>
    <row r="1163">
      <c r="A1163" t="inlineStr">
        <is>
          <t>SR049</t>
        </is>
      </c>
      <c r="B1163" t="inlineStr">
        <is>
          <t>営業担当049</t>
        </is>
      </c>
      <c r="C1163" t="inlineStr">
        <is>
          <t>パートナー営業部</t>
        </is>
      </c>
      <c r="D1163" s="3" t="n">
        <v>45861</v>
      </c>
      <c r="E1163" t="inlineStr">
        <is>
          <t>サンライズ建設株式会社</t>
        </is>
      </c>
      <c r="F1163" t="inlineStr">
        <is>
          <t>福岡県</t>
        </is>
      </c>
      <c r="G1163" t="inlineStr">
        <is>
          <t>導入支援</t>
        </is>
      </c>
      <c r="H1163" t="inlineStr">
        <is>
          <t>初期設定支援</t>
        </is>
      </c>
      <c r="I1163" s="4" t="n">
        <v>1</v>
      </c>
      <c r="J1163" s="4" t="n">
        <v>64300</v>
      </c>
      <c r="K1163" s="4">
        <f>I1163*J1163</f>
        <v/>
      </c>
      <c r="L1163" t="inlineStr">
        <is>
          <t>キャンペーン適用</t>
        </is>
      </c>
    </row>
    <row r="1164">
      <c r="A1164" t="inlineStr">
        <is>
          <t>SR049</t>
        </is>
      </c>
      <c r="B1164" t="inlineStr">
        <is>
          <t>営業担当049</t>
        </is>
      </c>
      <c r="C1164" t="inlineStr">
        <is>
          <t>パートナー営業部</t>
        </is>
      </c>
      <c r="D1164" s="3" t="n">
        <v>45866</v>
      </c>
      <c r="E1164" t="inlineStr">
        <is>
          <t>みらい物流(株)</t>
        </is>
      </c>
      <c r="F1164" t="inlineStr">
        <is>
          <t>兵庫県</t>
        </is>
      </c>
      <c r="G1164" t="inlineStr">
        <is>
          <t>消耗品</t>
        </is>
      </c>
      <c r="H1164" t="inlineStr">
        <is>
          <t>ラベルロール</t>
        </is>
      </c>
      <c r="I1164" s="4" t="n">
        <v>9</v>
      </c>
      <c r="J1164" s="4" t="n">
        <v>5790</v>
      </c>
      <c r="K1164" s="4">
        <f>I1164*J1164</f>
        <v/>
      </c>
      <c r="L1164" t="inlineStr">
        <is>
          <t>リピート受注</t>
        </is>
      </c>
    </row>
    <row r="1165">
      <c r="A1165" t="inlineStr">
        <is>
          <t>SR049</t>
        </is>
      </c>
      <c r="B1165" t="inlineStr">
        <is>
          <t>営業担当049</t>
        </is>
      </c>
      <c r="C1165" t="inlineStr">
        <is>
          <t>パートナー営業部</t>
        </is>
      </c>
      <c r="D1165" s="3" t="n">
        <v>45882</v>
      </c>
      <c r="E1165" t="inlineStr">
        <is>
          <t>白峰化学(株)</t>
        </is>
      </c>
      <c r="F1165" t="inlineStr">
        <is>
          <t>広島県</t>
        </is>
      </c>
      <c r="G1165" t="inlineStr">
        <is>
          <t>保守サービス</t>
        </is>
      </c>
      <c r="H1165" t="inlineStr">
        <is>
          <t>オンサイト保守</t>
        </is>
      </c>
      <c r="I1165" s="4" t="n">
        <v>5</v>
      </c>
      <c r="J1165" s="4" t="n">
        <v>164100</v>
      </c>
      <c r="K1165" s="4">
        <f>I1165*J1165</f>
        <v/>
      </c>
      <c r="L1165" t="inlineStr">
        <is>
          <t>分納</t>
        </is>
      </c>
    </row>
    <row r="1166">
      <c r="A1166" t="inlineStr">
        <is>
          <t>SR049</t>
        </is>
      </c>
      <c r="B1166" t="inlineStr">
        <is>
          <t>営業担当049</t>
        </is>
      </c>
      <c r="C1166" t="inlineStr">
        <is>
          <t>パートナー営業部</t>
        </is>
      </c>
      <c r="D1166" s="3" t="n">
        <v>45886</v>
      </c>
      <c r="E1166" t="inlineStr">
        <is>
          <t>アーク電機有限会社</t>
        </is>
      </c>
      <c r="F1166" t="inlineStr">
        <is>
          <t>神奈川県</t>
        </is>
      </c>
      <c r="G1166" t="inlineStr">
        <is>
          <t>導入支援</t>
        </is>
      </c>
      <c r="H1166" t="inlineStr">
        <is>
          <t>初期設定支援</t>
        </is>
      </c>
      <c r="I1166" s="4" t="n">
        <v>2</v>
      </c>
      <c r="J1166" s="4" t="n">
        <v>126700</v>
      </c>
      <c r="K1166" s="4">
        <f>I1166*J1166</f>
        <v/>
      </c>
      <c r="L1166" t="inlineStr"/>
    </row>
    <row r="1167">
      <c r="A1167" t="inlineStr">
        <is>
          <t>SR049</t>
        </is>
      </c>
      <c r="B1167" t="inlineStr">
        <is>
          <t>営業担当049</t>
        </is>
      </c>
      <c r="C1167" t="inlineStr">
        <is>
          <t>パートナー営業部</t>
        </is>
      </c>
      <c r="D1167" s="3" t="n">
        <v>45903</v>
      </c>
      <c r="E1167" t="inlineStr">
        <is>
          <t>オーシャン製作所株式会社</t>
        </is>
      </c>
      <c r="F1167" t="inlineStr">
        <is>
          <t>広島県</t>
        </is>
      </c>
      <c r="G1167" t="inlineStr">
        <is>
          <t>ハードウェア</t>
        </is>
      </c>
      <c r="H1167" t="inlineStr">
        <is>
          <t>小型ハンディ端末</t>
        </is>
      </c>
      <c r="I1167" s="4" t="n">
        <v>2</v>
      </c>
      <c r="J1167" s="4" t="n">
        <v>45400</v>
      </c>
      <c r="K1167" s="4">
        <f>I1167*J1167</f>
        <v/>
      </c>
      <c r="L1167" t="inlineStr"/>
    </row>
    <row r="1168">
      <c r="A1168" t="inlineStr">
        <is>
          <t>SR049</t>
        </is>
      </c>
      <c r="B1168" t="inlineStr">
        <is>
          <t>営業担当049</t>
        </is>
      </c>
      <c r="C1168" t="inlineStr">
        <is>
          <t>パートナー営業部</t>
        </is>
      </c>
      <c r="D1168" s="3" t="n">
        <v>45923</v>
      </c>
      <c r="E1168" t="inlineStr">
        <is>
          <t>グリーンテック株式会社</t>
        </is>
      </c>
      <c r="F1168" t="inlineStr">
        <is>
          <t>広島県</t>
        </is>
      </c>
      <c r="G1168" t="inlineStr">
        <is>
          <t>ハードウェア</t>
        </is>
      </c>
      <c r="H1168" t="inlineStr">
        <is>
          <t>産業用タブレット</t>
        </is>
      </c>
      <c r="I1168" s="4" t="n">
        <v>4</v>
      </c>
      <c r="J1168" s="4" t="n">
        <v>126000</v>
      </c>
      <c r="K1168" s="4">
        <f>I1168*J1168</f>
        <v/>
      </c>
      <c r="L1168" t="inlineStr">
        <is>
          <t>大型案件</t>
        </is>
      </c>
    </row>
    <row r="1169">
      <c r="A1169" t="inlineStr">
        <is>
          <t>SR049</t>
        </is>
      </c>
      <c r="B1169" t="inlineStr">
        <is>
          <t>営業担当049</t>
        </is>
      </c>
      <c r="C1169" t="inlineStr">
        <is>
          <t>パートナー営業部</t>
        </is>
      </c>
      <c r="D1169" s="3" t="n">
        <v>45936</v>
      </c>
      <c r="E1169" t="inlineStr">
        <is>
          <t>東洋フーズ株式会社</t>
        </is>
      </c>
      <c r="F1169" t="inlineStr">
        <is>
          <t>福岡県</t>
        </is>
      </c>
      <c r="G1169" t="inlineStr">
        <is>
          <t>ハードウェア</t>
        </is>
      </c>
      <c r="H1169" t="inlineStr">
        <is>
          <t>ラベルプリンター</t>
        </is>
      </c>
      <c r="I1169" s="4" t="n">
        <v>4</v>
      </c>
      <c r="J1169" s="4" t="n">
        <v>60500</v>
      </c>
      <c r="K1169" s="4">
        <f>I1169*J1169</f>
        <v/>
      </c>
      <c r="L1169" t="inlineStr"/>
    </row>
    <row r="1170">
      <c r="A1170" t="inlineStr">
        <is>
          <t>SR049</t>
        </is>
      </c>
      <c r="B1170" t="inlineStr">
        <is>
          <t>営業担当049</t>
        </is>
      </c>
      <c r="C1170" t="inlineStr">
        <is>
          <t>パートナー営業部</t>
        </is>
      </c>
      <c r="D1170" s="3" t="n">
        <v>45958</v>
      </c>
      <c r="E1170" t="inlineStr">
        <is>
          <t>大和精機有限会社</t>
        </is>
      </c>
      <c r="F1170" t="inlineStr">
        <is>
          <t>北海道</t>
        </is>
      </c>
      <c r="G1170" t="inlineStr">
        <is>
          <t>導入支援</t>
        </is>
      </c>
      <c r="H1170" t="inlineStr">
        <is>
          <t>データ移行支援</t>
        </is>
      </c>
      <c r="I1170" s="4" t="n">
        <v>4</v>
      </c>
      <c r="J1170" s="4" t="n">
        <v>241600</v>
      </c>
      <c r="K1170" s="4">
        <f>I1170*J1170</f>
        <v/>
      </c>
      <c r="L1170" t="inlineStr">
        <is>
          <t>新規開拓</t>
        </is>
      </c>
    </row>
    <row r="1171">
      <c r="A1171" t="inlineStr">
        <is>
          <t>SR049</t>
        </is>
      </c>
      <c r="B1171" t="inlineStr">
        <is>
          <t>営業担当049</t>
        </is>
      </c>
      <c r="C1171" t="inlineStr">
        <is>
          <t>パートナー営業部</t>
        </is>
      </c>
      <c r="D1171" s="3" t="n">
        <v>45974</v>
      </c>
      <c r="E1171" t="inlineStr">
        <is>
          <t>ネクストソリューション(株)</t>
        </is>
      </c>
      <c r="F1171" t="inlineStr">
        <is>
          <t>兵庫県</t>
        </is>
      </c>
      <c r="G1171" t="inlineStr">
        <is>
          <t>ソフトウェア</t>
        </is>
      </c>
      <c r="H1171" t="inlineStr">
        <is>
          <t>AIチャットボット</t>
        </is>
      </c>
      <c r="I1171" s="4" t="n">
        <v>1</v>
      </c>
      <c r="J1171" s="4" t="n">
        <v>351900</v>
      </c>
      <c r="K1171" s="4">
        <f>I1171*J1171</f>
        <v/>
      </c>
      <c r="L1171" t="inlineStr">
        <is>
          <t>キャンペーン適用</t>
        </is>
      </c>
    </row>
    <row r="1172">
      <c r="A1172" t="inlineStr">
        <is>
          <t>SR049</t>
        </is>
      </c>
      <c r="B1172" t="inlineStr">
        <is>
          <t>営業担当049</t>
        </is>
      </c>
      <c r="C1172" t="inlineStr">
        <is>
          <t>パートナー営業部</t>
        </is>
      </c>
      <c r="D1172" s="3" t="n">
        <v>45989</v>
      </c>
      <c r="E1172" t="inlineStr">
        <is>
          <t>西日本機工株式会社</t>
        </is>
      </c>
      <c r="F1172" t="inlineStr">
        <is>
          <t>神奈川県</t>
        </is>
      </c>
      <c r="G1172" t="inlineStr">
        <is>
          <t>ソフトウェア</t>
        </is>
      </c>
      <c r="H1172" t="inlineStr">
        <is>
          <t>AIチャットボット</t>
        </is>
      </c>
      <c r="I1172" s="4" t="n">
        <v>1</v>
      </c>
      <c r="J1172" s="4" t="n">
        <v>476700</v>
      </c>
      <c r="K1172" s="4">
        <f>I1172*J1172</f>
        <v/>
      </c>
      <c r="L1172" t="inlineStr"/>
    </row>
    <row r="1173">
      <c r="A1173" t="inlineStr">
        <is>
          <t>SR049</t>
        </is>
      </c>
      <c r="B1173" t="inlineStr">
        <is>
          <t>営業担当049</t>
        </is>
      </c>
      <c r="C1173" t="inlineStr">
        <is>
          <t>パートナー営業部</t>
        </is>
      </c>
      <c r="D1173" s="3" t="n">
        <v>46002</v>
      </c>
      <c r="E1173" t="inlineStr">
        <is>
          <t>青葉商事有限会社</t>
        </is>
      </c>
      <c r="F1173" t="inlineStr">
        <is>
          <t>愛知県</t>
        </is>
      </c>
      <c r="G1173" t="inlineStr">
        <is>
          <t>導入支援</t>
        </is>
      </c>
      <c r="H1173" t="inlineStr">
        <is>
          <t>データ移行支援</t>
        </is>
      </c>
      <c r="I1173" s="4" t="n">
        <v>1</v>
      </c>
      <c r="J1173" s="4" t="n">
        <v>83800</v>
      </c>
      <c r="K1173" s="4">
        <f>I1173*J1173</f>
        <v/>
      </c>
      <c r="L1173" t="inlineStr"/>
    </row>
    <row r="1174">
      <c r="A1174" t="inlineStr">
        <is>
          <t>SR049</t>
        </is>
      </c>
      <c r="B1174" t="inlineStr">
        <is>
          <t>営業担当049</t>
        </is>
      </c>
      <c r="C1174" t="inlineStr">
        <is>
          <t>パートナー営業部</t>
        </is>
      </c>
      <c r="D1174" s="3" t="n">
        <v>46010</v>
      </c>
      <c r="E1174" t="inlineStr">
        <is>
          <t>西日本機工株式会社</t>
        </is>
      </c>
      <c r="F1174" t="inlineStr">
        <is>
          <t>宮城県</t>
        </is>
      </c>
      <c r="G1174" t="inlineStr">
        <is>
          <t>保守サービス</t>
        </is>
      </c>
      <c r="H1174" t="inlineStr">
        <is>
          <t>ヘルプデスク契約</t>
        </is>
      </c>
      <c r="I1174" s="4" t="n">
        <v>3</v>
      </c>
      <c r="J1174" s="4" t="n">
        <v>88100</v>
      </c>
      <c r="K1174" s="4">
        <f>I1174*J1174</f>
        <v/>
      </c>
      <c r="L1174" t="inlineStr">
        <is>
          <t>分納</t>
        </is>
      </c>
    </row>
    <row r="1175">
      <c r="A1175" t="inlineStr">
        <is>
          <t>SR049</t>
        </is>
      </c>
      <c r="B1175" t="inlineStr">
        <is>
          <t>営業担当049</t>
        </is>
      </c>
      <c r="C1175" t="inlineStr">
        <is>
          <t>パートナー営業部</t>
        </is>
      </c>
      <c r="D1175" s="3" t="n">
        <v>46031</v>
      </c>
      <c r="E1175" t="inlineStr">
        <is>
          <t>青葉商事有限会社</t>
        </is>
      </c>
      <c r="F1175" t="inlineStr">
        <is>
          <t>兵庫県</t>
        </is>
      </c>
      <c r="G1175" t="inlineStr">
        <is>
          <t>ソフトウェア</t>
        </is>
      </c>
      <c r="H1175" t="inlineStr">
        <is>
          <t>在庫管理クラウド</t>
        </is>
      </c>
      <c r="I1175" s="4" t="n">
        <v>2</v>
      </c>
      <c r="J1175" s="4" t="n">
        <v>393900</v>
      </c>
      <c r="K1175" s="4">
        <f>I1175*J1175</f>
        <v/>
      </c>
      <c r="L1175" t="inlineStr"/>
    </row>
    <row r="1176">
      <c r="A1176" t="inlineStr">
        <is>
          <t>SR049</t>
        </is>
      </c>
      <c r="B1176" t="inlineStr">
        <is>
          <t>営業担当049</t>
        </is>
      </c>
      <c r="C1176" t="inlineStr">
        <is>
          <t>パートナー営業部</t>
        </is>
      </c>
      <c r="D1176" s="3" t="n">
        <v>46043</v>
      </c>
      <c r="E1176" t="inlineStr">
        <is>
          <t>福岡流通有限会社</t>
        </is>
      </c>
      <c r="F1176" t="inlineStr">
        <is>
          <t>東京都</t>
        </is>
      </c>
      <c r="G1176" t="inlineStr">
        <is>
          <t>導入支援</t>
        </is>
      </c>
      <c r="H1176" t="inlineStr">
        <is>
          <t>データ移行支援</t>
        </is>
      </c>
      <c r="I1176" s="4" t="n">
        <v>2</v>
      </c>
      <c r="J1176" s="4" t="n">
        <v>179200</v>
      </c>
      <c r="K1176" s="4">
        <f>I1176*J1176</f>
        <v/>
      </c>
      <c r="L1176" t="inlineStr">
        <is>
          <t>分納</t>
        </is>
      </c>
    </row>
    <row r="1177">
      <c r="A1177" t="inlineStr">
        <is>
          <t>SR049</t>
        </is>
      </c>
      <c r="B1177" t="inlineStr">
        <is>
          <t>営業担当049</t>
        </is>
      </c>
      <c r="C1177" t="inlineStr">
        <is>
          <t>パートナー営業部</t>
        </is>
      </c>
      <c r="D1177" s="3" t="n">
        <v>46055</v>
      </c>
      <c r="E1177" t="inlineStr">
        <is>
          <t>福岡流通有限会社</t>
        </is>
      </c>
      <c r="F1177" t="inlineStr">
        <is>
          <t>東京都</t>
        </is>
      </c>
      <c r="G1177" t="inlineStr">
        <is>
          <t>ハードウェア</t>
        </is>
      </c>
      <c r="H1177" t="inlineStr">
        <is>
          <t>ラベルプリンター</t>
        </is>
      </c>
      <c r="I1177" s="4" t="n">
        <v>5</v>
      </c>
      <c r="J1177" s="4" t="n">
        <v>61300</v>
      </c>
      <c r="K1177" s="4">
        <f>I1177*J1177</f>
        <v/>
      </c>
      <c r="L1177" t="inlineStr"/>
    </row>
    <row r="1178">
      <c r="A1178" t="inlineStr">
        <is>
          <t>SR049</t>
        </is>
      </c>
      <c r="B1178" t="inlineStr">
        <is>
          <t>営業担当049</t>
        </is>
      </c>
      <c r="C1178" t="inlineStr">
        <is>
          <t>パートナー営業部</t>
        </is>
      </c>
      <c r="D1178" s="3" t="n">
        <v>46066</v>
      </c>
      <c r="E1178" t="inlineStr">
        <is>
          <t>ライトホーム有限会社</t>
        </is>
      </c>
      <c r="F1178" t="inlineStr">
        <is>
          <t>神奈川県</t>
        </is>
      </c>
      <c r="G1178" t="inlineStr">
        <is>
          <t>導入支援</t>
        </is>
      </c>
      <c r="H1178" t="inlineStr">
        <is>
          <t>データ移行支援</t>
        </is>
      </c>
      <c r="I1178" s="4" t="n">
        <v>3</v>
      </c>
      <c r="J1178" s="4" t="n">
        <v>327500</v>
      </c>
      <c r="K1178" s="4">
        <f>I1178*J1178</f>
        <v/>
      </c>
      <c r="L1178" t="inlineStr">
        <is>
          <t>キャンペーン適用</t>
        </is>
      </c>
    </row>
    <row r="1179">
      <c r="A1179" t="inlineStr">
        <is>
          <t>SR049</t>
        </is>
      </c>
      <c r="B1179" t="inlineStr">
        <is>
          <t>営業担当049</t>
        </is>
      </c>
      <c r="C1179" t="inlineStr">
        <is>
          <t>パートナー営業部</t>
        </is>
      </c>
      <c r="D1179" s="3" t="n">
        <v>46090</v>
      </c>
      <c r="E1179" t="inlineStr">
        <is>
          <t>桜井メディカル有限会社</t>
        </is>
      </c>
      <c r="F1179" t="inlineStr">
        <is>
          <t>兵庫県</t>
        </is>
      </c>
      <c r="G1179" t="inlineStr">
        <is>
          <t>ハードウェア</t>
        </is>
      </c>
      <c r="H1179" t="inlineStr">
        <is>
          <t>産業用タブレット</t>
        </is>
      </c>
      <c r="I1179" s="4" t="n">
        <v>1</v>
      </c>
      <c r="J1179" s="4" t="n">
        <v>77400</v>
      </c>
      <c r="K1179" s="4">
        <f>I1179*J1179</f>
        <v/>
      </c>
      <c r="L1179" t="inlineStr">
        <is>
          <t>キャンペーン適用</t>
        </is>
      </c>
    </row>
    <row r="1180">
      <c r="A1180" t="inlineStr">
        <is>
          <t>SR049</t>
        </is>
      </c>
      <c r="B1180" t="inlineStr">
        <is>
          <t>営業担当049</t>
        </is>
      </c>
      <c r="C1180" t="inlineStr">
        <is>
          <t>パートナー営業部</t>
        </is>
      </c>
      <c r="D1180" s="3" t="n">
        <v>46092</v>
      </c>
      <c r="E1180" t="inlineStr">
        <is>
          <t>福岡流通有限会社</t>
        </is>
      </c>
      <c r="F1180" t="inlineStr">
        <is>
          <t>北海道</t>
        </is>
      </c>
      <c r="G1180" t="inlineStr">
        <is>
          <t>保守サービス</t>
        </is>
      </c>
      <c r="H1180" t="inlineStr">
        <is>
          <t>年間保守契約</t>
        </is>
      </c>
      <c r="I1180" s="4" t="n">
        <v>3</v>
      </c>
      <c r="J1180" s="4" t="n">
        <v>223200</v>
      </c>
      <c r="K1180" s="4">
        <f>I1180*J1180</f>
        <v/>
      </c>
      <c r="L1180" t="inlineStr">
        <is>
          <t>キャンペーン適用</t>
        </is>
      </c>
    </row>
    <row r="1181">
      <c r="A1181" t="inlineStr">
        <is>
          <t>SR050</t>
        </is>
      </c>
      <c r="B1181" t="inlineStr">
        <is>
          <t>営業担当050</t>
        </is>
      </c>
      <c r="C1181" t="inlineStr">
        <is>
          <t>インサイドセールス部</t>
        </is>
      </c>
      <c r="D1181" s="3" t="n">
        <v>45757</v>
      </c>
      <c r="E1181" t="inlineStr">
        <is>
          <t>みらい物流株式会社</t>
        </is>
      </c>
      <c r="F1181" t="inlineStr">
        <is>
          <t>大阪府</t>
        </is>
      </c>
      <c r="G1181" t="inlineStr">
        <is>
          <t>保守サービス</t>
        </is>
      </c>
      <c r="H1181" t="inlineStr">
        <is>
          <t>ヘルプデスク契約</t>
        </is>
      </c>
      <c r="I1181" s="4" t="n">
        <v>5</v>
      </c>
      <c r="J1181" s="4" t="n">
        <v>55200</v>
      </c>
      <c r="K1181" s="4">
        <f>I1181*J1181</f>
        <v/>
      </c>
      <c r="L1181" t="inlineStr"/>
    </row>
    <row r="1182">
      <c r="A1182" t="inlineStr">
        <is>
          <t>SR050</t>
        </is>
      </c>
      <c r="B1182" t="inlineStr">
        <is>
          <t>営業担当050</t>
        </is>
      </c>
      <c r="C1182" t="inlineStr">
        <is>
          <t>インサイドセールス部</t>
        </is>
      </c>
      <c r="D1182" s="3" t="n">
        <v>45767</v>
      </c>
      <c r="E1182" t="inlineStr">
        <is>
          <t>北斗産業(株)</t>
        </is>
      </c>
      <c r="F1182" t="inlineStr">
        <is>
          <t>北海道</t>
        </is>
      </c>
      <c r="G1182" t="inlineStr">
        <is>
          <t>ソフトウェア</t>
        </is>
      </c>
      <c r="H1182" t="inlineStr">
        <is>
          <t>在庫管理クラウド</t>
        </is>
      </c>
      <c r="I1182" s="4" t="n">
        <v>4</v>
      </c>
      <c r="J1182" s="4" t="n">
        <v>466000</v>
      </c>
      <c r="K1182" s="4">
        <f>I1182*J1182</f>
        <v/>
      </c>
      <c r="L1182" t="inlineStr">
        <is>
          <t>キャンペーン適用</t>
        </is>
      </c>
    </row>
    <row r="1183">
      <c r="A1183" t="inlineStr">
        <is>
          <t>SR050</t>
        </is>
      </c>
      <c r="B1183" t="inlineStr">
        <is>
          <t>営業担当050</t>
        </is>
      </c>
      <c r="C1183" t="inlineStr">
        <is>
          <t>インサイドセールス部</t>
        </is>
      </c>
      <c r="D1183" s="3" t="n">
        <v>45796</v>
      </c>
      <c r="E1183" t="inlineStr">
        <is>
          <t>福岡流通株式会社</t>
        </is>
      </c>
      <c r="F1183" t="inlineStr">
        <is>
          <t>北海道</t>
        </is>
      </c>
      <c r="G1183" t="inlineStr">
        <is>
          <t>導入支援</t>
        </is>
      </c>
      <c r="H1183" t="inlineStr">
        <is>
          <t>操作研修パック</t>
        </is>
      </c>
      <c r="I1183" s="4" t="n">
        <v>1</v>
      </c>
      <c r="J1183" s="4" t="n">
        <v>93600</v>
      </c>
      <c r="K1183" s="4">
        <f>I1183*J1183</f>
        <v/>
      </c>
      <c r="L1183" t="inlineStr"/>
    </row>
    <row r="1184">
      <c r="A1184" t="inlineStr">
        <is>
          <t>SR050</t>
        </is>
      </c>
      <c r="B1184" t="inlineStr">
        <is>
          <t>営業担当050</t>
        </is>
      </c>
      <c r="C1184" t="inlineStr">
        <is>
          <t>インサイドセールス部</t>
        </is>
      </c>
      <c r="D1184" s="3" t="n">
        <v>45801</v>
      </c>
      <c r="E1184" t="inlineStr">
        <is>
          <t>グリーンテック株式会社</t>
        </is>
      </c>
      <c r="F1184" t="inlineStr">
        <is>
          <t>兵庫県</t>
        </is>
      </c>
      <c r="G1184" t="inlineStr">
        <is>
          <t>ソフトウェア</t>
        </is>
      </c>
      <c r="H1184" t="inlineStr">
        <is>
          <t>帳票自動化ツール</t>
        </is>
      </c>
      <c r="I1184" s="4" t="n">
        <v>2</v>
      </c>
      <c r="J1184" s="4" t="n">
        <v>300900</v>
      </c>
      <c r="K1184" s="4">
        <f>I1184*J1184</f>
        <v/>
      </c>
      <c r="L1184" t="inlineStr">
        <is>
          <t>分納</t>
        </is>
      </c>
    </row>
    <row r="1185">
      <c r="A1185" t="inlineStr">
        <is>
          <t>SR050</t>
        </is>
      </c>
      <c r="B1185" t="inlineStr">
        <is>
          <t>営業担当050</t>
        </is>
      </c>
      <c r="C1185" t="inlineStr">
        <is>
          <t>インサイドセールス部</t>
        </is>
      </c>
      <c r="D1185" s="3" t="n">
        <v>45827</v>
      </c>
      <c r="E1185" t="inlineStr">
        <is>
          <t>九州エナジー株式会社</t>
        </is>
      </c>
      <c r="F1185" t="inlineStr">
        <is>
          <t>宮城県</t>
        </is>
      </c>
      <c r="G1185" t="inlineStr">
        <is>
          <t>導入支援</t>
        </is>
      </c>
      <c r="H1185" t="inlineStr">
        <is>
          <t>データ移行支援</t>
        </is>
      </c>
      <c r="I1185" s="4" t="n">
        <v>3</v>
      </c>
      <c r="J1185" s="4" t="n">
        <v>358200</v>
      </c>
      <c r="K1185" s="4">
        <f>I1185*J1185</f>
        <v/>
      </c>
      <c r="L1185" t="inlineStr"/>
    </row>
    <row r="1186">
      <c r="A1186" t="inlineStr">
        <is>
          <t>SR050</t>
        </is>
      </c>
      <c r="B1186" t="inlineStr">
        <is>
          <t>営業担当050</t>
        </is>
      </c>
      <c r="C1186" t="inlineStr">
        <is>
          <t>インサイドセールス部</t>
        </is>
      </c>
      <c r="D1186" s="3" t="n">
        <v>45828</v>
      </c>
      <c r="E1186" t="inlineStr">
        <is>
          <t>ネクストソリューション有限会社</t>
        </is>
      </c>
      <c r="F1186" t="inlineStr">
        <is>
          <t>宮城県</t>
        </is>
      </c>
      <c r="G1186" t="inlineStr">
        <is>
          <t>ハードウェア</t>
        </is>
      </c>
      <c r="H1186" t="inlineStr">
        <is>
          <t>産業用タブレット</t>
        </is>
      </c>
      <c r="I1186" s="4" t="n">
        <v>3</v>
      </c>
      <c r="J1186" s="4" t="n">
        <v>69700</v>
      </c>
      <c r="K1186" s="4">
        <f>I1186*J1186</f>
        <v/>
      </c>
      <c r="L1186" t="inlineStr">
        <is>
          <t>新規開拓</t>
        </is>
      </c>
    </row>
    <row r="1187">
      <c r="A1187" t="inlineStr">
        <is>
          <t>SR050</t>
        </is>
      </c>
      <c r="B1187" t="inlineStr">
        <is>
          <t>営業担当050</t>
        </is>
      </c>
      <c r="C1187" t="inlineStr">
        <is>
          <t>インサイドセールス部</t>
        </is>
      </c>
      <c r="D1187" s="3" t="n">
        <v>45855</v>
      </c>
      <c r="E1187" t="inlineStr">
        <is>
          <t>ライトホーム有限会社</t>
        </is>
      </c>
      <c r="F1187" t="inlineStr">
        <is>
          <t>愛知県</t>
        </is>
      </c>
      <c r="G1187" t="inlineStr">
        <is>
          <t>ソフトウェア</t>
        </is>
      </c>
      <c r="H1187" t="inlineStr">
        <is>
          <t>AIチャットボット</t>
        </is>
      </c>
      <c r="I1187" s="4" t="n">
        <v>1</v>
      </c>
      <c r="J1187" s="4" t="n">
        <v>690900</v>
      </c>
      <c r="K1187" s="4">
        <f>I1187*J1187</f>
        <v/>
      </c>
      <c r="L1187" t="inlineStr">
        <is>
          <t>分納</t>
        </is>
      </c>
    </row>
    <row r="1188">
      <c r="A1188" t="inlineStr">
        <is>
          <t>SR050</t>
        </is>
      </c>
      <c r="B1188" t="inlineStr">
        <is>
          <t>営業担当050</t>
        </is>
      </c>
      <c r="C1188" t="inlineStr">
        <is>
          <t>インサイドセールス部</t>
        </is>
      </c>
      <c r="D1188" s="3" t="n">
        <v>45866</v>
      </c>
      <c r="E1188" t="inlineStr">
        <is>
          <t>北斗産業有限会社</t>
        </is>
      </c>
      <c r="F1188" t="inlineStr">
        <is>
          <t>北海道</t>
        </is>
      </c>
      <c r="G1188" t="inlineStr">
        <is>
          <t>導入支援</t>
        </is>
      </c>
      <c r="H1188" t="inlineStr">
        <is>
          <t>初期設定支援</t>
        </is>
      </c>
      <c r="I1188" s="4" t="n">
        <v>5</v>
      </c>
      <c r="J1188" s="4" t="n">
        <v>149200</v>
      </c>
      <c r="K1188" s="4">
        <f>I1188*J1188</f>
        <v/>
      </c>
      <c r="L1188" t="inlineStr">
        <is>
          <t>キャンペーン適用</t>
        </is>
      </c>
    </row>
    <row r="1189">
      <c r="A1189" t="inlineStr">
        <is>
          <t>SR050</t>
        </is>
      </c>
      <c r="B1189" t="inlineStr">
        <is>
          <t>営業担当050</t>
        </is>
      </c>
      <c r="C1189" t="inlineStr">
        <is>
          <t>インサイドセールス部</t>
        </is>
      </c>
      <c r="D1189" s="3" t="n">
        <v>45880</v>
      </c>
      <c r="E1189" t="inlineStr">
        <is>
          <t>グリーンテック(株)</t>
        </is>
      </c>
      <c r="F1189" t="inlineStr">
        <is>
          <t>愛知県</t>
        </is>
      </c>
      <c r="G1189" t="inlineStr">
        <is>
          <t>導入支援</t>
        </is>
      </c>
      <c r="H1189" t="inlineStr">
        <is>
          <t>操作研修パック</t>
        </is>
      </c>
      <c r="I1189" s="4" t="n">
        <v>4</v>
      </c>
      <c r="J1189" s="4" t="n">
        <v>60100</v>
      </c>
      <c r="K1189" s="4">
        <f>I1189*J1189</f>
        <v/>
      </c>
      <c r="L1189" t="inlineStr">
        <is>
          <t>リピート受注</t>
        </is>
      </c>
    </row>
    <row r="1190">
      <c r="A1190" t="inlineStr">
        <is>
          <t>SR050</t>
        </is>
      </c>
      <c r="B1190" t="inlineStr">
        <is>
          <t>営業担当050</t>
        </is>
      </c>
      <c r="C1190" t="inlineStr">
        <is>
          <t>インサイドセールス部</t>
        </is>
      </c>
      <c r="D1190" s="3" t="n">
        <v>45893</v>
      </c>
      <c r="E1190" t="inlineStr">
        <is>
          <t>ライトホーム株式会社</t>
        </is>
      </c>
      <c r="F1190" t="inlineStr">
        <is>
          <t>北海道</t>
        </is>
      </c>
      <c r="G1190" t="inlineStr">
        <is>
          <t>導入支援</t>
        </is>
      </c>
      <c r="H1190" t="inlineStr">
        <is>
          <t>データ移行支援</t>
        </is>
      </c>
      <c r="I1190" s="4" t="n">
        <v>1</v>
      </c>
      <c r="J1190" s="4" t="n">
        <v>237600</v>
      </c>
      <c r="K1190" s="4">
        <f>I1190*J1190</f>
        <v/>
      </c>
      <c r="L1190" t="inlineStr">
        <is>
          <t>リピート受注</t>
        </is>
      </c>
    </row>
    <row r="1191">
      <c r="A1191" t="inlineStr">
        <is>
          <t>SR050</t>
        </is>
      </c>
      <c r="B1191" t="inlineStr">
        <is>
          <t>営業担当050</t>
        </is>
      </c>
      <c r="C1191" t="inlineStr">
        <is>
          <t>インサイドセールス部</t>
        </is>
      </c>
      <c r="D1191" s="3" t="n">
        <v>45905</v>
      </c>
      <c r="E1191" t="inlineStr">
        <is>
          <t>北斗産業有限会社</t>
        </is>
      </c>
      <c r="F1191" t="inlineStr">
        <is>
          <t>北海道</t>
        </is>
      </c>
      <c r="G1191" t="inlineStr">
        <is>
          <t>保守サービス</t>
        </is>
      </c>
      <c r="H1191" t="inlineStr">
        <is>
          <t>ヘルプデスク契約</t>
        </is>
      </c>
      <c r="I1191" s="4" t="n">
        <v>1</v>
      </c>
      <c r="J1191" s="4" t="n">
        <v>64000</v>
      </c>
      <c r="K1191" s="4">
        <f>I1191*J1191</f>
        <v/>
      </c>
      <c r="L1191" t="inlineStr">
        <is>
          <t>分納</t>
        </is>
      </c>
    </row>
    <row r="1192">
      <c r="A1192" t="inlineStr">
        <is>
          <t>SR050</t>
        </is>
      </c>
      <c r="B1192" t="inlineStr">
        <is>
          <t>営業担当050</t>
        </is>
      </c>
      <c r="C1192" t="inlineStr">
        <is>
          <t>インサイドセールス部</t>
        </is>
      </c>
      <c r="D1192" s="3" t="n">
        <v>45920</v>
      </c>
      <c r="E1192" t="inlineStr">
        <is>
          <t>東洋フーズ有限会社</t>
        </is>
      </c>
      <c r="F1192" t="inlineStr">
        <is>
          <t>福岡県</t>
        </is>
      </c>
      <c r="G1192" t="inlineStr">
        <is>
          <t>消耗品</t>
        </is>
      </c>
      <c r="H1192" t="inlineStr">
        <is>
          <t>交換用ヘッド</t>
        </is>
      </c>
      <c r="I1192" s="4" t="n">
        <v>13</v>
      </c>
      <c r="J1192" s="4" t="n">
        <v>41350</v>
      </c>
      <c r="K1192" s="4">
        <f>I1192*J1192</f>
        <v/>
      </c>
      <c r="L1192" t="inlineStr">
        <is>
          <t>値引き調整あり</t>
        </is>
      </c>
    </row>
    <row r="1193">
      <c r="A1193" t="inlineStr">
        <is>
          <t>SR050</t>
        </is>
      </c>
      <c r="B1193" t="inlineStr">
        <is>
          <t>営業担当050</t>
        </is>
      </c>
      <c r="C1193" t="inlineStr">
        <is>
          <t>インサイドセールス部</t>
        </is>
      </c>
      <c r="D1193" s="3" t="n">
        <v>45932</v>
      </c>
      <c r="E1193" t="inlineStr">
        <is>
          <t>グリーンテック(株)</t>
        </is>
      </c>
      <c r="F1193" t="inlineStr">
        <is>
          <t>大阪府</t>
        </is>
      </c>
      <c r="G1193" t="inlineStr">
        <is>
          <t>保守サービス</t>
        </is>
      </c>
      <c r="H1193" t="inlineStr">
        <is>
          <t>ヘルプデスク契約</t>
        </is>
      </c>
      <c r="I1193" s="4" t="n">
        <v>5</v>
      </c>
      <c r="J1193" s="4" t="n">
        <v>83800</v>
      </c>
      <c r="K1193" s="4">
        <f>I1193*J1193</f>
        <v/>
      </c>
      <c r="L1193" t="inlineStr"/>
    </row>
    <row r="1194">
      <c r="A1194" t="inlineStr">
        <is>
          <t>SR050</t>
        </is>
      </c>
      <c r="B1194" t="inlineStr">
        <is>
          <t>営業担当050</t>
        </is>
      </c>
      <c r="C1194" t="inlineStr">
        <is>
          <t>インサイドセールス部</t>
        </is>
      </c>
      <c r="D1194" s="3" t="n">
        <v>45951</v>
      </c>
      <c r="E1194" t="inlineStr">
        <is>
          <t>東洋フーズ(株)</t>
        </is>
      </c>
      <c r="F1194" t="inlineStr">
        <is>
          <t>神奈川県</t>
        </is>
      </c>
      <c r="G1194" t="inlineStr">
        <is>
          <t>導入支援</t>
        </is>
      </c>
      <c r="H1194" t="inlineStr">
        <is>
          <t>初期設定支援</t>
        </is>
      </c>
      <c r="I1194" s="4" t="n">
        <v>3</v>
      </c>
      <c r="J1194" s="4" t="n">
        <v>81200</v>
      </c>
      <c r="K1194" s="4">
        <f>I1194*J1194</f>
        <v/>
      </c>
      <c r="L1194" t="inlineStr">
        <is>
          <t>大型案件</t>
        </is>
      </c>
    </row>
    <row r="1195">
      <c r="A1195" t="inlineStr">
        <is>
          <t>SR050</t>
        </is>
      </c>
      <c r="B1195" t="inlineStr">
        <is>
          <t>営業担当050</t>
        </is>
      </c>
      <c r="C1195" t="inlineStr">
        <is>
          <t>インサイドセールス部</t>
        </is>
      </c>
      <c r="D1195" s="3" t="n">
        <v>45976</v>
      </c>
      <c r="E1195" t="inlineStr">
        <is>
          <t>中央設備(株)</t>
        </is>
      </c>
      <c r="F1195" t="inlineStr">
        <is>
          <t>京都府</t>
        </is>
      </c>
      <c r="G1195" t="inlineStr">
        <is>
          <t>ハードウェア</t>
        </is>
      </c>
      <c r="H1195" t="inlineStr">
        <is>
          <t>小型ハンディ端末</t>
        </is>
      </c>
      <c r="I1195" s="4" t="n">
        <v>2</v>
      </c>
      <c r="J1195" s="4" t="n">
        <v>62400</v>
      </c>
      <c r="K1195" s="4">
        <f>I1195*J1195</f>
        <v/>
      </c>
      <c r="L1195" t="inlineStr"/>
    </row>
    <row r="1196">
      <c r="A1196" t="inlineStr">
        <is>
          <t>SR050</t>
        </is>
      </c>
      <c r="B1196" t="inlineStr">
        <is>
          <t>営業担当050</t>
        </is>
      </c>
      <c r="C1196" t="inlineStr">
        <is>
          <t>インサイドセールス部</t>
        </is>
      </c>
      <c r="D1196" s="3" t="n">
        <v>45989</v>
      </c>
      <c r="E1196" t="inlineStr">
        <is>
          <t>桜井メディカル有限会社</t>
        </is>
      </c>
      <c r="F1196" t="inlineStr">
        <is>
          <t>東京都</t>
        </is>
      </c>
      <c r="G1196" t="inlineStr">
        <is>
          <t>ハードウェア</t>
        </is>
      </c>
      <c r="H1196" t="inlineStr">
        <is>
          <t>ネットワークカメラ</t>
        </is>
      </c>
      <c r="I1196" s="4" t="n">
        <v>4</v>
      </c>
      <c r="J1196" s="4" t="n">
        <v>54600</v>
      </c>
      <c r="K1196" s="4">
        <f>I1196*J1196</f>
        <v/>
      </c>
      <c r="L1196" t="inlineStr"/>
    </row>
    <row r="1197">
      <c r="A1197" t="inlineStr">
        <is>
          <t>SR050</t>
        </is>
      </c>
      <c r="B1197" t="inlineStr">
        <is>
          <t>営業担当050</t>
        </is>
      </c>
      <c r="C1197" t="inlineStr">
        <is>
          <t>インサイドセールス部</t>
        </is>
      </c>
      <c r="D1197" s="3" t="n">
        <v>45992</v>
      </c>
      <c r="E1197" t="inlineStr">
        <is>
          <t>九州エナジー(株)</t>
        </is>
      </c>
      <c r="F1197" t="inlineStr">
        <is>
          <t>北海道</t>
        </is>
      </c>
      <c r="G1197" t="inlineStr">
        <is>
          <t>導入支援</t>
        </is>
      </c>
      <c r="H1197" t="inlineStr">
        <is>
          <t>操作研修パック</t>
        </is>
      </c>
      <c r="I1197" s="4" t="n">
        <v>4</v>
      </c>
      <c r="J1197" s="4" t="n">
        <v>101300</v>
      </c>
      <c r="K1197" s="4">
        <f>I1197*J1197</f>
        <v/>
      </c>
      <c r="L1197" t="inlineStr">
        <is>
          <t>キャンペーン適用</t>
        </is>
      </c>
    </row>
    <row r="1198">
      <c r="A1198" t="inlineStr">
        <is>
          <t>SR050</t>
        </is>
      </c>
      <c r="B1198" t="inlineStr">
        <is>
          <t>営業担当050</t>
        </is>
      </c>
      <c r="C1198" t="inlineStr">
        <is>
          <t>インサイドセールス部</t>
        </is>
      </c>
      <c r="D1198" s="3" t="n">
        <v>45995</v>
      </c>
      <c r="E1198" t="inlineStr">
        <is>
          <t>アーク電機有限会社</t>
        </is>
      </c>
      <c r="F1198" t="inlineStr">
        <is>
          <t>東京都</t>
        </is>
      </c>
      <c r="G1198" t="inlineStr">
        <is>
          <t>ハードウェア</t>
        </is>
      </c>
      <c r="H1198" t="inlineStr">
        <is>
          <t>ラベルプリンター</t>
        </is>
      </c>
      <c r="I1198" s="4" t="n">
        <v>4</v>
      </c>
      <c r="J1198" s="4" t="n">
        <v>77200</v>
      </c>
      <c r="K1198" s="4">
        <f>I1198*J1198</f>
        <v/>
      </c>
      <c r="L1198" t="inlineStr">
        <is>
          <t>リピート受注</t>
        </is>
      </c>
    </row>
    <row r="1199">
      <c r="A1199" t="inlineStr">
        <is>
          <t>SR050</t>
        </is>
      </c>
      <c r="B1199" t="inlineStr">
        <is>
          <t>営業担当050</t>
        </is>
      </c>
      <c r="C1199" t="inlineStr">
        <is>
          <t>インサイドセールス部</t>
        </is>
      </c>
      <c r="D1199" s="3" t="n">
        <v>46030</v>
      </c>
      <c r="E1199" t="inlineStr">
        <is>
          <t>未来通信有限会社</t>
        </is>
      </c>
      <c r="F1199" t="inlineStr">
        <is>
          <t>広島県</t>
        </is>
      </c>
      <c r="G1199" t="inlineStr">
        <is>
          <t>ソフトウェア</t>
        </is>
      </c>
      <c r="H1199" t="inlineStr">
        <is>
          <t>営業支援SaaS</t>
        </is>
      </c>
      <c r="I1199" s="4" t="n">
        <v>5</v>
      </c>
      <c r="J1199" s="4" t="n">
        <v>321500</v>
      </c>
      <c r="K1199" s="4">
        <f>I1199*J1199</f>
        <v/>
      </c>
      <c r="L1199" t="inlineStr"/>
    </row>
    <row r="1200">
      <c r="A1200" t="inlineStr">
        <is>
          <t>SR050</t>
        </is>
      </c>
      <c r="B1200" t="inlineStr">
        <is>
          <t>営業担当050</t>
        </is>
      </c>
      <c r="C1200" t="inlineStr">
        <is>
          <t>インサイドセールス部</t>
        </is>
      </c>
      <c r="D1200" s="3" t="n">
        <v>46035</v>
      </c>
      <c r="E1200" t="inlineStr">
        <is>
          <t>みらい物流有限会社</t>
        </is>
      </c>
      <c r="F1200" t="inlineStr">
        <is>
          <t>神奈川県</t>
        </is>
      </c>
      <c r="G1200" t="inlineStr">
        <is>
          <t>保守サービス</t>
        </is>
      </c>
      <c r="H1200" t="inlineStr">
        <is>
          <t>ヘルプデスク契約</t>
        </is>
      </c>
      <c r="I1200" s="4" t="n">
        <v>2</v>
      </c>
      <c r="J1200" s="4" t="n">
        <v>107700</v>
      </c>
      <c r="K1200" s="4">
        <f>I1200*J1200</f>
        <v/>
      </c>
      <c r="L1200" t="inlineStr">
        <is>
          <t>値引き調整あり</t>
        </is>
      </c>
    </row>
    <row r="1201">
      <c r="A1201" t="inlineStr">
        <is>
          <t>SR050</t>
        </is>
      </c>
      <c r="B1201" t="inlineStr">
        <is>
          <t>営業担当050</t>
        </is>
      </c>
      <c r="C1201" t="inlineStr">
        <is>
          <t>インサイドセールス部</t>
        </is>
      </c>
      <c r="D1201" s="3" t="n">
        <v>46066</v>
      </c>
      <c r="E1201" t="inlineStr">
        <is>
          <t>中央設備株式会社</t>
        </is>
      </c>
      <c r="F1201" t="inlineStr">
        <is>
          <t>北海道</t>
        </is>
      </c>
      <c r="G1201" t="inlineStr">
        <is>
          <t>消耗品</t>
        </is>
      </c>
      <c r="H1201" t="inlineStr">
        <is>
          <t>ラベルロール</t>
        </is>
      </c>
      <c r="I1201" s="4" t="n">
        <v>14</v>
      </c>
      <c r="J1201" s="4" t="n">
        <v>8420</v>
      </c>
      <c r="K1201" s="4">
        <f>I1201*J1201</f>
        <v/>
      </c>
      <c r="L1201" t="inlineStr">
        <is>
          <t>分納</t>
        </is>
      </c>
    </row>
    <row r="1202">
      <c r="A1202" t="inlineStr">
        <is>
          <t>SR050</t>
        </is>
      </c>
      <c r="B1202" t="inlineStr">
        <is>
          <t>営業担当050</t>
        </is>
      </c>
      <c r="C1202" t="inlineStr">
        <is>
          <t>インサイドセールス部</t>
        </is>
      </c>
      <c r="D1202" s="3" t="n">
        <v>46079</v>
      </c>
      <c r="E1202" t="inlineStr">
        <is>
          <t>オーシャン製作所株式会社</t>
        </is>
      </c>
      <c r="F1202" t="inlineStr">
        <is>
          <t>兵庫県</t>
        </is>
      </c>
      <c r="G1202" t="inlineStr">
        <is>
          <t>消耗品</t>
        </is>
      </c>
      <c r="H1202" t="inlineStr">
        <is>
          <t>ラベルロール</t>
        </is>
      </c>
      <c r="I1202" s="4" t="n">
        <v>11</v>
      </c>
      <c r="J1202" s="4" t="n">
        <v>9220</v>
      </c>
      <c r="K1202" s="4">
        <f>I1202*J1202</f>
        <v/>
      </c>
      <c r="L1202" t="inlineStr">
        <is>
          <t>キャンペーン適用</t>
        </is>
      </c>
    </row>
    <row r="1203">
      <c r="A1203" t="inlineStr">
        <is>
          <t>SR050</t>
        </is>
      </c>
      <c r="B1203" t="inlineStr">
        <is>
          <t>営業担当050</t>
        </is>
      </c>
      <c r="C1203" t="inlineStr">
        <is>
          <t>インサイドセールス部</t>
        </is>
      </c>
      <c r="D1203" s="3" t="n">
        <v>46102</v>
      </c>
      <c r="E1203" t="inlineStr">
        <is>
          <t>西日本機工有限会社</t>
        </is>
      </c>
      <c r="F1203" t="inlineStr">
        <is>
          <t>福岡県</t>
        </is>
      </c>
      <c r="G1203" t="inlineStr">
        <is>
          <t>導入支援</t>
        </is>
      </c>
      <c r="H1203" t="inlineStr">
        <is>
          <t>操作研修パック</t>
        </is>
      </c>
      <c r="I1203" s="4" t="n">
        <v>4</v>
      </c>
      <c r="J1203" s="4" t="n">
        <v>89600</v>
      </c>
      <c r="K1203" s="4">
        <f>I1203*J1203</f>
        <v/>
      </c>
      <c r="L1203" t="inlineStr"/>
    </row>
    <row r="1204">
      <c r="A1204" t="inlineStr">
        <is>
          <t>SR050</t>
        </is>
      </c>
      <c r="B1204" t="inlineStr">
        <is>
          <t>営業担当050</t>
        </is>
      </c>
      <c r="C1204" t="inlineStr">
        <is>
          <t>インサイドセールス部</t>
        </is>
      </c>
      <c r="D1204" s="3" t="n">
        <v>46104</v>
      </c>
      <c r="E1204" t="inlineStr">
        <is>
          <t>日新サービス有限会社</t>
        </is>
      </c>
      <c r="F1204" t="inlineStr">
        <is>
          <t>京都府</t>
        </is>
      </c>
      <c r="G1204" t="inlineStr">
        <is>
          <t>導入支援</t>
        </is>
      </c>
      <c r="H1204" t="inlineStr">
        <is>
          <t>初期設定支援</t>
        </is>
      </c>
      <c r="I1204" s="4" t="n">
        <v>2</v>
      </c>
      <c r="J1204" s="4" t="n">
        <v>103000</v>
      </c>
      <c r="K1204" s="4">
        <f>I1204*J1204</f>
        <v/>
      </c>
      <c r="L1204" t="inlineStr"/>
    </row>
    <row r="1205">
      <c r="A1205" t="inlineStr">
        <is>
          <t>SR051</t>
        </is>
      </c>
      <c r="B1205" t="inlineStr">
        <is>
          <t>営業担当051</t>
        </is>
      </c>
      <c r="C1205" t="inlineStr">
        <is>
          <t>第1営業部</t>
        </is>
      </c>
      <c r="D1205" s="3" t="n">
        <v>45750</v>
      </c>
      <c r="E1205" t="inlineStr">
        <is>
          <t>中央設備有限会社</t>
        </is>
      </c>
      <c r="F1205" t="inlineStr">
        <is>
          <t>神奈川県</t>
        </is>
      </c>
      <c r="G1205" t="inlineStr">
        <is>
          <t>保守サービス</t>
        </is>
      </c>
      <c r="H1205" t="inlineStr">
        <is>
          <t>ヘルプデスク契約</t>
        </is>
      </c>
      <c r="I1205" s="4" t="n">
        <v>2</v>
      </c>
      <c r="J1205" s="4" t="n">
        <v>79300</v>
      </c>
      <c r="K1205" s="4">
        <f>I1205*J1205</f>
        <v/>
      </c>
      <c r="L1205" t="inlineStr"/>
    </row>
    <row r="1206">
      <c r="A1206" t="inlineStr">
        <is>
          <t>SR051</t>
        </is>
      </c>
      <c r="B1206" t="inlineStr">
        <is>
          <t>営業担当051</t>
        </is>
      </c>
      <c r="C1206" t="inlineStr">
        <is>
          <t>第1営業部</t>
        </is>
      </c>
      <c r="D1206" s="3" t="n">
        <v>45754</v>
      </c>
      <c r="E1206" t="inlineStr">
        <is>
          <t>東洋フーズ有限会社</t>
        </is>
      </c>
      <c r="F1206" t="inlineStr">
        <is>
          <t>愛知県</t>
        </is>
      </c>
      <c r="G1206" t="inlineStr">
        <is>
          <t>ソフトウェア</t>
        </is>
      </c>
      <c r="H1206" t="inlineStr">
        <is>
          <t>帳票自動化ツール</t>
        </is>
      </c>
      <c r="I1206" s="4" t="n">
        <v>5</v>
      </c>
      <c r="J1206" s="4" t="n">
        <v>191700</v>
      </c>
      <c r="K1206" s="4">
        <f>I1206*J1206</f>
        <v/>
      </c>
      <c r="L1206" t="inlineStr"/>
    </row>
    <row r="1207">
      <c r="A1207" t="inlineStr">
        <is>
          <t>SR051</t>
        </is>
      </c>
      <c r="B1207" t="inlineStr">
        <is>
          <t>営業担当051</t>
        </is>
      </c>
      <c r="C1207" t="inlineStr">
        <is>
          <t>第1営業部</t>
        </is>
      </c>
      <c r="D1207" s="3" t="n">
        <v>45785</v>
      </c>
      <c r="E1207" t="inlineStr">
        <is>
          <t>サンライズ建設株式会社</t>
        </is>
      </c>
      <c r="F1207" t="inlineStr">
        <is>
          <t>京都府</t>
        </is>
      </c>
      <c r="G1207" t="inlineStr">
        <is>
          <t>保守サービス</t>
        </is>
      </c>
      <c r="H1207" t="inlineStr">
        <is>
          <t>ヘルプデスク契約</t>
        </is>
      </c>
      <c r="I1207" s="4" t="n">
        <v>5</v>
      </c>
      <c r="J1207" s="4" t="n">
        <v>81500</v>
      </c>
      <c r="K1207" s="4">
        <f>I1207*J1207</f>
        <v/>
      </c>
      <c r="L1207" t="inlineStr"/>
    </row>
    <row r="1208">
      <c r="A1208" t="inlineStr">
        <is>
          <t>SR051</t>
        </is>
      </c>
      <c r="B1208" t="inlineStr">
        <is>
          <t>営業担当051</t>
        </is>
      </c>
      <c r="C1208" t="inlineStr">
        <is>
          <t>第1営業部</t>
        </is>
      </c>
      <c r="D1208" s="3" t="n">
        <v>45790</v>
      </c>
      <c r="E1208" t="inlineStr">
        <is>
          <t>アーク電機有限会社</t>
        </is>
      </c>
      <c r="F1208" t="inlineStr">
        <is>
          <t>福岡県</t>
        </is>
      </c>
      <c r="G1208" t="inlineStr">
        <is>
          <t>ソフトウェア</t>
        </is>
      </c>
      <c r="H1208" t="inlineStr">
        <is>
          <t>在庫管理クラウド</t>
        </is>
      </c>
      <c r="I1208" s="4" t="n">
        <v>3</v>
      </c>
      <c r="J1208" s="4" t="n">
        <v>374000</v>
      </c>
      <c r="K1208" s="4">
        <f>I1208*J1208</f>
        <v/>
      </c>
      <c r="L1208" t="inlineStr"/>
    </row>
    <row r="1209">
      <c r="A1209" t="inlineStr">
        <is>
          <t>SR051</t>
        </is>
      </c>
      <c r="B1209" t="inlineStr">
        <is>
          <t>営業担当051</t>
        </is>
      </c>
      <c r="C1209" t="inlineStr">
        <is>
          <t>第1営業部</t>
        </is>
      </c>
      <c r="D1209" s="3" t="n">
        <v>45810</v>
      </c>
      <c r="E1209" t="inlineStr">
        <is>
          <t>中央設備有限会社</t>
        </is>
      </c>
      <c r="F1209" t="inlineStr">
        <is>
          <t>北海道</t>
        </is>
      </c>
      <c r="G1209" t="inlineStr">
        <is>
          <t>消耗品</t>
        </is>
      </c>
      <c r="H1209" t="inlineStr">
        <is>
          <t>保守用バッテリー</t>
        </is>
      </c>
      <c r="I1209" s="4" t="n">
        <v>3</v>
      </c>
      <c r="J1209" s="4" t="n">
        <v>18640</v>
      </c>
      <c r="K1209" s="4">
        <f>I1209*J1209</f>
        <v/>
      </c>
      <c r="L1209" t="inlineStr">
        <is>
          <t>キャンペーン適用</t>
        </is>
      </c>
    </row>
    <row r="1210">
      <c r="A1210" t="inlineStr">
        <is>
          <t>SR051</t>
        </is>
      </c>
      <c r="B1210" t="inlineStr">
        <is>
          <t>営業担当051</t>
        </is>
      </c>
      <c r="C1210" t="inlineStr">
        <is>
          <t>第1営業部</t>
        </is>
      </c>
      <c r="D1210" s="3" t="n">
        <v>45827</v>
      </c>
      <c r="E1210" t="inlineStr">
        <is>
          <t>ネクストソリューション有限会社</t>
        </is>
      </c>
      <c r="F1210" t="inlineStr">
        <is>
          <t>北海道</t>
        </is>
      </c>
      <c r="G1210" t="inlineStr">
        <is>
          <t>消耗品</t>
        </is>
      </c>
      <c r="H1210" t="inlineStr">
        <is>
          <t>保守用バッテリー</t>
        </is>
      </c>
      <c r="I1210" s="4" t="n">
        <v>10</v>
      </c>
      <c r="J1210" s="4" t="n">
        <v>16820</v>
      </c>
      <c r="K1210" s="4">
        <f>I1210*J1210</f>
        <v/>
      </c>
      <c r="L1210" t="inlineStr">
        <is>
          <t>値引き調整あり</t>
        </is>
      </c>
    </row>
    <row r="1211">
      <c r="A1211" t="inlineStr">
        <is>
          <t>SR051</t>
        </is>
      </c>
      <c r="B1211" t="inlineStr">
        <is>
          <t>営業担当051</t>
        </is>
      </c>
      <c r="C1211" t="inlineStr">
        <is>
          <t>第1営業部</t>
        </is>
      </c>
      <c r="D1211" s="3" t="n">
        <v>45845</v>
      </c>
      <c r="E1211" t="inlineStr">
        <is>
          <t>中央設備有限会社</t>
        </is>
      </c>
      <c r="F1211" t="inlineStr">
        <is>
          <t>東京都</t>
        </is>
      </c>
      <c r="G1211" t="inlineStr">
        <is>
          <t>ハードウェア</t>
        </is>
      </c>
      <c r="H1211" t="inlineStr">
        <is>
          <t>産業用タブレット</t>
        </is>
      </c>
      <c r="I1211" s="4" t="n">
        <v>2</v>
      </c>
      <c r="J1211" s="4" t="n">
        <v>82500</v>
      </c>
      <c r="K1211" s="4">
        <f>I1211*J1211</f>
        <v/>
      </c>
      <c r="L1211" t="inlineStr">
        <is>
          <t>リピート受注</t>
        </is>
      </c>
    </row>
    <row r="1212">
      <c r="A1212" t="inlineStr">
        <is>
          <t>SR051</t>
        </is>
      </c>
      <c r="B1212" t="inlineStr">
        <is>
          <t>営業担当051</t>
        </is>
      </c>
      <c r="C1212" t="inlineStr">
        <is>
          <t>第1営業部</t>
        </is>
      </c>
      <c r="D1212" s="3" t="n">
        <v>45846</v>
      </c>
      <c r="E1212" t="inlineStr">
        <is>
          <t>北斗産業株式会社</t>
        </is>
      </c>
      <c r="F1212" t="inlineStr">
        <is>
          <t>愛知県</t>
        </is>
      </c>
      <c r="G1212" t="inlineStr">
        <is>
          <t>導入支援</t>
        </is>
      </c>
      <c r="H1212" t="inlineStr">
        <is>
          <t>データ移行支援</t>
        </is>
      </c>
      <c r="I1212" s="4" t="n">
        <v>3</v>
      </c>
      <c r="J1212" s="4" t="n">
        <v>324100</v>
      </c>
      <c r="K1212" s="4">
        <f>I1212*J1212</f>
        <v/>
      </c>
      <c r="L1212" t="inlineStr"/>
    </row>
    <row r="1213">
      <c r="A1213" t="inlineStr">
        <is>
          <t>SR051</t>
        </is>
      </c>
      <c r="B1213" t="inlineStr">
        <is>
          <t>営業担当051</t>
        </is>
      </c>
      <c r="C1213" t="inlineStr">
        <is>
          <t>第1営業部</t>
        </is>
      </c>
      <c r="D1213" s="3" t="n">
        <v>45890</v>
      </c>
      <c r="E1213" t="inlineStr">
        <is>
          <t>日新サービス有限会社</t>
        </is>
      </c>
      <c r="F1213" t="inlineStr">
        <is>
          <t>大阪府</t>
        </is>
      </c>
      <c r="G1213" t="inlineStr">
        <is>
          <t>導入支援</t>
        </is>
      </c>
      <c r="H1213" t="inlineStr">
        <is>
          <t>操作研修パック</t>
        </is>
      </c>
      <c r="I1213" s="4" t="n">
        <v>4</v>
      </c>
      <c r="J1213" s="4" t="n">
        <v>86300</v>
      </c>
      <c r="K1213" s="4">
        <f>I1213*J1213</f>
        <v/>
      </c>
      <c r="L1213" t="inlineStr">
        <is>
          <t>分納</t>
        </is>
      </c>
    </row>
    <row r="1214">
      <c r="A1214" t="inlineStr">
        <is>
          <t>SR051</t>
        </is>
      </c>
      <c r="B1214" t="inlineStr">
        <is>
          <t>営業担当051</t>
        </is>
      </c>
      <c r="C1214" t="inlineStr">
        <is>
          <t>第1営業部</t>
        </is>
      </c>
      <c r="D1214" s="3" t="n">
        <v>45897</v>
      </c>
      <c r="E1214" t="inlineStr">
        <is>
          <t>東洋フーズ株式会社</t>
        </is>
      </c>
      <c r="F1214" t="inlineStr">
        <is>
          <t>兵庫県</t>
        </is>
      </c>
      <c r="G1214" t="inlineStr">
        <is>
          <t>消耗品</t>
        </is>
      </c>
      <c r="H1214" t="inlineStr">
        <is>
          <t>ラベルロール</t>
        </is>
      </c>
      <c r="I1214" s="4" t="n">
        <v>10</v>
      </c>
      <c r="J1214" s="4" t="n">
        <v>9550</v>
      </c>
      <c r="K1214" s="4">
        <f>I1214*J1214</f>
        <v/>
      </c>
      <c r="L1214" t="inlineStr">
        <is>
          <t>リピート受注</t>
        </is>
      </c>
    </row>
    <row r="1215">
      <c r="A1215" t="inlineStr">
        <is>
          <t>SR051</t>
        </is>
      </c>
      <c r="B1215" t="inlineStr">
        <is>
          <t>営業担当051</t>
        </is>
      </c>
      <c r="C1215" t="inlineStr">
        <is>
          <t>第1営業部</t>
        </is>
      </c>
      <c r="D1215" s="3" t="n">
        <v>45905</v>
      </c>
      <c r="E1215" t="inlineStr">
        <is>
          <t>ライトホーム(株)</t>
        </is>
      </c>
      <c r="F1215" t="inlineStr">
        <is>
          <t>大阪府</t>
        </is>
      </c>
      <c r="G1215" t="inlineStr">
        <is>
          <t>消耗品</t>
        </is>
      </c>
      <c r="H1215" t="inlineStr">
        <is>
          <t>保守用バッテリー</t>
        </is>
      </c>
      <c r="I1215" s="4" t="n">
        <v>5</v>
      </c>
      <c r="J1215" s="4" t="n">
        <v>13610</v>
      </c>
      <c r="K1215" s="4">
        <f>I1215*J1215</f>
        <v/>
      </c>
      <c r="L1215" t="inlineStr"/>
    </row>
    <row r="1216">
      <c r="A1216" t="inlineStr">
        <is>
          <t>SR051</t>
        </is>
      </c>
      <c r="B1216" t="inlineStr">
        <is>
          <t>営業担当051</t>
        </is>
      </c>
      <c r="C1216" t="inlineStr">
        <is>
          <t>第1営業部</t>
        </is>
      </c>
      <c r="D1216" s="3" t="n">
        <v>45912</v>
      </c>
      <c r="E1216" t="inlineStr">
        <is>
          <t>青葉商事株式会社</t>
        </is>
      </c>
      <c r="F1216" t="inlineStr">
        <is>
          <t>大阪府</t>
        </is>
      </c>
      <c r="G1216" t="inlineStr">
        <is>
          <t>ソフトウェア</t>
        </is>
      </c>
      <c r="H1216" t="inlineStr">
        <is>
          <t>在庫管理クラウド</t>
        </is>
      </c>
      <c r="I1216" s="4" t="n">
        <v>4</v>
      </c>
      <c r="J1216" s="4" t="n">
        <v>442700</v>
      </c>
      <c r="K1216" s="4">
        <f>I1216*J1216</f>
        <v/>
      </c>
      <c r="L1216" t="inlineStr">
        <is>
          <t>値引き調整あり</t>
        </is>
      </c>
    </row>
    <row r="1217">
      <c r="A1217" t="inlineStr">
        <is>
          <t>SR051</t>
        </is>
      </c>
      <c r="B1217" t="inlineStr">
        <is>
          <t>営業担当051</t>
        </is>
      </c>
      <c r="C1217" t="inlineStr">
        <is>
          <t>第1営業部</t>
        </is>
      </c>
      <c r="D1217" s="3" t="n">
        <v>45938</v>
      </c>
      <c r="E1217" t="inlineStr">
        <is>
          <t>青葉商事有限会社</t>
        </is>
      </c>
      <c r="F1217" t="inlineStr">
        <is>
          <t>兵庫県</t>
        </is>
      </c>
      <c r="G1217" t="inlineStr">
        <is>
          <t>消耗品</t>
        </is>
      </c>
      <c r="H1217" t="inlineStr">
        <is>
          <t>保守用バッテリー</t>
        </is>
      </c>
      <c r="I1217" s="4" t="n">
        <v>5</v>
      </c>
      <c r="J1217" s="4" t="n">
        <v>7730</v>
      </c>
      <c r="K1217" s="4">
        <f>I1217*J1217</f>
        <v/>
      </c>
      <c r="L1217" t="inlineStr"/>
    </row>
    <row r="1218">
      <c r="A1218" t="inlineStr">
        <is>
          <t>SR051</t>
        </is>
      </c>
      <c r="B1218" t="inlineStr">
        <is>
          <t>営業担当051</t>
        </is>
      </c>
      <c r="C1218" t="inlineStr">
        <is>
          <t>第1営業部</t>
        </is>
      </c>
      <c r="D1218" s="3" t="n">
        <v>45943</v>
      </c>
      <c r="E1218" t="inlineStr">
        <is>
          <t>白峰化学株式会社</t>
        </is>
      </c>
      <c r="F1218" t="inlineStr">
        <is>
          <t>神奈川県</t>
        </is>
      </c>
      <c r="G1218" t="inlineStr">
        <is>
          <t>導入支援</t>
        </is>
      </c>
      <c r="H1218" t="inlineStr">
        <is>
          <t>操作研修パック</t>
        </is>
      </c>
      <c r="I1218" s="4" t="n">
        <v>2</v>
      </c>
      <c r="J1218" s="4" t="n">
        <v>139700</v>
      </c>
      <c r="K1218" s="4">
        <f>I1218*J1218</f>
        <v/>
      </c>
      <c r="L1218" t="inlineStr">
        <is>
          <t>大型案件</t>
        </is>
      </c>
    </row>
    <row r="1219">
      <c r="A1219" t="inlineStr">
        <is>
          <t>SR051</t>
        </is>
      </c>
      <c r="B1219" t="inlineStr">
        <is>
          <t>営業担当051</t>
        </is>
      </c>
      <c r="C1219" t="inlineStr">
        <is>
          <t>第1営業部</t>
        </is>
      </c>
      <c r="D1219" s="3" t="n">
        <v>45964</v>
      </c>
      <c r="E1219" t="inlineStr">
        <is>
          <t>未来通信有限会社</t>
        </is>
      </c>
      <c r="F1219" t="inlineStr">
        <is>
          <t>愛知県</t>
        </is>
      </c>
      <c r="G1219" t="inlineStr">
        <is>
          <t>保守サービス</t>
        </is>
      </c>
      <c r="H1219" t="inlineStr">
        <is>
          <t>ヘルプデスク契約</t>
        </is>
      </c>
      <c r="I1219" s="4" t="n">
        <v>5</v>
      </c>
      <c r="J1219" s="4" t="n">
        <v>97900</v>
      </c>
      <c r="K1219" s="4">
        <f>I1219*J1219</f>
        <v/>
      </c>
      <c r="L1219" t="inlineStr"/>
    </row>
    <row r="1220">
      <c r="A1220" t="inlineStr">
        <is>
          <t>SR051</t>
        </is>
      </c>
      <c r="B1220" t="inlineStr">
        <is>
          <t>営業担当051</t>
        </is>
      </c>
      <c r="C1220" t="inlineStr">
        <is>
          <t>第1営業部</t>
        </is>
      </c>
      <c r="D1220" s="3" t="n">
        <v>45974</v>
      </c>
      <c r="E1220" t="inlineStr">
        <is>
          <t>ネクストソリューション有限会社</t>
        </is>
      </c>
      <c r="F1220" t="inlineStr">
        <is>
          <t>宮城県</t>
        </is>
      </c>
      <c r="G1220" t="inlineStr">
        <is>
          <t>保守サービス</t>
        </is>
      </c>
      <c r="H1220" t="inlineStr">
        <is>
          <t>ヘルプデスク契約</t>
        </is>
      </c>
      <c r="I1220" s="4" t="n">
        <v>2</v>
      </c>
      <c r="J1220" s="4" t="n">
        <v>46100</v>
      </c>
      <c r="K1220" s="4">
        <f>I1220*J1220</f>
        <v/>
      </c>
      <c r="L1220" t="inlineStr">
        <is>
          <t>新規開拓</t>
        </is>
      </c>
    </row>
    <row r="1221">
      <c r="A1221" t="inlineStr">
        <is>
          <t>SR051</t>
        </is>
      </c>
      <c r="B1221" t="inlineStr">
        <is>
          <t>営業担当051</t>
        </is>
      </c>
      <c r="C1221" t="inlineStr">
        <is>
          <t>第1営業部</t>
        </is>
      </c>
      <c r="D1221" s="3" t="n">
        <v>45994</v>
      </c>
      <c r="E1221" t="inlineStr">
        <is>
          <t>九州エナジー株式会社</t>
        </is>
      </c>
      <c r="F1221" t="inlineStr">
        <is>
          <t>宮城県</t>
        </is>
      </c>
      <c r="G1221" t="inlineStr">
        <is>
          <t>ソフトウェア</t>
        </is>
      </c>
      <c r="H1221" t="inlineStr">
        <is>
          <t>AIチャットボット</t>
        </is>
      </c>
      <c r="I1221" s="4" t="n">
        <v>5</v>
      </c>
      <c r="J1221" s="4" t="n">
        <v>689400</v>
      </c>
      <c r="K1221" s="4">
        <f>I1221*J1221</f>
        <v/>
      </c>
      <c r="L1221" t="inlineStr">
        <is>
          <t>値引き調整あり</t>
        </is>
      </c>
    </row>
    <row r="1222">
      <c r="A1222" t="inlineStr">
        <is>
          <t>SR051</t>
        </is>
      </c>
      <c r="B1222" t="inlineStr">
        <is>
          <t>営業担当051</t>
        </is>
      </c>
      <c r="C1222" t="inlineStr">
        <is>
          <t>第1営業部</t>
        </is>
      </c>
      <c r="D1222" s="3" t="n">
        <v>46005</v>
      </c>
      <c r="E1222" t="inlineStr">
        <is>
          <t>グリーンテック(株)</t>
        </is>
      </c>
      <c r="F1222" t="inlineStr">
        <is>
          <t>宮城県</t>
        </is>
      </c>
      <c r="G1222" t="inlineStr">
        <is>
          <t>導入支援</t>
        </is>
      </c>
      <c r="H1222" t="inlineStr">
        <is>
          <t>初期設定支援</t>
        </is>
      </c>
      <c r="I1222" s="4" t="n">
        <v>5</v>
      </c>
      <c r="J1222" s="4" t="n">
        <v>100600</v>
      </c>
      <c r="K1222" s="4">
        <f>I1222*J1222</f>
        <v/>
      </c>
      <c r="L1222" t="inlineStr"/>
    </row>
    <row r="1223">
      <c r="A1223" t="inlineStr">
        <is>
          <t>SR051</t>
        </is>
      </c>
      <c r="B1223" t="inlineStr">
        <is>
          <t>営業担当051</t>
        </is>
      </c>
      <c r="C1223" t="inlineStr">
        <is>
          <t>第1営業部</t>
        </is>
      </c>
      <c r="D1223" s="3" t="n">
        <v>46031</v>
      </c>
      <c r="E1223" t="inlineStr">
        <is>
          <t>中央設備有限会社</t>
        </is>
      </c>
      <c r="F1223" t="inlineStr">
        <is>
          <t>大阪府</t>
        </is>
      </c>
      <c r="G1223" t="inlineStr">
        <is>
          <t>消耗品</t>
        </is>
      </c>
      <c r="H1223" t="inlineStr">
        <is>
          <t>保守用バッテリー</t>
        </is>
      </c>
      <c r="I1223" s="4" t="n">
        <v>2</v>
      </c>
      <c r="J1223" s="4" t="n">
        <v>12540</v>
      </c>
      <c r="K1223" s="4">
        <f>I1223*J1223</f>
        <v/>
      </c>
      <c r="L1223" t="inlineStr"/>
    </row>
    <row r="1224">
      <c r="A1224" t="inlineStr">
        <is>
          <t>SR051</t>
        </is>
      </c>
      <c r="B1224" t="inlineStr">
        <is>
          <t>営業担当051</t>
        </is>
      </c>
      <c r="C1224" t="inlineStr">
        <is>
          <t>第1営業部</t>
        </is>
      </c>
      <c r="D1224" s="3" t="n">
        <v>46038</v>
      </c>
      <c r="E1224" t="inlineStr">
        <is>
          <t>みらい物流有限会社</t>
        </is>
      </c>
      <c r="F1224" t="inlineStr">
        <is>
          <t>兵庫県</t>
        </is>
      </c>
      <c r="G1224" t="inlineStr">
        <is>
          <t>消耗品</t>
        </is>
      </c>
      <c r="H1224" t="inlineStr">
        <is>
          <t>交換用ヘッド</t>
        </is>
      </c>
      <c r="I1224" s="4" t="n">
        <v>14</v>
      </c>
      <c r="J1224" s="4" t="n">
        <v>38690</v>
      </c>
      <c r="K1224" s="4">
        <f>I1224*J1224</f>
        <v/>
      </c>
      <c r="L1224" t="inlineStr"/>
    </row>
    <row r="1225">
      <c r="A1225" t="inlineStr">
        <is>
          <t>SR051</t>
        </is>
      </c>
      <c r="B1225" t="inlineStr">
        <is>
          <t>営業担当051</t>
        </is>
      </c>
      <c r="C1225" t="inlineStr">
        <is>
          <t>第1営業部</t>
        </is>
      </c>
      <c r="D1225" s="3" t="n">
        <v>46065</v>
      </c>
      <c r="E1225" t="inlineStr">
        <is>
          <t>オーシャン製作所(株)</t>
        </is>
      </c>
      <c r="F1225" t="inlineStr">
        <is>
          <t>福岡県</t>
        </is>
      </c>
      <c r="G1225" t="inlineStr">
        <is>
          <t>ハードウェア</t>
        </is>
      </c>
      <c r="H1225" t="inlineStr">
        <is>
          <t>ラベルプリンター</t>
        </is>
      </c>
      <c r="I1225" s="4" t="n">
        <v>1</v>
      </c>
      <c r="J1225" s="4" t="n">
        <v>43000</v>
      </c>
      <c r="K1225" s="4">
        <f>I1225*J1225</f>
        <v/>
      </c>
      <c r="L1225" t="inlineStr">
        <is>
          <t>キャンペーン適用</t>
        </is>
      </c>
    </row>
    <row r="1226">
      <c r="A1226" t="inlineStr">
        <is>
          <t>SR051</t>
        </is>
      </c>
      <c r="B1226" t="inlineStr">
        <is>
          <t>営業担当051</t>
        </is>
      </c>
      <c r="C1226" t="inlineStr">
        <is>
          <t>第1営業部</t>
        </is>
      </c>
      <c r="D1226" s="3" t="n">
        <v>46078</v>
      </c>
      <c r="E1226" t="inlineStr">
        <is>
          <t>東洋フーズ有限会社</t>
        </is>
      </c>
      <c r="F1226" t="inlineStr">
        <is>
          <t>大阪府</t>
        </is>
      </c>
      <c r="G1226" t="inlineStr">
        <is>
          <t>ハードウェア</t>
        </is>
      </c>
      <c r="H1226" t="inlineStr">
        <is>
          <t>小型ハンディ端末</t>
        </is>
      </c>
      <c r="I1226" s="4" t="n">
        <v>1</v>
      </c>
      <c r="J1226" s="4" t="n">
        <v>90700</v>
      </c>
      <c r="K1226" s="4">
        <f>I1226*J1226</f>
        <v/>
      </c>
      <c r="L1226" t="inlineStr">
        <is>
          <t>新規開拓</t>
        </is>
      </c>
    </row>
    <row r="1227">
      <c r="A1227" t="inlineStr">
        <is>
          <t>SR051</t>
        </is>
      </c>
      <c r="B1227" t="inlineStr">
        <is>
          <t>営業担当051</t>
        </is>
      </c>
      <c r="C1227" t="inlineStr">
        <is>
          <t>第1営業部</t>
        </is>
      </c>
      <c r="D1227" s="3" t="n">
        <v>46085</v>
      </c>
      <c r="E1227" t="inlineStr">
        <is>
          <t>北斗産業株式会社</t>
        </is>
      </c>
      <c r="F1227" t="inlineStr">
        <is>
          <t>兵庫県</t>
        </is>
      </c>
      <c r="G1227" t="inlineStr">
        <is>
          <t>ハードウェア</t>
        </is>
      </c>
      <c r="H1227" t="inlineStr">
        <is>
          <t>小型ハンディ端末</t>
        </is>
      </c>
      <c r="I1227" s="4" t="n">
        <v>1</v>
      </c>
      <c r="J1227" s="4" t="n">
        <v>71200</v>
      </c>
      <c r="K1227" s="4">
        <f>I1227*J1227</f>
        <v/>
      </c>
      <c r="L1227" t="inlineStr"/>
    </row>
    <row r="1228">
      <c r="A1228" t="inlineStr">
        <is>
          <t>SR051</t>
        </is>
      </c>
      <c r="B1228" t="inlineStr">
        <is>
          <t>営業担当051</t>
        </is>
      </c>
      <c r="C1228" t="inlineStr">
        <is>
          <t>第1営業部</t>
        </is>
      </c>
      <c r="D1228" s="3" t="n">
        <v>46089</v>
      </c>
      <c r="E1228" t="inlineStr">
        <is>
          <t>日新サービス株式会社</t>
        </is>
      </c>
      <c r="F1228" t="inlineStr">
        <is>
          <t>大阪府</t>
        </is>
      </c>
      <c r="G1228" t="inlineStr">
        <is>
          <t>ハードウェア</t>
        </is>
      </c>
      <c r="H1228" t="inlineStr">
        <is>
          <t>ラベルプリンター</t>
        </is>
      </c>
      <c r="I1228" s="4" t="n">
        <v>5</v>
      </c>
      <c r="J1228" s="4" t="n">
        <v>80000</v>
      </c>
      <c r="K1228" s="4">
        <f>I1228*J1228</f>
        <v/>
      </c>
      <c r="L1228" t="inlineStr">
        <is>
          <t>分納</t>
        </is>
      </c>
    </row>
    <row r="1229">
      <c r="A1229" t="inlineStr">
        <is>
          <t>SR052</t>
        </is>
      </c>
      <c r="B1229" t="inlineStr">
        <is>
          <t>営業担当052</t>
        </is>
      </c>
      <c r="C1229" t="inlineStr">
        <is>
          <t>第2営業部</t>
        </is>
      </c>
      <c r="D1229" s="3" t="n">
        <v>45751</v>
      </c>
      <c r="E1229" t="inlineStr">
        <is>
          <t>大和精機(株)</t>
        </is>
      </c>
      <c r="F1229" t="inlineStr">
        <is>
          <t>兵庫県</t>
        </is>
      </c>
      <c r="G1229" t="inlineStr">
        <is>
          <t>保守サービス</t>
        </is>
      </c>
      <c r="H1229" t="inlineStr">
        <is>
          <t>ヘルプデスク契約</t>
        </is>
      </c>
      <c r="I1229" s="4" t="n">
        <v>3</v>
      </c>
      <c r="J1229" s="4" t="n">
        <v>98200</v>
      </c>
      <c r="K1229" s="4">
        <f>I1229*J1229</f>
        <v/>
      </c>
      <c r="L1229" t="inlineStr"/>
    </row>
    <row r="1230">
      <c r="A1230" t="inlineStr">
        <is>
          <t>SR052</t>
        </is>
      </c>
      <c r="B1230" t="inlineStr">
        <is>
          <t>営業担当052</t>
        </is>
      </c>
      <c r="C1230" t="inlineStr">
        <is>
          <t>第2営業部</t>
        </is>
      </c>
      <c r="D1230" s="3" t="n">
        <v>45774</v>
      </c>
      <c r="E1230" t="inlineStr">
        <is>
          <t>九州エナジー株式会社</t>
        </is>
      </c>
      <c r="F1230" t="inlineStr">
        <is>
          <t>神奈川県</t>
        </is>
      </c>
      <c r="G1230" t="inlineStr">
        <is>
          <t>保守サービス</t>
        </is>
      </c>
      <c r="H1230" t="inlineStr">
        <is>
          <t>オンサイト保守</t>
        </is>
      </c>
      <c r="I1230" s="4" t="n">
        <v>3</v>
      </c>
      <c r="J1230" s="4" t="n">
        <v>94200</v>
      </c>
      <c r="K1230" s="4">
        <f>I1230*J1230</f>
        <v/>
      </c>
      <c r="L1230" t="inlineStr">
        <is>
          <t>大型案件</t>
        </is>
      </c>
    </row>
    <row r="1231">
      <c r="A1231" t="inlineStr">
        <is>
          <t>SR052</t>
        </is>
      </c>
      <c r="B1231" t="inlineStr">
        <is>
          <t>営業担当052</t>
        </is>
      </c>
      <c r="C1231" t="inlineStr">
        <is>
          <t>第2営業部</t>
        </is>
      </c>
      <c r="D1231" s="3" t="n">
        <v>45778</v>
      </c>
      <c r="E1231" t="inlineStr">
        <is>
          <t>星和商会(株)</t>
        </is>
      </c>
      <c r="F1231" t="inlineStr">
        <is>
          <t>愛知県</t>
        </is>
      </c>
      <c r="G1231" t="inlineStr">
        <is>
          <t>保守サービス</t>
        </is>
      </c>
      <c r="H1231" t="inlineStr">
        <is>
          <t>ヘルプデスク契約</t>
        </is>
      </c>
      <c r="I1231" s="4" t="n">
        <v>5</v>
      </c>
      <c r="J1231" s="4" t="n">
        <v>39600</v>
      </c>
      <c r="K1231" s="4">
        <f>I1231*J1231</f>
        <v/>
      </c>
      <c r="L1231" t="inlineStr">
        <is>
          <t>分納</t>
        </is>
      </c>
    </row>
    <row r="1232">
      <c r="A1232" t="inlineStr">
        <is>
          <t>SR052</t>
        </is>
      </c>
      <c r="B1232" t="inlineStr">
        <is>
          <t>営業担当052</t>
        </is>
      </c>
      <c r="C1232" t="inlineStr">
        <is>
          <t>第2営業部</t>
        </is>
      </c>
      <c r="D1232" s="3" t="n">
        <v>45779</v>
      </c>
      <c r="E1232" t="inlineStr">
        <is>
          <t>西日本機工(株)</t>
        </is>
      </c>
      <c r="F1232" t="inlineStr">
        <is>
          <t>宮城県</t>
        </is>
      </c>
      <c r="G1232" t="inlineStr">
        <is>
          <t>ハードウェア</t>
        </is>
      </c>
      <c r="H1232" t="inlineStr">
        <is>
          <t>ラベルプリンター</t>
        </is>
      </c>
      <c r="I1232" s="4" t="n">
        <v>5</v>
      </c>
      <c r="J1232" s="4" t="n">
        <v>66200</v>
      </c>
      <c r="K1232" s="4">
        <f>I1232*J1232</f>
        <v/>
      </c>
      <c r="L1232" t="inlineStr">
        <is>
          <t>キャンペーン適用</t>
        </is>
      </c>
    </row>
    <row r="1233">
      <c r="A1233" t="inlineStr">
        <is>
          <t>SR052</t>
        </is>
      </c>
      <c r="B1233" t="inlineStr">
        <is>
          <t>営業担当052</t>
        </is>
      </c>
      <c r="C1233" t="inlineStr">
        <is>
          <t>第2営業部</t>
        </is>
      </c>
      <c r="D1233" s="3" t="n">
        <v>45824</v>
      </c>
      <c r="E1233" t="inlineStr">
        <is>
          <t>星和商会株式会社</t>
        </is>
      </c>
      <c r="F1233" t="inlineStr">
        <is>
          <t>神奈川県</t>
        </is>
      </c>
      <c r="G1233" t="inlineStr">
        <is>
          <t>ソフトウェア</t>
        </is>
      </c>
      <c r="H1233" t="inlineStr">
        <is>
          <t>営業支援SaaS</t>
        </is>
      </c>
      <c r="I1233" s="4" t="n">
        <v>2</v>
      </c>
      <c r="J1233" s="4" t="n">
        <v>178400</v>
      </c>
      <c r="K1233" s="4">
        <f>I1233*J1233</f>
        <v/>
      </c>
      <c r="L1233" t="inlineStr">
        <is>
          <t>キャンペーン適用</t>
        </is>
      </c>
    </row>
    <row r="1234">
      <c r="A1234" t="inlineStr">
        <is>
          <t>SR052</t>
        </is>
      </c>
      <c r="B1234" t="inlineStr">
        <is>
          <t>営業担当052</t>
        </is>
      </c>
      <c r="C1234" t="inlineStr">
        <is>
          <t>第2営業部</t>
        </is>
      </c>
      <c r="D1234" s="3" t="n">
        <v>45828</v>
      </c>
      <c r="E1234" t="inlineStr">
        <is>
          <t>ネクストソリューション株式会社</t>
        </is>
      </c>
      <c r="F1234" t="inlineStr">
        <is>
          <t>北海道</t>
        </is>
      </c>
      <c r="G1234" t="inlineStr">
        <is>
          <t>ソフトウェア</t>
        </is>
      </c>
      <c r="H1234" t="inlineStr">
        <is>
          <t>AIチャットボット</t>
        </is>
      </c>
      <c r="I1234" s="4" t="n">
        <v>3</v>
      </c>
      <c r="J1234" s="4" t="n">
        <v>494400</v>
      </c>
      <c r="K1234" s="4">
        <f>I1234*J1234</f>
        <v/>
      </c>
      <c r="L1234" t="inlineStr">
        <is>
          <t>新規開拓</t>
        </is>
      </c>
    </row>
    <row r="1235">
      <c r="A1235" t="inlineStr">
        <is>
          <t>SR052</t>
        </is>
      </c>
      <c r="B1235" t="inlineStr">
        <is>
          <t>営業担当052</t>
        </is>
      </c>
      <c r="C1235" t="inlineStr">
        <is>
          <t>第2営業部</t>
        </is>
      </c>
      <c r="D1235" s="3" t="n">
        <v>45842</v>
      </c>
      <c r="E1235" t="inlineStr">
        <is>
          <t>青葉商事(株)</t>
        </is>
      </c>
      <c r="F1235" t="inlineStr">
        <is>
          <t>福岡県</t>
        </is>
      </c>
      <c r="G1235" t="inlineStr">
        <is>
          <t>導入支援</t>
        </is>
      </c>
      <c r="H1235" t="inlineStr">
        <is>
          <t>データ移行支援</t>
        </is>
      </c>
      <c r="I1235" s="4" t="n">
        <v>1</v>
      </c>
      <c r="J1235" s="4" t="n">
        <v>121500</v>
      </c>
      <c r="K1235" s="4">
        <f>I1235*J1235</f>
        <v/>
      </c>
      <c r="L1235" t="inlineStr">
        <is>
          <t>キャンペーン適用</t>
        </is>
      </c>
    </row>
    <row r="1236">
      <c r="A1236" t="inlineStr">
        <is>
          <t>SR052</t>
        </is>
      </c>
      <c r="B1236" t="inlineStr">
        <is>
          <t>営業担当052</t>
        </is>
      </c>
      <c r="C1236" t="inlineStr">
        <is>
          <t>第2営業部</t>
        </is>
      </c>
      <c r="D1236" s="3" t="n">
        <v>45857</v>
      </c>
      <c r="E1236" t="inlineStr">
        <is>
          <t>未来通信株式会社</t>
        </is>
      </c>
      <c r="F1236" t="inlineStr">
        <is>
          <t>北海道</t>
        </is>
      </c>
      <c r="G1236" t="inlineStr">
        <is>
          <t>ハードウェア</t>
        </is>
      </c>
      <c r="H1236" t="inlineStr">
        <is>
          <t>ネットワークカメラ</t>
        </is>
      </c>
      <c r="I1236" s="4" t="n">
        <v>4</v>
      </c>
      <c r="J1236" s="4" t="n">
        <v>42700</v>
      </c>
      <c r="K1236" s="4">
        <f>I1236*J1236</f>
        <v/>
      </c>
      <c r="L1236" t="inlineStr">
        <is>
          <t>分納</t>
        </is>
      </c>
    </row>
    <row r="1237">
      <c r="A1237" t="inlineStr">
        <is>
          <t>SR052</t>
        </is>
      </c>
      <c r="B1237" t="inlineStr">
        <is>
          <t>営業担当052</t>
        </is>
      </c>
      <c r="C1237" t="inlineStr">
        <is>
          <t>第2営業部</t>
        </is>
      </c>
      <c r="D1237" s="3" t="n">
        <v>45881</v>
      </c>
      <c r="E1237" t="inlineStr">
        <is>
          <t>白峰化学有限会社</t>
        </is>
      </c>
      <c r="F1237" t="inlineStr">
        <is>
          <t>神奈川県</t>
        </is>
      </c>
      <c r="G1237" t="inlineStr">
        <is>
          <t>保守サービス</t>
        </is>
      </c>
      <c r="H1237" t="inlineStr">
        <is>
          <t>オンサイト保守</t>
        </is>
      </c>
      <c r="I1237" s="4" t="n">
        <v>5</v>
      </c>
      <c r="J1237" s="4" t="n">
        <v>86800</v>
      </c>
      <c r="K1237" s="4">
        <f>I1237*J1237</f>
        <v/>
      </c>
      <c r="L1237" t="inlineStr">
        <is>
          <t>リピート受注</t>
        </is>
      </c>
    </row>
    <row r="1238">
      <c r="A1238" t="inlineStr">
        <is>
          <t>SR052</t>
        </is>
      </c>
      <c r="B1238" t="inlineStr">
        <is>
          <t>営業担当052</t>
        </is>
      </c>
      <c r="C1238" t="inlineStr">
        <is>
          <t>第2営業部</t>
        </is>
      </c>
      <c r="D1238" s="3" t="n">
        <v>45885</v>
      </c>
      <c r="E1238" t="inlineStr">
        <is>
          <t>東洋フーズ株式会社</t>
        </is>
      </c>
      <c r="F1238" t="inlineStr">
        <is>
          <t>京都府</t>
        </is>
      </c>
      <c r="G1238" t="inlineStr">
        <is>
          <t>消耗品</t>
        </is>
      </c>
      <c r="H1238" t="inlineStr">
        <is>
          <t>ラベルロール</t>
        </is>
      </c>
      <c r="I1238" s="4" t="n">
        <v>7</v>
      </c>
      <c r="J1238" s="4" t="n">
        <v>4730</v>
      </c>
      <c r="K1238" s="4">
        <f>I1238*J1238</f>
        <v/>
      </c>
      <c r="L1238" t="inlineStr">
        <is>
          <t>分納</t>
        </is>
      </c>
    </row>
    <row r="1239">
      <c r="A1239" t="inlineStr">
        <is>
          <t>SR052</t>
        </is>
      </c>
      <c r="B1239" t="inlineStr">
        <is>
          <t>営業担当052</t>
        </is>
      </c>
      <c r="C1239" t="inlineStr">
        <is>
          <t>第2営業部</t>
        </is>
      </c>
      <c r="D1239" s="3" t="n">
        <v>45901</v>
      </c>
      <c r="E1239" t="inlineStr">
        <is>
          <t>グリーンテック有限会社</t>
        </is>
      </c>
      <c r="F1239" t="inlineStr">
        <is>
          <t>神奈川県</t>
        </is>
      </c>
      <c r="G1239" t="inlineStr">
        <is>
          <t>ハードウェア</t>
        </is>
      </c>
      <c r="H1239" t="inlineStr">
        <is>
          <t>ネットワークカメラ</t>
        </is>
      </c>
      <c r="I1239" s="4" t="n">
        <v>4</v>
      </c>
      <c r="J1239" s="4" t="n">
        <v>62300</v>
      </c>
      <c r="K1239" s="4">
        <f>I1239*J1239</f>
        <v/>
      </c>
      <c r="L1239" t="inlineStr">
        <is>
          <t>リピート受注</t>
        </is>
      </c>
    </row>
    <row r="1240">
      <c r="A1240" t="inlineStr">
        <is>
          <t>SR052</t>
        </is>
      </c>
      <c r="B1240" t="inlineStr">
        <is>
          <t>営業担当052</t>
        </is>
      </c>
      <c r="C1240" t="inlineStr">
        <is>
          <t>第2営業部</t>
        </is>
      </c>
      <c r="D1240" s="3" t="n">
        <v>45921</v>
      </c>
      <c r="E1240" t="inlineStr">
        <is>
          <t>みらい物流(株)</t>
        </is>
      </c>
      <c r="F1240" t="inlineStr">
        <is>
          <t>宮城県</t>
        </is>
      </c>
      <c r="G1240" t="inlineStr">
        <is>
          <t>保守サービス</t>
        </is>
      </c>
      <c r="H1240" t="inlineStr">
        <is>
          <t>年間保守契約</t>
        </is>
      </c>
      <c r="I1240" s="4" t="n">
        <v>1</v>
      </c>
      <c r="J1240" s="4" t="n">
        <v>91400</v>
      </c>
      <c r="K1240" s="4">
        <f>I1240*J1240</f>
        <v/>
      </c>
      <c r="L1240" t="inlineStr">
        <is>
          <t>大型案件</t>
        </is>
      </c>
    </row>
    <row r="1241">
      <c r="A1241" t="inlineStr">
        <is>
          <t>SR052</t>
        </is>
      </c>
      <c r="B1241" t="inlineStr">
        <is>
          <t>営業担当052</t>
        </is>
      </c>
      <c r="C1241" t="inlineStr">
        <is>
          <t>第2営業部</t>
        </is>
      </c>
      <c r="D1241" s="3" t="n">
        <v>45933</v>
      </c>
      <c r="E1241" t="inlineStr">
        <is>
          <t>西日本機工有限会社</t>
        </is>
      </c>
      <c r="F1241" t="inlineStr">
        <is>
          <t>東京都</t>
        </is>
      </c>
      <c r="G1241" t="inlineStr">
        <is>
          <t>ソフトウェア</t>
        </is>
      </c>
      <c r="H1241" t="inlineStr">
        <is>
          <t>帳票自動化ツール</t>
        </is>
      </c>
      <c r="I1241" s="4" t="n">
        <v>5</v>
      </c>
      <c r="J1241" s="4" t="n">
        <v>351800</v>
      </c>
      <c r="K1241" s="4">
        <f>I1241*J1241</f>
        <v/>
      </c>
      <c r="L1241" t="inlineStr"/>
    </row>
    <row r="1242">
      <c r="A1242" t="inlineStr">
        <is>
          <t>SR052</t>
        </is>
      </c>
      <c r="B1242" t="inlineStr">
        <is>
          <t>営業担当052</t>
        </is>
      </c>
      <c r="C1242" t="inlineStr">
        <is>
          <t>第2営業部</t>
        </is>
      </c>
      <c r="D1242" s="3" t="n">
        <v>45942</v>
      </c>
      <c r="E1242" t="inlineStr">
        <is>
          <t>アーク電機株式会社</t>
        </is>
      </c>
      <c r="F1242" t="inlineStr">
        <is>
          <t>京都府</t>
        </is>
      </c>
      <c r="G1242" t="inlineStr">
        <is>
          <t>保守サービス</t>
        </is>
      </c>
      <c r="H1242" t="inlineStr">
        <is>
          <t>年間保守契約</t>
        </is>
      </c>
      <c r="I1242" s="4" t="n">
        <v>4</v>
      </c>
      <c r="J1242" s="4" t="n">
        <v>239900</v>
      </c>
      <c r="K1242" s="4">
        <f>I1242*J1242</f>
        <v/>
      </c>
      <c r="L1242" t="inlineStr"/>
    </row>
    <row r="1243">
      <c r="A1243" t="inlineStr">
        <is>
          <t>SR052</t>
        </is>
      </c>
      <c r="B1243" t="inlineStr">
        <is>
          <t>営業担当052</t>
        </is>
      </c>
      <c r="C1243" t="inlineStr">
        <is>
          <t>第2営業部</t>
        </is>
      </c>
      <c r="D1243" s="3" t="n">
        <v>45966</v>
      </c>
      <c r="E1243" t="inlineStr">
        <is>
          <t>福岡流通有限会社</t>
        </is>
      </c>
      <c r="F1243" t="inlineStr">
        <is>
          <t>宮城県</t>
        </is>
      </c>
      <c r="G1243" t="inlineStr">
        <is>
          <t>ソフトウェア</t>
        </is>
      </c>
      <c r="H1243" t="inlineStr">
        <is>
          <t>帳票自動化ツール</t>
        </is>
      </c>
      <c r="I1243" s="4" t="n">
        <v>2</v>
      </c>
      <c r="J1243" s="4" t="n">
        <v>195300</v>
      </c>
      <c r="K1243" s="4">
        <f>I1243*J1243</f>
        <v/>
      </c>
      <c r="L1243" t="inlineStr">
        <is>
          <t>大型案件</t>
        </is>
      </c>
    </row>
    <row r="1244">
      <c r="A1244" t="inlineStr">
        <is>
          <t>SR052</t>
        </is>
      </c>
      <c r="B1244" t="inlineStr">
        <is>
          <t>営業担当052</t>
        </is>
      </c>
      <c r="C1244" t="inlineStr">
        <is>
          <t>第2営業部</t>
        </is>
      </c>
      <c r="D1244" s="3" t="n">
        <v>45975</v>
      </c>
      <c r="E1244" t="inlineStr">
        <is>
          <t>大和精機有限会社</t>
        </is>
      </c>
      <c r="F1244" t="inlineStr">
        <is>
          <t>福岡県</t>
        </is>
      </c>
      <c r="G1244" t="inlineStr">
        <is>
          <t>導入支援</t>
        </is>
      </c>
      <c r="H1244" t="inlineStr">
        <is>
          <t>データ移行支援</t>
        </is>
      </c>
      <c r="I1244" s="4" t="n">
        <v>5</v>
      </c>
      <c r="J1244" s="4" t="n">
        <v>357200</v>
      </c>
      <c r="K1244" s="4">
        <f>I1244*J1244</f>
        <v/>
      </c>
      <c r="L1244" t="inlineStr">
        <is>
          <t>値引き調整あり</t>
        </is>
      </c>
    </row>
    <row r="1245">
      <c r="A1245" t="inlineStr">
        <is>
          <t>SR052</t>
        </is>
      </c>
      <c r="B1245" t="inlineStr">
        <is>
          <t>営業担当052</t>
        </is>
      </c>
      <c r="C1245" t="inlineStr">
        <is>
          <t>第2営業部</t>
        </is>
      </c>
      <c r="D1245" s="3" t="n">
        <v>46001</v>
      </c>
      <c r="E1245" t="inlineStr">
        <is>
          <t>北斗産業株式会社</t>
        </is>
      </c>
      <c r="F1245" t="inlineStr">
        <is>
          <t>宮城県</t>
        </is>
      </c>
      <c r="G1245" t="inlineStr">
        <is>
          <t>導入支援</t>
        </is>
      </c>
      <c r="H1245" t="inlineStr">
        <is>
          <t>操作研修パック</t>
        </is>
      </c>
      <c r="I1245" s="4" t="n">
        <v>3</v>
      </c>
      <c r="J1245" s="4" t="n">
        <v>36400</v>
      </c>
      <c r="K1245" s="4">
        <f>I1245*J1245</f>
        <v/>
      </c>
      <c r="L1245" t="inlineStr"/>
    </row>
    <row r="1246">
      <c r="A1246" t="inlineStr">
        <is>
          <t>SR052</t>
        </is>
      </c>
      <c r="B1246" t="inlineStr">
        <is>
          <t>営業担当052</t>
        </is>
      </c>
      <c r="C1246" t="inlineStr">
        <is>
          <t>第2営業部</t>
        </is>
      </c>
      <c r="D1246" s="3" t="n">
        <v>46014</v>
      </c>
      <c r="E1246" t="inlineStr">
        <is>
          <t>中央設備(株)</t>
        </is>
      </c>
      <c r="F1246" t="inlineStr">
        <is>
          <t>東京都</t>
        </is>
      </c>
      <c r="G1246" t="inlineStr">
        <is>
          <t>消耗品</t>
        </is>
      </c>
      <c r="H1246" t="inlineStr">
        <is>
          <t>ラベルロール</t>
        </is>
      </c>
      <c r="I1246" s="4" t="n">
        <v>15</v>
      </c>
      <c r="J1246" s="4" t="n">
        <v>2340</v>
      </c>
      <c r="K1246" s="4">
        <f>I1246*J1246</f>
        <v/>
      </c>
      <c r="L1246" t="inlineStr">
        <is>
          <t>キャンペーン適用</t>
        </is>
      </c>
    </row>
    <row r="1247">
      <c r="A1247" t="inlineStr">
        <is>
          <t>SR052</t>
        </is>
      </c>
      <c r="B1247" t="inlineStr">
        <is>
          <t>営業担当052</t>
        </is>
      </c>
      <c r="C1247" t="inlineStr">
        <is>
          <t>第2営業部</t>
        </is>
      </c>
      <c r="D1247" s="3" t="n">
        <v>46044</v>
      </c>
      <c r="E1247" t="inlineStr">
        <is>
          <t>東洋フーズ(株)</t>
        </is>
      </c>
      <c r="F1247" t="inlineStr">
        <is>
          <t>神奈川県</t>
        </is>
      </c>
      <c r="G1247" t="inlineStr">
        <is>
          <t>ソフトウェア</t>
        </is>
      </c>
      <c r="H1247" t="inlineStr">
        <is>
          <t>AIチャットボット</t>
        </is>
      </c>
      <c r="I1247" s="4" t="n">
        <v>4</v>
      </c>
      <c r="J1247" s="4" t="n">
        <v>700600</v>
      </c>
      <c r="K1247" s="4">
        <f>I1247*J1247</f>
        <v/>
      </c>
      <c r="L1247" t="inlineStr">
        <is>
          <t>分納</t>
        </is>
      </c>
    </row>
    <row r="1248">
      <c r="A1248" t="inlineStr">
        <is>
          <t>SR052</t>
        </is>
      </c>
      <c r="B1248" t="inlineStr">
        <is>
          <t>営業担当052</t>
        </is>
      </c>
      <c r="C1248" t="inlineStr">
        <is>
          <t>第2営業部</t>
        </is>
      </c>
      <c r="D1248" s="3" t="n">
        <v>46045</v>
      </c>
      <c r="E1248" t="inlineStr">
        <is>
          <t>九州エナジー有限会社</t>
        </is>
      </c>
      <c r="F1248" t="inlineStr">
        <is>
          <t>北海道</t>
        </is>
      </c>
      <c r="G1248" t="inlineStr">
        <is>
          <t>ハードウェア</t>
        </is>
      </c>
      <c r="H1248" t="inlineStr">
        <is>
          <t>産業用タブレット</t>
        </is>
      </c>
      <c r="I1248" s="4" t="n">
        <v>5</v>
      </c>
      <c r="J1248" s="4" t="n">
        <v>113900</v>
      </c>
      <c r="K1248" s="4">
        <f>I1248*J1248</f>
        <v/>
      </c>
      <c r="L1248" t="inlineStr"/>
    </row>
    <row r="1249">
      <c r="A1249" t="inlineStr">
        <is>
          <t>SR052</t>
        </is>
      </c>
      <c r="B1249" t="inlineStr">
        <is>
          <t>営業担当052</t>
        </is>
      </c>
      <c r="C1249" t="inlineStr">
        <is>
          <t>第2営業部</t>
        </is>
      </c>
      <c r="D1249" s="3" t="n">
        <v>46075</v>
      </c>
      <c r="E1249" t="inlineStr">
        <is>
          <t>大和精機株式会社</t>
        </is>
      </c>
      <c r="F1249" t="inlineStr">
        <is>
          <t>福岡県</t>
        </is>
      </c>
      <c r="G1249" t="inlineStr">
        <is>
          <t>ソフトウェア</t>
        </is>
      </c>
      <c r="H1249" t="inlineStr">
        <is>
          <t>帳票自動化ツール</t>
        </is>
      </c>
      <c r="I1249" s="4" t="n">
        <v>2</v>
      </c>
      <c r="J1249" s="4" t="n">
        <v>360400</v>
      </c>
      <c r="K1249" s="4">
        <f>I1249*J1249</f>
        <v/>
      </c>
      <c r="L1249" t="inlineStr">
        <is>
          <t>新規開拓</t>
        </is>
      </c>
    </row>
    <row r="1250">
      <c r="A1250" t="inlineStr">
        <is>
          <t>SR052</t>
        </is>
      </c>
      <c r="B1250" t="inlineStr">
        <is>
          <t>営業担当052</t>
        </is>
      </c>
      <c r="C1250" t="inlineStr">
        <is>
          <t>第2営業部</t>
        </is>
      </c>
      <c r="D1250" s="3" t="n">
        <v>46079</v>
      </c>
      <c r="E1250" t="inlineStr">
        <is>
          <t>グリーンテック(株)</t>
        </is>
      </c>
      <c r="F1250" t="inlineStr">
        <is>
          <t>宮城県</t>
        </is>
      </c>
      <c r="G1250" t="inlineStr">
        <is>
          <t>消耗品</t>
        </is>
      </c>
      <c r="H1250" t="inlineStr">
        <is>
          <t>交換用ヘッド</t>
        </is>
      </c>
      <c r="I1250" s="4" t="n">
        <v>15</v>
      </c>
      <c r="J1250" s="4" t="n">
        <v>27920</v>
      </c>
      <c r="K1250" s="4">
        <f>I1250*J1250</f>
        <v/>
      </c>
      <c r="L1250" t="inlineStr"/>
    </row>
    <row r="1251">
      <c r="A1251" t="inlineStr">
        <is>
          <t>SR052</t>
        </is>
      </c>
      <c r="B1251" t="inlineStr">
        <is>
          <t>営業担当052</t>
        </is>
      </c>
      <c r="C1251" t="inlineStr">
        <is>
          <t>第2営業部</t>
        </is>
      </c>
      <c r="D1251" s="3" t="n">
        <v>46083</v>
      </c>
      <c r="E1251" t="inlineStr">
        <is>
          <t>アーク電機(株)</t>
        </is>
      </c>
      <c r="F1251" t="inlineStr">
        <is>
          <t>宮城県</t>
        </is>
      </c>
      <c r="G1251" t="inlineStr">
        <is>
          <t>ハードウェア</t>
        </is>
      </c>
      <c r="H1251" t="inlineStr">
        <is>
          <t>ラベルプリンター</t>
        </is>
      </c>
      <c r="I1251" s="4" t="n">
        <v>1</v>
      </c>
      <c r="J1251" s="4" t="n">
        <v>55300</v>
      </c>
      <c r="K1251" s="4">
        <f>I1251*J1251</f>
        <v/>
      </c>
      <c r="L1251" t="inlineStr">
        <is>
          <t>大型案件</t>
        </is>
      </c>
    </row>
    <row r="1252">
      <c r="A1252" t="inlineStr">
        <is>
          <t>SR052</t>
        </is>
      </c>
      <c r="B1252" t="inlineStr">
        <is>
          <t>営業担当052</t>
        </is>
      </c>
      <c r="C1252" t="inlineStr">
        <is>
          <t>第2営業部</t>
        </is>
      </c>
      <c r="D1252" s="3" t="n">
        <v>46085</v>
      </c>
      <c r="E1252" t="inlineStr">
        <is>
          <t>中央設備株式会社</t>
        </is>
      </c>
      <c r="F1252" t="inlineStr">
        <is>
          <t>福岡県</t>
        </is>
      </c>
      <c r="G1252" t="inlineStr">
        <is>
          <t>ハードウェア</t>
        </is>
      </c>
      <c r="H1252" t="inlineStr">
        <is>
          <t>ラベルプリンター</t>
        </is>
      </c>
      <c r="I1252" s="4" t="n">
        <v>5</v>
      </c>
      <c r="J1252" s="4" t="n">
        <v>38600</v>
      </c>
      <c r="K1252" s="4">
        <f>I1252*J1252</f>
        <v/>
      </c>
      <c r="L1252" t="inlineStr">
        <is>
          <t>大型案件</t>
        </is>
      </c>
    </row>
    <row r="1253">
      <c r="A1253" t="inlineStr">
        <is>
          <t>SR053</t>
        </is>
      </c>
      <c r="B1253" t="inlineStr">
        <is>
          <t>営業担当053</t>
        </is>
      </c>
      <c r="C1253" t="inlineStr">
        <is>
          <t>第3営業部</t>
        </is>
      </c>
      <c r="D1253" s="3" t="n">
        <v>45749</v>
      </c>
      <c r="E1253" t="inlineStr">
        <is>
          <t>オーシャン製作所(株)</t>
        </is>
      </c>
      <c r="F1253" t="inlineStr">
        <is>
          <t>兵庫県</t>
        </is>
      </c>
      <c r="G1253" t="inlineStr">
        <is>
          <t>ソフトウェア</t>
        </is>
      </c>
      <c r="H1253" t="inlineStr">
        <is>
          <t>AIチャットボット</t>
        </is>
      </c>
      <c r="I1253" s="4" t="n">
        <v>4</v>
      </c>
      <c r="J1253" s="4" t="n">
        <v>487100</v>
      </c>
      <c r="K1253" s="4">
        <f>I1253*J1253</f>
        <v/>
      </c>
      <c r="L1253" t="inlineStr">
        <is>
          <t>リピート受注</t>
        </is>
      </c>
    </row>
    <row r="1254">
      <c r="A1254" t="inlineStr">
        <is>
          <t>SR053</t>
        </is>
      </c>
      <c r="B1254" t="inlineStr">
        <is>
          <t>営業担当053</t>
        </is>
      </c>
      <c r="C1254" t="inlineStr">
        <is>
          <t>第3営業部</t>
        </is>
      </c>
      <c r="D1254" s="3" t="n">
        <v>45750</v>
      </c>
      <c r="E1254" t="inlineStr">
        <is>
          <t>中央設備株式会社</t>
        </is>
      </c>
      <c r="F1254" t="inlineStr">
        <is>
          <t>兵庫県</t>
        </is>
      </c>
      <c r="G1254" t="inlineStr">
        <is>
          <t>ソフトウェア</t>
        </is>
      </c>
      <c r="H1254" t="inlineStr">
        <is>
          <t>在庫管理クラウド</t>
        </is>
      </c>
      <c r="I1254" s="4" t="n">
        <v>5</v>
      </c>
      <c r="J1254" s="4" t="n">
        <v>448000</v>
      </c>
      <c r="K1254" s="4">
        <f>I1254*J1254</f>
        <v/>
      </c>
      <c r="L1254" t="inlineStr">
        <is>
          <t>大型案件</t>
        </is>
      </c>
    </row>
    <row r="1255">
      <c r="A1255" t="inlineStr">
        <is>
          <t>SR053</t>
        </is>
      </c>
      <c r="B1255" t="inlineStr">
        <is>
          <t>営業担当053</t>
        </is>
      </c>
      <c r="C1255" t="inlineStr">
        <is>
          <t>第3営業部</t>
        </is>
      </c>
      <c r="D1255" s="3" t="n">
        <v>45784</v>
      </c>
      <c r="E1255" t="inlineStr">
        <is>
          <t>白峰化学株式会社</t>
        </is>
      </c>
      <c r="F1255" t="inlineStr">
        <is>
          <t>大阪府</t>
        </is>
      </c>
      <c r="G1255" t="inlineStr">
        <is>
          <t>消耗品</t>
        </is>
      </c>
      <c r="H1255" t="inlineStr">
        <is>
          <t>交換用ヘッド</t>
        </is>
      </c>
      <c r="I1255" s="4" t="n">
        <v>6</v>
      </c>
      <c r="J1255" s="4" t="n">
        <v>24340</v>
      </c>
      <c r="K1255" s="4">
        <f>I1255*J1255</f>
        <v/>
      </c>
      <c r="L1255" t="inlineStr">
        <is>
          <t>分納</t>
        </is>
      </c>
    </row>
    <row r="1256">
      <c r="A1256" t="inlineStr">
        <is>
          <t>SR053</t>
        </is>
      </c>
      <c r="B1256" t="inlineStr">
        <is>
          <t>営業担当053</t>
        </is>
      </c>
      <c r="C1256" t="inlineStr">
        <is>
          <t>第3営業部</t>
        </is>
      </c>
      <c r="D1256" s="3" t="n">
        <v>45793</v>
      </c>
      <c r="E1256" t="inlineStr">
        <is>
          <t>みらい物流(株)</t>
        </is>
      </c>
      <c r="F1256" t="inlineStr">
        <is>
          <t>愛知県</t>
        </is>
      </c>
      <c r="G1256" t="inlineStr">
        <is>
          <t>消耗品</t>
        </is>
      </c>
      <c r="H1256" t="inlineStr">
        <is>
          <t>ラベルロール</t>
        </is>
      </c>
      <c r="I1256" s="4" t="n">
        <v>12</v>
      </c>
      <c r="J1256" s="4" t="n">
        <v>12670</v>
      </c>
      <c r="K1256" s="4">
        <f>I1256*J1256</f>
        <v/>
      </c>
      <c r="L1256" t="inlineStr"/>
    </row>
    <row r="1257">
      <c r="A1257" t="inlineStr">
        <is>
          <t>SR053</t>
        </is>
      </c>
      <c r="B1257" t="inlineStr">
        <is>
          <t>営業担当053</t>
        </is>
      </c>
      <c r="C1257" t="inlineStr">
        <is>
          <t>第3営業部</t>
        </is>
      </c>
      <c r="D1257" s="3" t="n">
        <v>45816</v>
      </c>
      <c r="E1257" t="inlineStr">
        <is>
          <t>未来通信株式会社</t>
        </is>
      </c>
      <c r="F1257" t="inlineStr">
        <is>
          <t>神奈川県</t>
        </is>
      </c>
      <c r="G1257" t="inlineStr">
        <is>
          <t>ハードウェア</t>
        </is>
      </c>
      <c r="H1257" t="inlineStr">
        <is>
          <t>ネットワークカメラ</t>
        </is>
      </c>
      <c r="I1257" s="4" t="n">
        <v>2</v>
      </c>
      <c r="J1257" s="4" t="n">
        <v>72500</v>
      </c>
      <c r="K1257" s="4">
        <f>I1257*J1257</f>
        <v/>
      </c>
      <c r="L1257" t="inlineStr"/>
    </row>
    <row r="1258">
      <c r="A1258" t="inlineStr">
        <is>
          <t>SR053</t>
        </is>
      </c>
      <c r="B1258" t="inlineStr">
        <is>
          <t>営業担当053</t>
        </is>
      </c>
      <c r="C1258" t="inlineStr">
        <is>
          <t>第3営業部</t>
        </is>
      </c>
      <c r="D1258" s="3" t="n">
        <v>45833</v>
      </c>
      <c r="E1258" t="inlineStr">
        <is>
          <t>東洋フーズ有限会社</t>
        </is>
      </c>
      <c r="F1258" t="inlineStr">
        <is>
          <t>福岡県</t>
        </is>
      </c>
      <c r="G1258" t="inlineStr">
        <is>
          <t>ソフトウェア</t>
        </is>
      </c>
      <c r="H1258" t="inlineStr">
        <is>
          <t>営業支援SaaS</t>
        </is>
      </c>
      <c r="I1258" s="4" t="n">
        <v>2</v>
      </c>
      <c r="J1258" s="4" t="n">
        <v>291200</v>
      </c>
      <c r="K1258" s="4">
        <f>I1258*J1258</f>
        <v/>
      </c>
      <c r="L1258" t="inlineStr">
        <is>
          <t>値引き調整あり</t>
        </is>
      </c>
    </row>
    <row r="1259">
      <c r="A1259" t="inlineStr">
        <is>
          <t>SR053</t>
        </is>
      </c>
      <c r="B1259" t="inlineStr">
        <is>
          <t>営業担当053</t>
        </is>
      </c>
      <c r="C1259" t="inlineStr">
        <is>
          <t>第3営業部</t>
        </is>
      </c>
      <c r="D1259" s="3" t="n">
        <v>45861</v>
      </c>
      <c r="E1259" t="inlineStr">
        <is>
          <t>未来通信有限会社</t>
        </is>
      </c>
      <c r="F1259" t="inlineStr">
        <is>
          <t>北海道</t>
        </is>
      </c>
      <c r="G1259" t="inlineStr">
        <is>
          <t>保守サービス</t>
        </is>
      </c>
      <c r="H1259" t="inlineStr">
        <is>
          <t>オンサイト保守</t>
        </is>
      </c>
      <c r="I1259" s="4" t="n">
        <v>1</v>
      </c>
      <c r="J1259" s="4" t="n">
        <v>129300</v>
      </c>
      <c r="K1259" s="4">
        <f>I1259*J1259</f>
        <v/>
      </c>
      <c r="L1259" t="inlineStr"/>
    </row>
    <row r="1260">
      <c r="A1260" t="inlineStr">
        <is>
          <t>SR053</t>
        </is>
      </c>
      <c r="B1260" t="inlineStr">
        <is>
          <t>営業担当053</t>
        </is>
      </c>
      <c r="C1260" t="inlineStr">
        <is>
          <t>第3営業部</t>
        </is>
      </c>
      <c r="D1260" s="3" t="n">
        <v>45861</v>
      </c>
      <c r="E1260" t="inlineStr">
        <is>
          <t>大和精機有限会社</t>
        </is>
      </c>
      <c r="F1260" t="inlineStr">
        <is>
          <t>福岡県</t>
        </is>
      </c>
      <c r="G1260" t="inlineStr">
        <is>
          <t>ハードウェア</t>
        </is>
      </c>
      <c r="H1260" t="inlineStr">
        <is>
          <t>小型ハンディ端末</t>
        </is>
      </c>
      <c r="I1260" s="4" t="n">
        <v>2</v>
      </c>
      <c r="J1260" s="4" t="n">
        <v>57300</v>
      </c>
      <c r="K1260" s="4">
        <f>I1260*J1260</f>
        <v/>
      </c>
      <c r="L1260" t="inlineStr"/>
    </row>
    <row r="1261">
      <c r="A1261" t="inlineStr">
        <is>
          <t>SR053</t>
        </is>
      </c>
      <c r="B1261" t="inlineStr">
        <is>
          <t>営業担当053</t>
        </is>
      </c>
      <c r="C1261" t="inlineStr">
        <is>
          <t>第3営業部</t>
        </is>
      </c>
      <c r="D1261" s="3" t="n">
        <v>45882</v>
      </c>
      <c r="E1261" t="inlineStr">
        <is>
          <t>北斗産業(株)</t>
        </is>
      </c>
      <c r="F1261" t="inlineStr">
        <is>
          <t>愛知県</t>
        </is>
      </c>
      <c r="G1261" t="inlineStr">
        <is>
          <t>ハードウェア</t>
        </is>
      </c>
      <c r="H1261" t="inlineStr">
        <is>
          <t>ネットワークカメラ</t>
        </is>
      </c>
      <c r="I1261" s="4" t="n">
        <v>1</v>
      </c>
      <c r="J1261" s="4" t="n">
        <v>44400</v>
      </c>
      <c r="K1261" s="4">
        <f>I1261*J1261</f>
        <v/>
      </c>
      <c r="L1261" t="inlineStr"/>
    </row>
    <row r="1262">
      <c r="A1262" t="inlineStr">
        <is>
          <t>SR053</t>
        </is>
      </c>
      <c r="B1262" t="inlineStr">
        <is>
          <t>営業担当053</t>
        </is>
      </c>
      <c r="C1262" t="inlineStr">
        <is>
          <t>第3営業部</t>
        </is>
      </c>
      <c r="D1262" s="3" t="n">
        <v>45885</v>
      </c>
      <c r="E1262" t="inlineStr">
        <is>
          <t>アーク電機有限会社</t>
        </is>
      </c>
      <c r="F1262" t="inlineStr">
        <is>
          <t>京都府</t>
        </is>
      </c>
      <c r="G1262" t="inlineStr">
        <is>
          <t>ソフトウェア</t>
        </is>
      </c>
      <c r="H1262" t="inlineStr">
        <is>
          <t>営業支援SaaS</t>
        </is>
      </c>
      <c r="I1262" s="4" t="n">
        <v>5</v>
      </c>
      <c r="J1262" s="4" t="n">
        <v>232200</v>
      </c>
      <c r="K1262" s="4">
        <f>I1262*J1262</f>
        <v/>
      </c>
      <c r="L1262" t="inlineStr"/>
    </row>
    <row r="1263">
      <c r="A1263" t="inlineStr">
        <is>
          <t>SR053</t>
        </is>
      </c>
      <c r="B1263" t="inlineStr">
        <is>
          <t>営業担当053</t>
        </is>
      </c>
      <c r="C1263" t="inlineStr">
        <is>
          <t>第3営業部</t>
        </is>
      </c>
      <c r="D1263" s="3" t="n">
        <v>45910</v>
      </c>
      <c r="E1263" t="inlineStr">
        <is>
          <t>北斗産業有限会社</t>
        </is>
      </c>
      <c r="F1263" t="inlineStr">
        <is>
          <t>東京都</t>
        </is>
      </c>
      <c r="G1263" t="inlineStr">
        <is>
          <t>ハードウェア</t>
        </is>
      </c>
      <c r="H1263" t="inlineStr">
        <is>
          <t>ネットワークカメラ</t>
        </is>
      </c>
      <c r="I1263" s="4" t="n">
        <v>4</v>
      </c>
      <c r="J1263" s="4" t="n">
        <v>31600</v>
      </c>
      <c r="K1263" s="4">
        <f>I1263*J1263</f>
        <v/>
      </c>
      <c r="L1263" t="inlineStr"/>
    </row>
    <row r="1264">
      <c r="A1264" t="inlineStr">
        <is>
          <t>SR053</t>
        </is>
      </c>
      <c r="B1264" t="inlineStr">
        <is>
          <t>営業担当053</t>
        </is>
      </c>
      <c r="C1264" t="inlineStr">
        <is>
          <t>第3営業部</t>
        </is>
      </c>
      <c r="D1264" s="3" t="n">
        <v>45928</v>
      </c>
      <c r="E1264" t="inlineStr">
        <is>
          <t>北斗産業(株)</t>
        </is>
      </c>
      <c r="F1264" t="inlineStr">
        <is>
          <t>宮城県</t>
        </is>
      </c>
      <c r="G1264" t="inlineStr">
        <is>
          <t>消耗品</t>
        </is>
      </c>
      <c r="H1264" t="inlineStr">
        <is>
          <t>保守用バッテリー</t>
        </is>
      </c>
      <c r="I1264" s="4" t="n">
        <v>12</v>
      </c>
      <c r="J1264" s="4" t="n">
        <v>18770</v>
      </c>
      <c r="K1264" s="4">
        <f>I1264*J1264</f>
        <v/>
      </c>
      <c r="L1264" t="inlineStr">
        <is>
          <t>大型案件</t>
        </is>
      </c>
    </row>
    <row r="1265">
      <c r="A1265" t="inlineStr">
        <is>
          <t>SR053</t>
        </is>
      </c>
      <c r="B1265" t="inlineStr">
        <is>
          <t>営業担当053</t>
        </is>
      </c>
      <c r="C1265" t="inlineStr">
        <is>
          <t>第3営業部</t>
        </is>
      </c>
      <c r="D1265" s="3" t="n">
        <v>45938</v>
      </c>
      <c r="E1265" t="inlineStr">
        <is>
          <t>オーシャン製作所(株)</t>
        </is>
      </c>
      <c r="F1265" t="inlineStr">
        <is>
          <t>広島県</t>
        </is>
      </c>
      <c r="G1265" t="inlineStr">
        <is>
          <t>ソフトウェア</t>
        </is>
      </c>
      <c r="H1265" t="inlineStr">
        <is>
          <t>AIチャットボット</t>
        </is>
      </c>
      <c r="I1265" s="4" t="n">
        <v>1</v>
      </c>
      <c r="J1265" s="4" t="n">
        <v>499200</v>
      </c>
      <c r="K1265" s="4">
        <f>I1265*J1265</f>
        <v/>
      </c>
      <c r="L1265" t="inlineStr"/>
    </row>
    <row r="1266">
      <c r="A1266" t="inlineStr">
        <is>
          <t>SR053</t>
        </is>
      </c>
      <c r="B1266" t="inlineStr">
        <is>
          <t>営業担当053</t>
        </is>
      </c>
      <c r="C1266" t="inlineStr">
        <is>
          <t>第3営業部</t>
        </is>
      </c>
      <c r="D1266" s="3" t="n">
        <v>45945</v>
      </c>
      <c r="E1266" t="inlineStr">
        <is>
          <t>大和精機(株)</t>
        </is>
      </c>
      <c r="F1266" t="inlineStr">
        <is>
          <t>京都府</t>
        </is>
      </c>
      <c r="G1266" t="inlineStr">
        <is>
          <t>導入支援</t>
        </is>
      </c>
      <c r="H1266" t="inlineStr">
        <is>
          <t>データ移行支援</t>
        </is>
      </c>
      <c r="I1266" s="4" t="n">
        <v>5</v>
      </c>
      <c r="J1266" s="4" t="n">
        <v>191200</v>
      </c>
      <c r="K1266" s="4">
        <f>I1266*J1266</f>
        <v/>
      </c>
      <c r="L1266" t="inlineStr">
        <is>
          <t>大型案件</t>
        </is>
      </c>
    </row>
    <row r="1267">
      <c r="A1267" t="inlineStr">
        <is>
          <t>SR053</t>
        </is>
      </c>
      <c r="B1267" t="inlineStr">
        <is>
          <t>営業担当053</t>
        </is>
      </c>
      <c r="C1267" t="inlineStr">
        <is>
          <t>第3営業部</t>
        </is>
      </c>
      <c r="D1267" s="3" t="n">
        <v>45967</v>
      </c>
      <c r="E1267" t="inlineStr">
        <is>
          <t>青葉商事株式会社</t>
        </is>
      </c>
      <c r="F1267" t="inlineStr">
        <is>
          <t>兵庫県</t>
        </is>
      </c>
      <c r="G1267" t="inlineStr">
        <is>
          <t>ハードウェア</t>
        </is>
      </c>
      <c r="H1267" t="inlineStr">
        <is>
          <t>産業用タブレット</t>
        </is>
      </c>
      <c r="I1267" s="4" t="n">
        <v>5</v>
      </c>
      <c r="J1267" s="4" t="n">
        <v>114600</v>
      </c>
      <c r="K1267" s="4">
        <f>I1267*J1267</f>
        <v/>
      </c>
      <c r="L1267" t="inlineStr">
        <is>
          <t>値引き調整あり</t>
        </is>
      </c>
    </row>
    <row r="1268">
      <c r="A1268" t="inlineStr">
        <is>
          <t>SR053</t>
        </is>
      </c>
      <c r="B1268" t="inlineStr">
        <is>
          <t>営業担当053</t>
        </is>
      </c>
      <c r="C1268" t="inlineStr">
        <is>
          <t>第3営業部</t>
        </is>
      </c>
      <c r="D1268" s="3" t="n">
        <v>45970</v>
      </c>
      <c r="E1268" t="inlineStr">
        <is>
          <t>福岡流通(株)</t>
        </is>
      </c>
      <c r="F1268" t="inlineStr">
        <is>
          <t>北海道</t>
        </is>
      </c>
      <c r="G1268" t="inlineStr">
        <is>
          <t>導入支援</t>
        </is>
      </c>
      <c r="H1268" t="inlineStr">
        <is>
          <t>初期設定支援</t>
        </is>
      </c>
      <c r="I1268" s="4" t="n">
        <v>3</v>
      </c>
      <c r="J1268" s="4" t="n">
        <v>59700</v>
      </c>
      <c r="K1268" s="4">
        <f>I1268*J1268</f>
        <v/>
      </c>
      <c r="L1268" t="inlineStr"/>
    </row>
    <row r="1269">
      <c r="A1269" t="inlineStr">
        <is>
          <t>SR053</t>
        </is>
      </c>
      <c r="B1269" t="inlineStr">
        <is>
          <t>営業担当053</t>
        </is>
      </c>
      <c r="C1269" t="inlineStr">
        <is>
          <t>第3営業部</t>
        </is>
      </c>
      <c r="D1269" s="3" t="n">
        <v>45993</v>
      </c>
      <c r="E1269" t="inlineStr">
        <is>
          <t>青葉商事株式会社</t>
        </is>
      </c>
      <c r="F1269" t="inlineStr">
        <is>
          <t>北海道</t>
        </is>
      </c>
      <c r="G1269" t="inlineStr">
        <is>
          <t>ハードウェア</t>
        </is>
      </c>
      <c r="H1269" t="inlineStr">
        <is>
          <t>ラベルプリンター</t>
        </is>
      </c>
      <c r="I1269" s="4" t="n">
        <v>4</v>
      </c>
      <c r="J1269" s="4" t="n">
        <v>52300</v>
      </c>
      <c r="K1269" s="4">
        <f>I1269*J1269</f>
        <v/>
      </c>
      <c r="L1269" t="inlineStr"/>
    </row>
    <row r="1270">
      <c r="A1270" t="inlineStr">
        <is>
          <t>SR053</t>
        </is>
      </c>
      <c r="B1270" t="inlineStr">
        <is>
          <t>営業担当053</t>
        </is>
      </c>
      <c r="C1270" t="inlineStr">
        <is>
          <t>第3営業部</t>
        </is>
      </c>
      <c r="D1270" s="3" t="n">
        <v>46014</v>
      </c>
      <c r="E1270" t="inlineStr">
        <is>
          <t>大和精機(株)</t>
        </is>
      </c>
      <c r="F1270" t="inlineStr">
        <is>
          <t>神奈川県</t>
        </is>
      </c>
      <c r="G1270" t="inlineStr">
        <is>
          <t>ハードウェア</t>
        </is>
      </c>
      <c r="H1270" t="inlineStr">
        <is>
          <t>ラベルプリンター</t>
        </is>
      </c>
      <c r="I1270" s="4" t="n">
        <v>3</v>
      </c>
      <c r="J1270" s="4" t="n">
        <v>66200</v>
      </c>
      <c r="K1270" s="4">
        <f>I1270*J1270</f>
        <v/>
      </c>
      <c r="L1270" t="inlineStr"/>
    </row>
    <row r="1271">
      <c r="A1271" t="inlineStr">
        <is>
          <t>SR053</t>
        </is>
      </c>
      <c r="B1271" t="inlineStr">
        <is>
          <t>営業担当053</t>
        </is>
      </c>
      <c r="C1271" t="inlineStr">
        <is>
          <t>第3営業部</t>
        </is>
      </c>
      <c r="D1271" s="3" t="n">
        <v>46028</v>
      </c>
      <c r="E1271" t="inlineStr">
        <is>
          <t>桜井メディカル株式会社</t>
        </is>
      </c>
      <c r="F1271" t="inlineStr">
        <is>
          <t>京都府</t>
        </is>
      </c>
      <c r="G1271" t="inlineStr">
        <is>
          <t>ハードウェア</t>
        </is>
      </c>
      <c r="H1271" t="inlineStr">
        <is>
          <t>ラベルプリンター</t>
        </is>
      </c>
      <c r="I1271" s="4" t="n">
        <v>1</v>
      </c>
      <c r="J1271" s="4" t="n">
        <v>70700</v>
      </c>
      <c r="K1271" s="4">
        <f>I1271*J1271</f>
        <v/>
      </c>
      <c r="L1271" t="inlineStr"/>
    </row>
    <row r="1272">
      <c r="A1272" t="inlineStr">
        <is>
          <t>SR053</t>
        </is>
      </c>
      <c r="B1272" t="inlineStr">
        <is>
          <t>営業担当053</t>
        </is>
      </c>
      <c r="C1272" t="inlineStr">
        <is>
          <t>第3営業部</t>
        </is>
      </c>
      <c r="D1272" s="3" t="n">
        <v>46036</v>
      </c>
      <c r="E1272" t="inlineStr">
        <is>
          <t>西日本機工(株)</t>
        </is>
      </c>
      <c r="F1272" t="inlineStr">
        <is>
          <t>広島県</t>
        </is>
      </c>
      <c r="G1272" t="inlineStr">
        <is>
          <t>保守サービス</t>
        </is>
      </c>
      <c r="H1272" t="inlineStr">
        <is>
          <t>オンサイト保守</t>
        </is>
      </c>
      <c r="I1272" s="4" t="n">
        <v>3</v>
      </c>
      <c r="J1272" s="4" t="n">
        <v>62800</v>
      </c>
      <c r="K1272" s="4">
        <f>I1272*J1272</f>
        <v/>
      </c>
      <c r="L1272" t="inlineStr"/>
    </row>
    <row r="1273">
      <c r="A1273" t="inlineStr">
        <is>
          <t>SR053</t>
        </is>
      </c>
      <c r="B1273" t="inlineStr">
        <is>
          <t>営業担当053</t>
        </is>
      </c>
      <c r="C1273" t="inlineStr">
        <is>
          <t>第3営業部</t>
        </is>
      </c>
      <c r="D1273" s="3" t="n">
        <v>46062</v>
      </c>
      <c r="E1273" t="inlineStr">
        <is>
          <t>グリーンテック(株)</t>
        </is>
      </c>
      <c r="F1273" t="inlineStr">
        <is>
          <t>東京都</t>
        </is>
      </c>
      <c r="G1273" t="inlineStr">
        <is>
          <t>ハードウェア</t>
        </is>
      </c>
      <c r="H1273" t="inlineStr">
        <is>
          <t>小型ハンディ端末</t>
        </is>
      </c>
      <c r="I1273" s="4" t="n">
        <v>5</v>
      </c>
      <c r="J1273" s="4" t="n">
        <v>56800</v>
      </c>
      <c r="K1273" s="4">
        <f>I1273*J1273</f>
        <v/>
      </c>
      <c r="L1273" t="inlineStr"/>
    </row>
    <row r="1274">
      <c r="A1274" t="inlineStr">
        <is>
          <t>SR053</t>
        </is>
      </c>
      <c r="B1274" t="inlineStr">
        <is>
          <t>営業担当053</t>
        </is>
      </c>
      <c r="C1274" t="inlineStr">
        <is>
          <t>第3営業部</t>
        </is>
      </c>
      <c r="D1274" s="3" t="n">
        <v>46075</v>
      </c>
      <c r="E1274" t="inlineStr">
        <is>
          <t>青葉商事有限会社</t>
        </is>
      </c>
      <c r="F1274" t="inlineStr">
        <is>
          <t>京都府</t>
        </is>
      </c>
      <c r="G1274" t="inlineStr">
        <is>
          <t>ハードウェア</t>
        </is>
      </c>
      <c r="H1274" t="inlineStr">
        <is>
          <t>ラベルプリンター</t>
        </is>
      </c>
      <c r="I1274" s="4" t="n">
        <v>3</v>
      </c>
      <c r="J1274" s="4" t="n">
        <v>75900</v>
      </c>
      <c r="K1274" s="4">
        <f>I1274*J1274</f>
        <v/>
      </c>
      <c r="L1274" t="inlineStr">
        <is>
          <t>新規開拓</t>
        </is>
      </c>
    </row>
    <row r="1275">
      <c r="A1275" t="inlineStr">
        <is>
          <t>SR053</t>
        </is>
      </c>
      <c r="B1275" t="inlineStr">
        <is>
          <t>営業担当053</t>
        </is>
      </c>
      <c r="C1275" t="inlineStr">
        <is>
          <t>第3営業部</t>
        </is>
      </c>
      <c r="D1275" s="3" t="n">
        <v>46102</v>
      </c>
      <c r="E1275" t="inlineStr">
        <is>
          <t>福岡流通有限会社</t>
        </is>
      </c>
      <c r="F1275" t="inlineStr">
        <is>
          <t>兵庫県</t>
        </is>
      </c>
      <c r="G1275" t="inlineStr">
        <is>
          <t>保守サービス</t>
        </is>
      </c>
      <c r="H1275" t="inlineStr">
        <is>
          <t>オンサイト保守</t>
        </is>
      </c>
      <c r="I1275" s="4" t="n">
        <v>1</v>
      </c>
      <c r="J1275" s="4" t="n">
        <v>152400</v>
      </c>
      <c r="K1275" s="4">
        <f>I1275*J1275</f>
        <v/>
      </c>
      <c r="L1275" t="inlineStr">
        <is>
          <t>リピート受注</t>
        </is>
      </c>
    </row>
    <row r="1276">
      <c r="A1276" t="inlineStr">
        <is>
          <t>SR053</t>
        </is>
      </c>
      <c r="B1276" t="inlineStr">
        <is>
          <t>営業担当053</t>
        </is>
      </c>
      <c r="C1276" t="inlineStr">
        <is>
          <t>第3営業部</t>
        </is>
      </c>
      <c r="D1276" s="3" t="n">
        <v>46105</v>
      </c>
      <c r="E1276" t="inlineStr">
        <is>
          <t>星和商会有限会社</t>
        </is>
      </c>
      <c r="F1276" t="inlineStr">
        <is>
          <t>兵庫県</t>
        </is>
      </c>
      <c r="G1276" t="inlineStr">
        <is>
          <t>保守サービス</t>
        </is>
      </c>
      <c r="H1276" t="inlineStr">
        <is>
          <t>年間保守契約</t>
        </is>
      </c>
      <c r="I1276" s="4" t="n">
        <v>3</v>
      </c>
      <c r="J1276" s="4" t="n">
        <v>146000</v>
      </c>
      <c r="K1276" s="4">
        <f>I1276*J1276</f>
        <v/>
      </c>
      <c r="L1276" t="inlineStr">
        <is>
          <t>キャンペーン適用</t>
        </is>
      </c>
    </row>
    <row r="1277">
      <c r="A1277" t="inlineStr">
        <is>
          <t>SR054</t>
        </is>
      </c>
      <c r="B1277" t="inlineStr">
        <is>
          <t>営業担当054</t>
        </is>
      </c>
      <c r="C1277" t="inlineStr">
        <is>
          <t>パートナー営業部</t>
        </is>
      </c>
      <c r="D1277" s="3" t="n">
        <v>45765</v>
      </c>
      <c r="E1277" t="inlineStr">
        <is>
          <t>サンライズ建設株式会社</t>
        </is>
      </c>
      <c r="F1277" t="inlineStr">
        <is>
          <t>京都府</t>
        </is>
      </c>
      <c r="G1277" t="inlineStr">
        <is>
          <t>導入支援</t>
        </is>
      </c>
      <c r="H1277" t="inlineStr">
        <is>
          <t>初期設定支援</t>
        </is>
      </c>
      <c r="I1277" s="4" t="n">
        <v>1</v>
      </c>
      <c r="J1277" s="4" t="n">
        <v>95900</v>
      </c>
      <c r="K1277" s="4">
        <f>I1277*J1277</f>
        <v/>
      </c>
      <c r="L1277" t="inlineStr"/>
    </row>
    <row r="1278">
      <c r="A1278" t="inlineStr">
        <is>
          <t>SR054</t>
        </is>
      </c>
      <c r="B1278" t="inlineStr">
        <is>
          <t>営業担当054</t>
        </is>
      </c>
      <c r="C1278" t="inlineStr">
        <is>
          <t>パートナー営業部</t>
        </is>
      </c>
      <c r="D1278" s="3" t="n">
        <v>45771</v>
      </c>
      <c r="E1278" t="inlineStr">
        <is>
          <t>グリーンテック(株)</t>
        </is>
      </c>
      <c r="F1278" t="inlineStr">
        <is>
          <t>兵庫県</t>
        </is>
      </c>
      <c r="G1278" t="inlineStr">
        <is>
          <t>保守サービス</t>
        </is>
      </c>
      <c r="H1278" t="inlineStr">
        <is>
          <t>オンサイト保守</t>
        </is>
      </c>
      <c r="I1278" s="4" t="n">
        <v>1</v>
      </c>
      <c r="J1278" s="4" t="n">
        <v>168100</v>
      </c>
      <c r="K1278" s="4">
        <f>I1278*J1278</f>
        <v/>
      </c>
      <c r="L1278" t="inlineStr"/>
    </row>
    <row r="1279">
      <c r="A1279" t="inlineStr">
        <is>
          <t>SR054</t>
        </is>
      </c>
      <c r="B1279" t="inlineStr">
        <is>
          <t>営業担当054</t>
        </is>
      </c>
      <c r="C1279" t="inlineStr">
        <is>
          <t>パートナー営業部</t>
        </is>
      </c>
      <c r="D1279" s="3" t="n">
        <v>45785</v>
      </c>
      <c r="E1279" t="inlineStr">
        <is>
          <t>アーク電機(株)</t>
        </is>
      </c>
      <c r="F1279" t="inlineStr">
        <is>
          <t>福岡県</t>
        </is>
      </c>
      <c r="G1279" t="inlineStr">
        <is>
          <t>保守サービス</t>
        </is>
      </c>
      <c r="H1279" t="inlineStr">
        <is>
          <t>ヘルプデスク契約</t>
        </is>
      </c>
      <c r="I1279" s="4" t="n">
        <v>3</v>
      </c>
      <c r="J1279" s="4" t="n">
        <v>59100</v>
      </c>
      <c r="K1279" s="4">
        <f>I1279*J1279</f>
        <v/>
      </c>
      <c r="L1279" t="inlineStr">
        <is>
          <t>キャンペーン適用</t>
        </is>
      </c>
    </row>
    <row r="1280">
      <c r="A1280" t="inlineStr">
        <is>
          <t>SR054</t>
        </is>
      </c>
      <c r="B1280" t="inlineStr">
        <is>
          <t>営業担当054</t>
        </is>
      </c>
      <c r="C1280" t="inlineStr">
        <is>
          <t>パートナー営業部</t>
        </is>
      </c>
      <c r="D1280" s="3" t="n">
        <v>45804</v>
      </c>
      <c r="E1280" t="inlineStr">
        <is>
          <t>福岡流通株式会社</t>
        </is>
      </c>
      <c r="F1280" t="inlineStr">
        <is>
          <t>神奈川県</t>
        </is>
      </c>
      <c r="G1280" t="inlineStr">
        <is>
          <t>ハードウェア</t>
        </is>
      </c>
      <c r="H1280" t="inlineStr">
        <is>
          <t>ラベルプリンター</t>
        </is>
      </c>
      <c r="I1280" s="4" t="n">
        <v>1</v>
      </c>
      <c r="J1280" s="4" t="n">
        <v>65500</v>
      </c>
      <c r="K1280" s="4">
        <f>I1280*J1280</f>
        <v/>
      </c>
      <c r="L1280" t="inlineStr"/>
    </row>
    <row r="1281">
      <c r="A1281" t="inlineStr">
        <is>
          <t>SR054</t>
        </is>
      </c>
      <c r="B1281" t="inlineStr">
        <is>
          <t>営業担当054</t>
        </is>
      </c>
      <c r="C1281" t="inlineStr">
        <is>
          <t>パートナー営業部</t>
        </is>
      </c>
      <c r="D1281" s="3" t="n">
        <v>45830</v>
      </c>
      <c r="E1281" t="inlineStr">
        <is>
          <t>中央設備(株)</t>
        </is>
      </c>
      <c r="F1281" t="inlineStr">
        <is>
          <t>福岡県</t>
        </is>
      </c>
      <c r="G1281" t="inlineStr">
        <is>
          <t>ソフトウェア</t>
        </is>
      </c>
      <c r="H1281" t="inlineStr">
        <is>
          <t>営業支援SaaS</t>
        </is>
      </c>
      <c r="I1281" s="4" t="n">
        <v>1</v>
      </c>
      <c r="J1281" s="4" t="n">
        <v>235400</v>
      </c>
      <c r="K1281" s="4">
        <f>I1281*J1281</f>
        <v/>
      </c>
      <c r="L1281" t="inlineStr">
        <is>
          <t>新規開拓</t>
        </is>
      </c>
    </row>
    <row r="1282">
      <c r="A1282" t="inlineStr">
        <is>
          <t>SR054</t>
        </is>
      </c>
      <c r="B1282" t="inlineStr">
        <is>
          <t>営業担当054</t>
        </is>
      </c>
      <c r="C1282" t="inlineStr">
        <is>
          <t>パートナー営業部</t>
        </is>
      </c>
      <c r="D1282" s="3" t="n">
        <v>45832</v>
      </c>
      <c r="E1282" t="inlineStr">
        <is>
          <t>日新サービス有限会社</t>
        </is>
      </c>
      <c r="F1282" t="inlineStr">
        <is>
          <t>神奈川県</t>
        </is>
      </c>
      <c r="G1282" t="inlineStr">
        <is>
          <t>消耗品</t>
        </is>
      </c>
      <c r="H1282" t="inlineStr">
        <is>
          <t>交換用ヘッド</t>
        </is>
      </c>
      <c r="I1282" s="4" t="n">
        <v>4</v>
      </c>
      <c r="J1282" s="4" t="n">
        <v>30110</v>
      </c>
      <c r="K1282" s="4">
        <f>I1282*J1282</f>
        <v/>
      </c>
      <c r="L1282" t="inlineStr">
        <is>
          <t>大型案件</t>
        </is>
      </c>
    </row>
    <row r="1283">
      <c r="A1283" t="inlineStr">
        <is>
          <t>SR054</t>
        </is>
      </c>
      <c r="B1283" t="inlineStr">
        <is>
          <t>営業担当054</t>
        </is>
      </c>
      <c r="C1283" t="inlineStr">
        <is>
          <t>パートナー営業部</t>
        </is>
      </c>
      <c r="D1283" s="3" t="n">
        <v>45841</v>
      </c>
      <c r="E1283" t="inlineStr">
        <is>
          <t>ライトホーム(株)</t>
        </is>
      </c>
      <c r="F1283" t="inlineStr">
        <is>
          <t>大阪府</t>
        </is>
      </c>
      <c r="G1283" t="inlineStr">
        <is>
          <t>保守サービス</t>
        </is>
      </c>
      <c r="H1283" t="inlineStr">
        <is>
          <t>年間保守契約</t>
        </is>
      </c>
      <c r="I1283" s="4" t="n">
        <v>1</v>
      </c>
      <c r="J1283" s="4" t="n">
        <v>121800</v>
      </c>
      <c r="K1283" s="4">
        <f>I1283*J1283</f>
        <v/>
      </c>
      <c r="L1283" t="inlineStr"/>
    </row>
    <row r="1284">
      <c r="A1284" t="inlineStr">
        <is>
          <t>SR054</t>
        </is>
      </c>
      <c r="B1284" t="inlineStr">
        <is>
          <t>営業担当054</t>
        </is>
      </c>
      <c r="C1284" t="inlineStr">
        <is>
          <t>パートナー営業部</t>
        </is>
      </c>
      <c r="D1284" s="3" t="n">
        <v>45849</v>
      </c>
      <c r="E1284" t="inlineStr">
        <is>
          <t>未来通信株式会社</t>
        </is>
      </c>
      <c r="F1284" t="inlineStr">
        <is>
          <t>兵庫県</t>
        </is>
      </c>
      <c r="G1284" t="inlineStr">
        <is>
          <t>導入支援</t>
        </is>
      </c>
      <c r="H1284" t="inlineStr">
        <is>
          <t>初期設定支援</t>
        </is>
      </c>
      <c r="I1284" s="4" t="n">
        <v>4</v>
      </c>
      <c r="J1284" s="4" t="n">
        <v>97400</v>
      </c>
      <c r="K1284" s="4">
        <f>I1284*J1284</f>
        <v/>
      </c>
      <c r="L1284" t="inlineStr">
        <is>
          <t>キャンペーン適用</t>
        </is>
      </c>
    </row>
    <row r="1285">
      <c r="A1285" t="inlineStr">
        <is>
          <t>SR054</t>
        </is>
      </c>
      <c r="B1285" t="inlineStr">
        <is>
          <t>営業担当054</t>
        </is>
      </c>
      <c r="C1285" t="inlineStr">
        <is>
          <t>パートナー営業部</t>
        </is>
      </c>
      <c r="D1285" s="3" t="n">
        <v>45881</v>
      </c>
      <c r="E1285" t="inlineStr">
        <is>
          <t>グリーンテック(株)</t>
        </is>
      </c>
      <c r="F1285" t="inlineStr">
        <is>
          <t>大阪府</t>
        </is>
      </c>
      <c r="G1285" t="inlineStr">
        <is>
          <t>導入支援</t>
        </is>
      </c>
      <c r="H1285" t="inlineStr">
        <is>
          <t>初期設定支援</t>
        </is>
      </c>
      <c r="I1285" s="4" t="n">
        <v>4</v>
      </c>
      <c r="J1285" s="4" t="n">
        <v>87800</v>
      </c>
      <c r="K1285" s="4">
        <f>I1285*J1285</f>
        <v/>
      </c>
      <c r="L1285" t="inlineStr"/>
    </row>
    <row r="1286">
      <c r="A1286" t="inlineStr">
        <is>
          <t>SR054</t>
        </is>
      </c>
      <c r="B1286" t="inlineStr">
        <is>
          <t>営業担当054</t>
        </is>
      </c>
      <c r="C1286" t="inlineStr">
        <is>
          <t>パートナー営業部</t>
        </is>
      </c>
      <c r="D1286" s="3" t="n">
        <v>45883</v>
      </c>
      <c r="E1286" t="inlineStr">
        <is>
          <t>大和精機(株)</t>
        </is>
      </c>
      <c r="F1286" t="inlineStr">
        <is>
          <t>兵庫県</t>
        </is>
      </c>
      <c r="G1286" t="inlineStr">
        <is>
          <t>ハードウェア</t>
        </is>
      </c>
      <c r="H1286" t="inlineStr">
        <is>
          <t>ネットワークカメラ</t>
        </is>
      </c>
      <c r="I1286" s="4" t="n">
        <v>2</v>
      </c>
      <c r="J1286" s="4" t="n">
        <v>54800</v>
      </c>
      <c r="K1286" s="4">
        <f>I1286*J1286</f>
        <v/>
      </c>
      <c r="L1286" t="inlineStr">
        <is>
          <t>リピート受注</t>
        </is>
      </c>
    </row>
    <row r="1287">
      <c r="A1287" t="inlineStr">
        <is>
          <t>SR054</t>
        </is>
      </c>
      <c r="B1287" t="inlineStr">
        <is>
          <t>営業担当054</t>
        </is>
      </c>
      <c r="C1287" t="inlineStr">
        <is>
          <t>パートナー営業部</t>
        </is>
      </c>
      <c r="D1287" s="3" t="n">
        <v>45907</v>
      </c>
      <c r="E1287" t="inlineStr">
        <is>
          <t>星和商会(株)</t>
        </is>
      </c>
      <c r="F1287" t="inlineStr">
        <is>
          <t>福岡県</t>
        </is>
      </c>
      <c r="G1287" t="inlineStr">
        <is>
          <t>保守サービス</t>
        </is>
      </c>
      <c r="H1287" t="inlineStr">
        <is>
          <t>年間保守契約</t>
        </is>
      </c>
      <c r="I1287" s="4" t="n">
        <v>3</v>
      </c>
      <c r="J1287" s="4" t="n">
        <v>126700</v>
      </c>
      <c r="K1287" s="4">
        <f>I1287*J1287</f>
        <v/>
      </c>
      <c r="L1287" t="inlineStr"/>
    </row>
    <row r="1288">
      <c r="A1288" t="inlineStr">
        <is>
          <t>SR054</t>
        </is>
      </c>
      <c r="B1288" t="inlineStr">
        <is>
          <t>営業担当054</t>
        </is>
      </c>
      <c r="C1288" t="inlineStr">
        <is>
          <t>パートナー営業部</t>
        </is>
      </c>
      <c r="D1288" s="3" t="n">
        <v>45912</v>
      </c>
      <c r="E1288" t="inlineStr">
        <is>
          <t>中央設備(株)</t>
        </is>
      </c>
      <c r="F1288" t="inlineStr">
        <is>
          <t>広島県</t>
        </is>
      </c>
      <c r="G1288" t="inlineStr">
        <is>
          <t>保守サービス</t>
        </is>
      </c>
      <c r="H1288" t="inlineStr">
        <is>
          <t>オンサイト保守</t>
        </is>
      </c>
      <c r="I1288" s="4" t="n">
        <v>1</v>
      </c>
      <c r="J1288" s="4" t="n">
        <v>40400</v>
      </c>
      <c r="K1288" s="4">
        <f>I1288*J1288</f>
        <v/>
      </c>
      <c r="L1288" t="inlineStr"/>
    </row>
    <row r="1289">
      <c r="A1289" t="inlineStr">
        <is>
          <t>SR054</t>
        </is>
      </c>
      <c r="B1289" t="inlineStr">
        <is>
          <t>営業担当054</t>
        </is>
      </c>
      <c r="C1289" t="inlineStr">
        <is>
          <t>パートナー営業部</t>
        </is>
      </c>
      <c r="D1289" s="3" t="n">
        <v>45955</v>
      </c>
      <c r="E1289" t="inlineStr">
        <is>
          <t>グリーンテック(株)</t>
        </is>
      </c>
      <c r="F1289" t="inlineStr">
        <is>
          <t>福岡県</t>
        </is>
      </c>
      <c r="G1289" t="inlineStr">
        <is>
          <t>導入支援</t>
        </is>
      </c>
      <c r="H1289" t="inlineStr">
        <is>
          <t>データ移行支援</t>
        </is>
      </c>
      <c r="I1289" s="4" t="n">
        <v>4</v>
      </c>
      <c r="J1289" s="4" t="n">
        <v>107500</v>
      </c>
      <c r="K1289" s="4">
        <f>I1289*J1289</f>
        <v/>
      </c>
      <c r="L1289" t="inlineStr"/>
    </row>
    <row r="1290">
      <c r="A1290" t="inlineStr">
        <is>
          <t>SR054</t>
        </is>
      </c>
      <c r="B1290" t="inlineStr">
        <is>
          <t>営業担当054</t>
        </is>
      </c>
      <c r="C1290" t="inlineStr">
        <is>
          <t>パートナー営業部</t>
        </is>
      </c>
      <c r="D1290" s="3" t="n">
        <v>45957</v>
      </c>
      <c r="E1290" t="inlineStr">
        <is>
          <t>日新サービス有限会社</t>
        </is>
      </c>
      <c r="F1290" t="inlineStr">
        <is>
          <t>兵庫県</t>
        </is>
      </c>
      <c r="G1290" t="inlineStr">
        <is>
          <t>ハードウェア</t>
        </is>
      </c>
      <c r="H1290" t="inlineStr">
        <is>
          <t>産業用タブレット</t>
        </is>
      </c>
      <c r="I1290" s="4" t="n">
        <v>2</v>
      </c>
      <c r="J1290" s="4" t="n">
        <v>75300</v>
      </c>
      <c r="K1290" s="4">
        <f>I1290*J1290</f>
        <v/>
      </c>
      <c r="L1290" t="inlineStr">
        <is>
          <t>キャンペーン適用</t>
        </is>
      </c>
    </row>
    <row r="1291">
      <c r="A1291" t="inlineStr">
        <is>
          <t>SR054</t>
        </is>
      </c>
      <c r="B1291" t="inlineStr">
        <is>
          <t>営業担当054</t>
        </is>
      </c>
      <c r="C1291" t="inlineStr">
        <is>
          <t>パートナー営業部</t>
        </is>
      </c>
      <c r="D1291" s="3" t="n">
        <v>45969</v>
      </c>
      <c r="E1291" t="inlineStr">
        <is>
          <t>白峰化学有限会社</t>
        </is>
      </c>
      <c r="F1291" t="inlineStr">
        <is>
          <t>宮城県</t>
        </is>
      </c>
      <c r="G1291" t="inlineStr">
        <is>
          <t>ソフトウェア</t>
        </is>
      </c>
      <c r="H1291" t="inlineStr">
        <is>
          <t>営業支援SaaS</t>
        </is>
      </c>
      <c r="I1291" s="4" t="n">
        <v>1</v>
      </c>
      <c r="J1291" s="4" t="n">
        <v>160800</v>
      </c>
      <c r="K1291" s="4">
        <f>I1291*J1291</f>
        <v/>
      </c>
      <c r="L1291" t="inlineStr">
        <is>
          <t>キャンペーン適用</t>
        </is>
      </c>
    </row>
    <row r="1292">
      <c r="A1292" t="inlineStr">
        <is>
          <t>SR054</t>
        </is>
      </c>
      <c r="B1292" t="inlineStr">
        <is>
          <t>営業担当054</t>
        </is>
      </c>
      <c r="C1292" t="inlineStr">
        <is>
          <t>パートナー営業部</t>
        </is>
      </c>
      <c r="D1292" s="3" t="n">
        <v>45980</v>
      </c>
      <c r="E1292" t="inlineStr">
        <is>
          <t>アーク電機有限会社</t>
        </is>
      </c>
      <c r="F1292" t="inlineStr">
        <is>
          <t>神奈川県</t>
        </is>
      </c>
      <c r="G1292" t="inlineStr">
        <is>
          <t>ハードウェア</t>
        </is>
      </c>
      <c r="H1292" t="inlineStr">
        <is>
          <t>産業用タブレット</t>
        </is>
      </c>
      <c r="I1292" s="4" t="n">
        <v>3</v>
      </c>
      <c r="J1292" s="4" t="n">
        <v>81000</v>
      </c>
      <c r="K1292" s="4">
        <f>I1292*J1292</f>
        <v/>
      </c>
      <c r="L1292" t="inlineStr"/>
    </row>
    <row r="1293">
      <c r="A1293" t="inlineStr">
        <is>
          <t>SR054</t>
        </is>
      </c>
      <c r="B1293" t="inlineStr">
        <is>
          <t>営業担当054</t>
        </is>
      </c>
      <c r="C1293" t="inlineStr">
        <is>
          <t>パートナー営業部</t>
        </is>
      </c>
      <c r="D1293" s="3" t="n">
        <v>46004</v>
      </c>
      <c r="E1293" t="inlineStr">
        <is>
          <t>青葉商事株式会社</t>
        </is>
      </c>
      <c r="F1293" t="inlineStr">
        <is>
          <t>東京都</t>
        </is>
      </c>
      <c r="G1293" t="inlineStr">
        <is>
          <t>ソフトウェア</t>
        </is>
      </c>
      <c r="H1293" t="inlineStr">
        <is>
          <t>営業支援SaaS</t>
        </is>
      </c>
      <c r="I1293" s="4" t="n">
        <v>2</v>
      </c>
      <c r="J1293" s="4" t="n">
        <v>154200</v>
      </c>
      <c r="K1293" s="4">
        <f>I1293*J1293</f>
        <v/>
      </c>
      <c r="L1293" t="inlineStr">
        <is>
          <t>リピート受注</t>
        </is>
      </c>
    </row>
    <row r="1294">
      <c r="A1294" t="inlineStr">
        <is>
          <t>SR054</t>
        </is>
      </c>
      <c r="B1294" t="inlineStr">
        <is>
          <t>営業担当054</t>
        </is>
      </c>
      <c r="C1294" t="inlineStr">
        <is>
          <t>パートナー営業部</t>
        </is>
      </c>
      <c r="D1294" s="3" t="n">
        <v>46016</v>
      </c>
      <c r="E1294" t="inlineStr">
        <is>
          <t>日新サービス(株)</t>
        </is>
      </c>
      <c r="F1294" t="inlineStr">
        <is>
          <t>北海道</t>
        </is>
      </c>
      <c r="G1294" t="inlineStr">
        <is>
          <t>導入支援</t>
        </is>
      </c>
      <c r="H1294" t="inlineStr">
        <is>
          <t>データ移行支援</t>
        </is>
      </c>
      <c r="I1294" s="4" t="n">
        <v>4</v>
      </c>
      <c r="J1294" s="4" t="n">
        <v>249500</v>
      </c>
      <c r="K1294" s="4">
        <f>I1294*J1294</f>
        <v/>
      </c>
      <c r="L1294" t="inlineStr">
        <is>
          <t>新規開拓</t>
        </is>
      </c>
    </row>
    <row r="1295">
      <c r="A1295" t="inlineStr">
        <is>
          <t>SR054</t>
        </is>
      </c>
      <c r="B1295" t="inlineStr">
        <is>
          <t>営業担当054</t>
        </is>
      </c>
      <c r="C1295" t="inlineStr">
        <is>
          <t>パートナー営業部</t>
        </is>
      </c>
      <c r="D1295" s="3" t="n">
        <v>46027</v>
      </c>
      <c r="E1295" t="inlineStr">
        <is>
          <t>桜井メディカル(株)</t>
        </is>
      </c>
      <c r="F1295" t="inlineStr">
        <is>
          <t>宮城県</t>
        </is>
      </c>
      <c r="G1295" t="inlineStr">
        <is>
          <t>消耗品</t>
        </is>
      </c>
      <c r="H1295" t="inlineStr">
        <is>
          <t>保守用バッテリー</t>
        </is>
      </c>
      <c r="I1295" s="4" t="n">
        <v>9</v>
      </c>
      <c r="J1295" s="4" t="n">
        <v>16730</v>
      </c>
      <c r="K1295" s="4">
        <f>I1295*J1295</f>
        <v/>
      </c>
      <c r="L1295" t="inlineStr">
        <is>
          <t>分納</t>
        </is>
      </c>
    </row>
    <row r="1296">
      <c r="A1296" t="inlineStr">
        <is>
          <t>SR054</t>
        </is>
      </c>
      <c r="B1296" t="inlineStr">
        <is>
          <t>営業担当054</t>
        </is>
      </c>
      <c r="C1296" t="inlineStr">
        <is>
          <t>パートナー営業部</t>
        </is>
      </c>
      <c r="D1296" s="3" t="n">
        <v>46027</v>
      </c>
      <c r="E1296" t="inlineStr">
        <is>
          <t>ライトホーム株式会社</t>
        </is>
      </c>
      <c r="F1296" t="inlineStr">
        <is>
          <t>東京都</t>
        </is>
      </c>
      <c r="G1296" t="inlineStr">
        <is>
          <t>ソフトウェア</t>
        </is>
      </c>
      <c r="H1296" t="inlineStr">
        <is>
          <t>帳票自動化ツール</t>
        </is>
      </c>
      <c r="I1296" s="4" t="n">
        <v>1</v>
      </c>
      <c r="J1296" s="4" t="n">
        <v>232800</v>
      </c>
      <c r="K1296" s="4">
        <f>I1296*J1296</f>
        <v/>
      </c>
      <c r="L1296" t="inlineStr"/>
    </row>
    <row r="1297">
      <c r="A1297" t="inlineStr">
        <is>
          <t>SR054</t>
        </is>
      </c>
      <c r="B1297" t="inlineStr">
        <is>
          <t>営業担当054</t>
        </is>
      </c>
      <c r="C1297" t="inlineStr">
        <is>
          <t>パートナー営業部</t>
        </is>
      </c>
      <c r="D1297" s="3" t="n">
        <v>46069</v>
      </c>
      <c r="E1297" t="inlineStr">
        <is>
          <t>星和商会(株)</t>
        </is>
      </c>
      <c r="F1297" t="inlineStr">
        <is>
          <t>福岡県</t>
        </is>
      </c>
      <c r="G1297" t="inlineStr">
        <is>
          <t>保守サービス</t>
        </is>
      </c>
      <c r="H1297" t="inlineStr">
        <is>
          <t>オンサイト保守</t>
        </is>
      </c>
      <c r="I1297" s="4" t="n">
        <v>4</v>
      </c>
      <c r="J1297" s="4" t="n">
        <v>71600</v>
      </c>
      <c r="K1297" s="4">
        <f>I1297*J1297</f>
        <v/>
      </c>
      <c r="L1297" t="inlineStr">
        <is>
          <t>大型案件</t>
        </is>
      </c>
    </row>
    <row r="1298">
      <c r="A1298" t="inlineStr">
        <is>
          <t>SR054</t>
        </is>
      </c>
      <c r="B1298" t="inlineStr">
        <is>
          <t>営業担当054</t>
        </is>
      </c>
      <c r="C1298" t="inlineStr">
        <is>
          <t>パートナー営業部</t>
        </is>
      </c>
      <c r="D1298" s="3" t="n">
        <v>46071</v>
      </c>
      <c r="E1298" t="inlineStr">
        <is>
          <t>九州エナジー株式会社</t>
        </is>
      </c>
      <c r="F1298" t="inlineStr">
        <is>
          <t>宮城県</t>
        </is>
      </c>
      <c r="G1298" t="inlineStr">
        <is>
          <t>ソフトウェア</t>
        </is>
      </c>
      <c r="H1298" t="inlineStr">
        <is>
          <t>AIチャットボット</t>
        </is>
      </c>
      <c r="I1298" s="4" t="n">
        <v>5</v>
      </c>
      <c r="J1298" s="4" t="n">
        <v>723300</v>
      </c>
      <c r="K1298" s="4">
        <f>I1298*J1298</f>
        <v/>
      </c>
      <c r="L1298" t="inlineStr">
        <is>
          <t>大型案件</t>
        </is>
      </c>
    </row>
    <row r="1299">
      <c r="A1299" t="inlineStr">
        <is>
          <t>SR054</t>
        </is>
      </c>
      <c r="B1299" t="inlineStr">
        <is>
          <t>営業担当054</t>
        </is>
      </c>
      <c r="C1299" t="inlineStr">
        <is>
          <t>パートナー営業部</t>
        </is>
      </c>
      <c r="D1299" s="3" t="n">
        <v>46083</v>
      </c>
      <c r="E1299" t="inlineStr">
        <is>
          <t>九州エナジー有限会社</t>
        </is>
      </c>
      <c r="F1299" t="inlineStr">
        <is>
          <t>神奈川県</t>
        </is>
      </c>
      <c r="G1299" t="inlineStr">
        <is>
          <t>消耗品</t>
        </is>
      </c>
      <c r="H1299" t="inlineStr">
        <is>
          <t>ラベルロール</t>
        </is>
      </c>
      <c r="I1299" s="4" t="n">
        <v>1</v>
      </c>
      <c r="J1299" s="4" t="n">
        <v>3110</v>
      </c>
      <c r="K1299" s="4">
        <f>I1299*J1299</f>
        <v/>
      </c>
      <c r="L1299" t="inlineStr"/>
    </row>
    <row r="1300">
      <c r="A1300" t="inlineStr">
        <is>
          <t>SR054</t>
        </is>
      </c>
      <c r="B1300" t="inlineStr">
        <is>
          <t>営業担当054</t>
        </is>
      </c>
      <c r="C1300" t="inlineStr">
        <is>
          <t>パートナー営業部</t>
        </is>
      </c>
      <c r="D1300" s="3" t="n">
        <v>46104</v>
      </c>
      <c r="E1300" t="inlineStr">
        <is>
          <t>みらい物流株式会社</t>
        </is>
      </c>
      <c r="F1300" t="inlineStr">
        <is>
          <t>北海道</t>
        </is>
      </c>
      <c r="G1300" t="inlineStr">
        <is>
          <t>ソフトウェア</t>
        </is>
      </c>
      <c r="H1300" t="inlineStr">
        <is>
          <t>営業支援SaaS</t>
        </is>
      </c>
      <c r="I1300" s="4" t="n">
        <v>1</v>
      </c>
      <c r="J1300" s="4" t="n">
        <v>268400</v>
      </c>
      <c r="K1300" s="4">
        <f>I1300*J1300</f>
        <v/>
      </c>
      <c r="L1300" t="inlineStr">
        <is>
          <t>値引き調整あり</t>
        </is>
      </c>
    </row>
    <row r="1301">
      <c r="A1301" t="inlineStr">
        <is>
          <t>SR055</t>
        </is>
      </c>
      <c r="B1301" t="inlineStr">
        <is>
          <t>営業担当055</t>
        </is>
      </c>
      <c r="C1301" t="inlineStr">
        <is>
          <t>インサイドセールス部</t>
        </is>
      </c>
      <c r="D1301" s="3" t="n">
        <v>45759</v>
      </c>
      <c r="E1301" t="inlineStr">
        <is>
          <t>ライトホーム(株)</t>
        </is>
      </c>
      <c r="F1301" t="inlineStr">
        <is>
          <t>東京都</t>
        </is>
      </c>
      <c r="G1301" t="inlineStr">
        <is>
          <t>ハードウェア</t>
        </is>
      </c>
      <c r="H1301" t="inlineStr">
        <is>
          <t>ラベルプリンター</t>
        </is>
      </c>
      <c r="I1301" s="4" t="n">
        <v>2</v>
      </c>
      <c r="J1301" s="4" t="n">
        <v>65700</v>
      </c>
      <c r="K1301" s="4">
        <f>I1301*J1301</f>
        <v/>
      </c>
      <c r="L1301" t="inlineStr"/>
    </row>
    <row r="1302">
      <c r="A1302" t="inlineStr">
        <is>
          <t>SR055</t>
        </is>
      </c>
      <c r="B1302" t="inlineStr">
        <is>
          <t>営業担当055</t>
        </is>
      </c>
      <c r="C1302" t="inlineStr">
        <is>
          <t>インサイドセールス部</t>
        </is>
      </c>
      <c r="D1302" s="3" t="n">
        <v>45763</v>
      </c>
      <c r="E1302" t="inlineStr">
        <is>
          <t>グリーンテック株式会社</t>
        </is>
      </c>
      <c r="F1302" t="inlineStr">
        <is>
          <t>東京都</t>
        </is>
      </c>
      <c r="G1302" t="inlineStr">
        <is>
          <t>保守サービス</t>
        </is>
      </c>
      <c r="H1302" t="inlineStr">
        <is>
          <t>オンサイト保守</t>
        </is>
      </c>
      <c r="I1302" s="4" t="n">
        <v>2</v>
      </c>
      <c r="J1302" s="4" t="n">
        <v>100300</v>
      </c>
      <c r="K1302" s="4">
        <f>I1302*J1302</f>
        <v/>
      </c>
      <c r="L1302" t="inlineStr">
        <is>
          <t>分納</t>
        </is>
      </c>
    </row>
    <row r="1303">
      <c r="A1303" t="inlineStr">
        <is>
          <t>SR055</t>
        </is>
      </c>
      <c r="B1303" t="inlineStr">
        <is>
          <t>営業担当055</t>
        </is>
      </c>
      <c r="C1303" t="inlineStr">
        <is>
          <t>インサイドセールス部</t>
        </is>
      </c>
      <c r="D1303" s="3" t="n">
        <v>45780</v>
      </c>
      <c r="E1303" t="inlineStr">
        <is>
          <t>東洋フーズ有限会社</t>
        </is>
      </c>
      <c r="F1303" t="inlineStr">
        <is>
          <t>東京都</t>
        </is>
      </c>
      <c r="G1303" t="inlineStr">
        <is>
          <t>保守サービス</t>
        </is>
      </c>
      <c r="H1303" t="inlineStr">
        <is>
          <t>年間保守契約</t>
        </is>
      </c>
      <c r="I1303" s="4" t="n">
        <v>5</v>
      </c>
      <c r="J1303" s="4" t="n">
        <v>142600</v>
      </c>
      <c r="K1303" s="4">
        <f>I1303*J1303</f>
        <v/>
      </c>
      <c r="L1303" t="inlineStr"/>
    </row>
    <row r="1304">
      <c r="A1304" t="inlineStr">
        <is>
          <t>SR055</t>
        </is>
      </c>
      <c r="B1304" t="inlineStr">
        <is>
          <t>営業担当055</t>
        </is>
      </c>
      <c r="C1304" t="inlineStr">
        <is>
          <t>インサイドセールス部</t>
        </is>
      </c>
      <c r="D1304" s="3" t="n">
        <v>45782</v>
      </c>
      <c r="E1304" t="inlineStr">
        <is>
          <t>九州エナジー(株)</t>
        </is>
      </c>
      <c r="F1304" t="inlineStr">
        <is>
          <t>愛知県</t>
        </is>
      </c>
      <c r="G1304" t="inlineStr">
        <is>
          <t>ハードウェア</t>
        </is>
      </c>
      <c r="H1304" t="inlineStr">
        <is>
          <t>小型ハンディ端末</t>
        </is>
      </c>
      <c r="I1304" s="4" t="n">
        <v>1</v>
      </c>
      <c r="J1304" s="4" t="n">
        <v>59100</v>
      </c>
      <c r="K1304" s="4">
        <f>I1304*J1304</f>
        <v/>
      </c>
      <c r="L1304" t="inlineStr"/>
    </row>
    <row r="1305">
      <c r="A1305" t="inlineStr">
        <is>
          <t>SR055</t>
        </is>
      </c>
      <c r="B1305" t="inlineStr">
        <is>
          <t>営業担当055</t>
        </is>
      </c>
      <c r="C1305" t="inlineStr">
        <is>
          <t>インサイドセールス部</t>
        </is>
      </c>
      <c r="D1305" s="3" t="n">
        <v>45816</v>
      </c>
      <c r="E1305" t="inlineStr">
        <is>
          <t>未来通信株式会社</t>
        </is>
      </c>
      <c r="F1305" t="inlineStr">
        <is>
          <t>兵庫県</t>
        </is>
      </c>
      <c r="G1305" t="inlineStr">
        <is>
          <t>消耗品</t>
        </is>
      </c>
      <c r="H1305" t="inlineStr">
        <is>
          <t>ラベルロール</t>
        </is>
      </c>
      <c r="I1305" s="4" t="n">
        <v>10</v>
      </c>
      <c r="J1305" s="4" t="n">
        <v>12100</v>
      </c>
      <c r="K1305" s="4">
        <f>I1305*J1305</f>
        <v/>
      </c>
      <c r="L1305" t="inlineStr"/>
    </row>
    <row r="1306">
      <c r="A1306" t="inlineStr">
        <is>
          <t>SR055</t>
        </is>
      </c>
      <c r="B1306" t="inlineStr">
        <is>
          <t>営業担当055</t>
        </is>
      </c>
      <c r="C1306" t="inlineStr">
        <is>
          <t>インサイドセールス部</t>
        </is>
      </c>
      <c r="D1306" s="3" t="n">
        <v>45831</v>
      </c>
      <c r="E1306" t="inlineStr">
        <is>
          <t>グリーンテック(株)</t>
        </is>
      </c>
      <c r="F1306" t="inlineStr">
        <is>
          <t>東京都</t>
        </is>
      </c>
      <c r="G1306" t="inlineStr">
        <is>
          <t>導入支援</t>
        </is>
      </c>
      <c r="H1306" t="inlineStr">
        <is>
          <t>データ移行支援</t>
        </is>
      </c>
      <c r="I1306" s="4" t="n">
        <v>1</v>
      </c>
      <c r="J1306" s="4" t="n">
        <v>123400</v>
      </c>
      <c r="K1306" s="4">
        <f>I1306*J1306</f>
        <v/>
      </c>
      <c r="L1306" t="inlineStr"/>
    </row>
    <row r="1307">
      <c r="A1307" t="inlineStr">
        <is>
          <t>SR055</t>
        </is>
      </c>
      <c r="B1307" t="inlineStr">
        <is>
          <t>営業担当055</t>
        </is>
      </c>
      <c r="C1307" t="inlineStr">
        <is>
          <t>インサイドセールス部</t>
        </is>
      </c>
      <c r="D1307" s="3" t="n">
        <v>45840</v>
      </c>
      <c r="E1307" t="inlineStr">
        <is>
          <t>オーシャン製作所株式会社</t>
        </is>
      </c>
      <c r="F1307" t="inlineStr">
        <is>
          <t>神奈川県</t>
        </is>
      </c>
      <c r="G1307" t="inlineStr">
        <is>
          <t>ソフトウェア</t>
        </is>
      </c>
      <c r="H1307" t="inlineStr">
        <is>
          <t>帳票自動化ツール</t>
        </is>
      </c>
      <c r="I1307" s="4" t="n">
        <v>3</v>
      </c>
      <c r="J1307" s="4" t="n">
        <v>313000</v>
      </c>
      <c r="K1307" s="4">
        <f>I1307*J1307</f>
        <v/>
      </c>
      <c r="L1307" t="inlineStr">
        <is>
          <t>値引き調整あり</t>
        </is>
      </c>
    </row>
    <row r="1308">
      <c r="A1308" t="inlineStr">
        <is>
          <t>SR055</t>
        </is>
      </c>
      <c r="B1308" t="inlineStr">
        <is>
          <t>営業担当055</t>
        </is>
      </c>
      <c r="C1308" t="inlineStr">
        <is>
          <t>インサイドセールス部</t>
        </is>
      </c>
      <c r="D1308" s="3" t="n">
        <v>45854</v>
      </c>
      <c r="E1308" t="inlineStr">
        <is>
          <t>ライトホーム株式会社</t>
        </is>
      </c>
      <c r="F1308" t="inlineStr">
        <is>
          <t>東京都</t>
        </is>
      </c>
      <c r="G1308" t="inlineStr">
        <is>
          <t>ハードウェア</t>
        </is>
      </c>
      <c r="H1308" t="inlineStr">
        <is>
          <t>ラベルプリンター</t>
        </is>
      </c>
      <c r="I1308" s="4" t="n">
        <v>2</v>
      </c>
      <c r="J1308" s="4" t="n">
        <v>42000</v>
      </c>
      <c r="K1308" s="4">
        <f>I1308*J1308</f>
        <v/>
      </c>
      <c r="L1308" t="inlineStr">
        <is>
          <t>大型案件</t>
        </is>
      </c>
    </row>
    <row r="1309">
      <c r="A1309" t="inlineStr">
        <is>
          <t>SR055</t>
        </is>
      </c>
      <c r="B1309" t="inlineStr">
        <is>
          <t>営業担当055</t>
        </is>
      </c>
      <c r="C1309" t="inlineStr">
        <is>
          <t>インサイドセールス部</t>
        </is>
      </c>
      <c r="D1309" s="3" t="n">
        <v>45872</v>
      </c>
      <c r="E1309" t="inlineStr">
        <is>
          <t>青葉商事有限会社</t>
        </is>
      </c>
      <c r="F1309" t="inlineStr">
        <is>
          <t>宮城県</t>
        </is>
      </c>
      <c r="G1309" t="inlineStr">
        <is>
          <t>ハードウェア</t>
        </is>
      </c>
      <c r="H1309" t="inlineStr">
        <is>
          <t>小型ハンディ端末</t>
        </is>
      </c>
      <c r="I1309" s="4" t="n">
        <v>4</v>
      </c>
      <c r="J1309" s="4" t="n">
        <v>59300</v>
      </c>
      <c r="K1309" s="4">
        <f>I1309*J1309</f>
        <v/>
      </c>
      <c r="L1309" t="inlineStr">
        <is>
          <t>値引き調整あり</t>
        </is>
      </c>
    </row>
    <row r="1310">
      <c r="A1310" t="inlineStr">
        <is>
          <t>SR055</t>
        </is>
      </c>
      <c r="B1310" t="inlineStr">
        <is>
          <t>営業担当055</t>
        </is>
      </c>
      <c r="C1310" t="inlineStr">
        <is>
          <t>インサイドセールス部</t>
        </is>
      </c>
      <c r="D1310" s="3" t="n">
        <v>45876</v>
      </c>
      <c r="E1310" t="inlineStr">
        <is>
          <t>オーシャン製作所(株)</t>
        </is>
      </c>
      <c r="F1310" t="inlineStr">
        <is>
          <t>北海道</t>
        </is>
      </c>
      <c r="G1310" t="inlineStr">
        <is>
          <t>ハードウェア</t>
        </is>
      </c>
      <c r="H1310" t="inlineStr">
        <is>
          <t>産業用タブレット</t>
        </is>
      </c>
      <c r="I1310" s="4" t="n">
        <v>3</v>
      </c>
      <c r="J1310" s="4" t="n">
        <v>109700</v>
      </c>
      <c r="K1310" s="4">
        <f>I1310*J1310</f>
        <v/>
      </c>
      <c r="L1310" t="inlineStr">
        <is>
          <t>値引き調整あり</t>
        </is>
      </c>
    </row>
    <row r="1311">
      <c r="A1311" t="inlineStr">
        <is>
          <t>SR055</t>
        </is>
      </c>
      <c r="B1311" t="inlineStr">
        <is>
          <t>営業担当055</t>
        </is>
      </c>
      <c r="C1311" t="inlineStr">
        <is>
          <t>インサイドセールス部</t>
        </is>
      </c>
      <c r="D1311" s="3" t="n">
        <v>45904</v>
      </c>
      <c r="E1311" t="inlineStr">
        <is>
          <t>大和精機株式会社</t>
        </is>
      </c>
      <c r="F1311" t="inlineStr">
        <is>
          <t>東京都</t>
        </is>
      </c>
      <c r="G1311" t="inlineStr">
        <is>
          <t>消耗品</t>
        </is>
      </c>
      <c r="H1311" t="inlineStr">
        <is>
          <t>保守用バッテリー</t>
        </is>
      </c>
      <c r="I1311" s="4" t="n">
        <v>8</v>
      </c>
      <c r="J1311" s="4" t="n">
        <v>17800</v>
      </c>
      <c r="K1311" s="4">
        <f>I1311*J1311</f>
        <v/>
      </c>
      <c r="L1311" t="inlineStr"/>
    </row>
    <row r="1312">
      <c r="A1312" t="inlineStr">
        <is>
          <t>SR055</t>
        </is>
      </c>
      <c r="B1312" t="inlineStr">
        <is>
          <t>営業担当055</t>
        </is>
      </c>
      <c r="C1312" t="inlineStr">
        <is>
          <t>インサイドセールス部</t>
        </is>
      </c>
      <c r="D1312" s="3" t="n">
        <v>45923</v>
      </c>
      <c r="E1312" t="inlineStr">
        <is>
          <t>サンライズ建設(株)</t>
        </is>
      </c>
      <c r="F1312" t="inlineStr">
        <is>
          <t>宮城県</t>
        </is>
      </c>
      <c r="G1312" t="inlineStr">
        <is>
          <t>保守サービス</t>
        </is>
      </c>
      <c r="H1312" t="inlineStr">
        <is>
          <t>オンサイト保守</t>
        </is>
      </c>
      <c r="I1312" s="4" t="n">
        <v>1</v>
      </c>
      <c r="J1312" s="4" t="n">
        <v>98700</v>
      </c>
      <c r="K1312" s="4">
        <f>I1312*J1312</f>
        <v/>
      </c>
      <c r="L1312" t="inlineStr"/>
    </row>
    <row r="1313">
      <c r="A1313" t="inlineStr">
        <is>
          <t>SR055</t>
        </is>
      </c>
      <c r="B1313" t="inlineStr">
        <is>
          <t>営業担当055</t>
        </is>
      </c>
      <c r="C1313" t="inlineStr">
        <is>
          <t>インサイドセールス部</t>
        </is>
      </c>
      <c r="D1313" s="3" t="n">
        <v>45935</v>
      </c>
      <c r="E1313" t="inlineStr">
        <is>
          <t>北斗産業有限会社</t>
        </is>
      </c>
      <c r="F1313" t="inlineStr">
        <is>
          <t>東京都</t>
        </is>
      </c>
      <c r="G1313" t="inlineStr">
        <is>
          <t>消耗品</t>
        </is>
      </c>
      <c r="H1313" t="inlineStr">
        <is>
          <t>ラベルロール</t>
        </is>
      </c>
      <c r="I1313" s="4" t="n">
        <v>9</v>
      </c>
      <c r="J1313" s="4" t="n">
        <v>5480</v>
      </c>
      <c r="K1313" s="4">
        <f>I1313*J1313</f>
        <v/>
      </c>
      <c r="L1313" t="inlineStr"/>
    </row>
    <row r="1314">
      <c r="A1314" t="inlineStr">
        <is>
          <t>SR055</t>
        </is>
      </c>
      <c r="B1314" t="inlineStr">
        <is>
          <t>営業担当055</t>
        </is>
      </c>
      <c r="C1314" t="inlineStr">
        <is>
          <t>インサイドセールス部</t>
        </is>
      </c>
      <c r="D1314" s="3" t="n">
        <v>45940</v>
      </c>
      <c r="E1314" t="inlineStr">
        <is>
          <t>西日本機工株式会社</t>
        </is>
      </c>
      <c r="F1314" t="inlineStr">
        <is>
          <t>広島県</t>
        </is>
      </c>
      <c r="G1314" t="inlineStr">
        <is>
          <t>ソフトウェア</t>
        </is>
      </c>
      <c r="H1314" t="inlineStr">
        <is>
          <t>在庫管理クラウド</t>
        </is>
      </c>
      <c r="I1314" s="4" t="n">
        <v>2</v>
      </c>
      <c r="J1314" s="4" t="n">
        <v>268300</v>
      </c>
      <c r="K1314" s="4">
        <f>I1314*J1314</f>
        <v/>
      </c>
      <c r="L1314" t="inlineStr"/>
    </row>
    <row r="1315">
      <c r="A1315" t="inlineStr">
        <is>
          <t>SR055</t>
        </is>
      </c>
      <c r="B1315" t="inlineStr">
        <is>
          <t>営業担当055</t>
        </is>
      </c>
      <c r="C1315" t="inlineStr">
        <is>
          <t>インサイドセールス部</t>
        </is>
      </c>
      <c r="D1315" s="3" t="n">
        <v>45974</v>
      </c>
      <c r="E1315" t="inlineStr">
        <is>
          <t>アーク電機有限会社</t>
        </is>
      </c>
      <c r="F1315" t="inlineStr">
        <is>
          <t>広島県</t>
        </is>
      </c>
      <c r="G1315" t="inlineStr">
        <is>
          <t>消耗品</t>
        </is>
      </c>
      <c r="H1315" t="inlineStr">
        <is>
          <t>交換用ヘッド</t>
        </is>
      </c>
      <c r="I1315" s="4" t="n">
        <v>14</v>
      </c>
      <c r="J1315" s="4" t="n">
        <v>22560</v>
      </c>
      <c r="K1315" s="4">
        <f>I1315*J1315</f>
        <v/>
      </c>
      <c r="L1315" t="inlineStr">
        <is>
          <t>値引き調整あり</t>
        </is>
      </c>
    </row>
    <row r="1316">
      <c r="A1316" t="inlineStr">
        <is>
          <t>SR055</t>
        </is>
      </c>
      <c r="B1316" t="inlineStr">
        <is>
          <t>営業担当055</t>
        </is>
      </c>
      <c r="C1316" t="inlineStr">
        <is>
          <t>インサイドセールス部</t>
        </is>
      </c>
      <c r="D1316" s="3" t="n">
        <v>45986</v>
      </c>
      <c r="E1316" t="inlineStr">
        <is>
          <t>西日本機工有限会社</t>
        </is>
      </c>
      <c r="F1316" t="inlineStr">
        <is>
          <t>京都府</t>
        </is>
      </c>
      <c r="G1316" t="inlineStr">
        <is>
          <t>消耗品</t>
        </is>
      </c>
      <c r="H1316" t="inlineStr">
        <is>
          <t>交換用ヘッド</t>
        </is>
      </c>
      <c r="I1316" s="4" t="n">
        <v>9</v>
      </c>
      <c r="J1316" s="4" t="n">
        <v>25980</v>
      </c>
      <c r="K1316" s="4">
        <f>I1316*J1316</f>
        <v/>
      </c>
      <c r="L1316" t="inlineStr">
        <is>
          <t>分納</t>
        </is>
      </c>
    </row>
    <row r="1317">
      <c r="A1317" t="inlineStr">
        <is>
          <t>SR055</t>
        </is>
      </c>
      <c r="B1317" t="inlineStr">
        <is>
          <t>営業担当055</t>
        </is>
      </c>
      <c r="C1317" t="inlineStr">
        <is>
          <t>インサイドセールス部</t>
        </is>
      </c>
      <c r="D1317" s="3" t="n">
        <v>46001</v>
      </c>
      <c r="E1317" t="inlineStr">
        <is>
          <t>桜井メディカル(株)</t>
        </is>
      </c>
      <c r="F1317" t="inlineStr">
        <is>
          <t>福岡県</t>
        </is>
      </c>
      <c r="G1317" t="inlineStr">
        <is>
          <t>保守サービス</t>
        </is>
      </c>
      <c r="H1317" t="inlineStr">
        <is>
          <t>年間保守契約</t>
        </is>
      </c>
      <c r="I1317" s="4" t="n">
        <v>5</v>
      </c>
      <c r="J1317" s="4" t="n">
        <v>214600</v>
      </c>
      <c r="K1317" s="4">
        <f>I1317*J1317</f>
        <v/>
      </c>
      <c r="L1317" t="inlineStr"/>
    </row>
    <row r="1318">
      <c r="A1318" t="inlineStr">
        <is>
          <t>SR055</t>
        </is>
      </c>
      <c r="B1318" t="inlineStr">
        <is>
          <t>営業担当055</t>
        </is>
      </c>
      <c r="C1318" t="inlineStr">
        <is>
          <t>インサイドセールス部</t>
        </is>
      </c>
      <c r="D1318" s="3" t="n">
        <v>46017</v>
      </c>
      <c r="E1318" t="inlineStr">
        <is>
          <t>グリーンテック(株)</t>
        </is>
      </c>
      <c r="F1318" t="inlineStr">
        <is>
          <t>神奈川県</t>
        </is>
      </c>
      <c r="G1318" t="inlineStr">
        <is>
          <t>保守サービス</t>
        </is>
      </c>
      <c r="H1318" t="inlineStr">
        <is>
          <t>ヘルプデスク契約</t>
        </is>
      </c>
      <c r="I1318" s="4" t="n">
        <v>4</v>
      </c>
      <c r="J1318" s="4" t="n">
        <v>40000</v>
      </c>
      <c r="K1318" s="4">
        <f>I1318*J1318</f>
        <v/>
      </c>
      <c r="L1318" t="inlineStr">
        <is>
          <t>キャンペーン適用</t>
        </is>
      </c>
    </row>
    <row r="1319">
      <c r="A1319" t="inlineStr">
        <is>
          <t>SR055</t>
        </is>
      </c>
      <c r="B1319" t="inlineStr">
        <is>
          <t>営業担当055</t>
        </is>
      </c>
      <c r="C1319" t="inlineStr">
        <is>
          <t>インサイドセールス部</t>
        </is>
      </c>
      <c r="D1319" s="3" t="n">
        <v>46030</v>
      </c>
      <c r="E1319" t="inlineStr">
        <is>
          <t>東洋フーズ有限会社</t>
        </is>
      </c>
      <c r="F1319" t="inlineStr">
        <is>
          <t>兵庫県</t>
        </is>
      </c>
      <c r="G1319" t="inlineStr">
        <is>
          <t>ソフトウェア</t>
        </is>
      </c>
      <c r="H1319" t="inlineStr">
        <is>
          <t>営業支援SaaS</t>
        </is>
      </c>
      <c r="I1319" s="4" t="n">
        <v>5</v>
      </c>
      <c r="J1319" s="4" t="n">
        <v>323700</v>
      </c>
      <c r="K1319" s="4">
        <f>I1319*J1319</f>
        <v/>
      </c>
      <c r="L1319" t="inlineStr"/>
    </row>
    <row r="1320">
      <c r="A1320" t="inlineStr">
        <is>
          <t>SR055</t>
        </is>
      </c>
      <c r="B1320" t="inlineStr">
        <is>
          <t>営業担当055</t>
        </is>
      </c>
      <c r="C1320" t="inlineStr">
        <is>
          <t>インサイドセールス部</t>
        </is>
      </c>
      <c r="D1320" s="3" t="n">
        <v>46046</v>
      </c>
      <c r="E1320" t="inlineStr">
        <is>
          <t>東洋フーズ(株)</t>
        </is>
      </c>
      <c r="F1320" t="inlineStr">
        <is>
          <t>兵庫県</t>
        </is>
      </c>
      <c r="G1320" t="inlineStr">
        <is>
          <t>ソフトウェア</t>
        </is>
      </c>
      <c r="H1320" t="inlineStr">
        <is>
          <t>営業支援SaaS</t>
        </is>
      </c>
      <c r="I1320" s="4" t="n">
        <v>4</v>
      </c>
      <c r="J1320" s="4" t="n">
        <v>195200</v>
      </c>
      <c r="K1320" s="4">
        <f>I1320*J1320</f>
        <v/>
      </c>
      <c r="L1320" t="inlineStr">
        <is>
          <t>値引き調整あり</t>
        </is>
      </c>
    </row>
    <row r="1321">
      <c r="A1321" t="inlineStr">
        <is>
          <t>SR055</t>
        </is>
      </c>
      <c r="B1321" t="inlineStr">
        <is>
          <t>営業担当055</t>
        </is>
      </c>
      <c r="C1321" t="inlineStr">
        <is>
          <t>インサイドセールス部</t>
        </is>
      </c>
      <c r="D1321" s="3" t="n">
        <v>46073</v>
      </c>
      <c r="E1321" t="inlineStr">
        <is>
          <t>みらい物流有限会社</t>
        </is>
      </c>
      <c r="F1321" t="inlineStr">
        <is>
          <t>広島県</t>
        </is>
      </c>
      <c r="G1321" t="inlineStr">
        <is>
          <t>導入支援</t>
        </is>
      </c>
      <c r="H1321" t="inlineStr">
        <is>
          <t>データ移行支援</t>
        </is>
      </c>
      <c r="I1321" s="4" t="n">
        <v>4</v>
      </c>
      <c r="J1321" s="4" t="n">
        <v>235800</v>
      </c>
      <c r="K1321" s="4">
        <f>I1321*J1321</f>
        <v/>
      </c>
      <c r="L1321" t="inlineStr"/>
    </row>
    <row r="1322">
      <c r="A1322" t="inlineStr">
        <is>
          <t>SR055</t>
        </is>
      </c>
      <c r="B1322" t="inlineStr">
        <is>
          <t>営業担当055</t>
        </is>
      </c>
      <c r="C1322" t="inlineStr">
        <is>
          <t>インサイドセールス部</t>
        </is>
      </c>
      <c r="D1322" s="3" t="n">
        <v>46079</v>
      </c>
      <c r="E1322" t="inlineStr">
        <is>
          <t>青葉商事株式会社</t>
        </is>
      </c>
      <c r="F1322" t="inlineStr">
        <is>
          <t>神奈川県</t>
        </is>
      </c>
      <c r="G1322" t="inlineStr">
        <is>
          <t>消耗品</t>
        </is>
      </c>
      <c r="H1322" t="inlineStr">
        <is>
          <t>ラベルロール</t>
        </is>
      </c>
      <c r="I1322" s="4" t="n">
        <v>8</v>
      </c>
      <c r="J1322" s="4" t="n">
        <v>4120</v>
      </c>
      <c r="K1322" s="4">
        <f>I1322*J1322</f>
        <v/>
      </c>
      <c r="L1322" t="inlineStr">
        <is>
          <t>分納</t>
        </is>
      </c>
    </row>
    <row r="1323">
      <c r="A1323" t="inlineStr">
        <is>
          <t>SR055</t>
        </is>
      </c>
      <c r="B1323" t="inlineStr">
        <is>
          <t>営業担当055</t>
        </is>
      </c>
      <c r="C1323" t="inlineStr">
        <is>
          <t>インサイドセールス部</t>
        </is>
      </c>
      <c r="D1323" s="3" t="n">
        <v>46083</v>
      </c>
      <c r="E1323" t="inlineStr">
        <is>
          <t>福岡流通有限会社</t>
        </is>
      </c>
      <c r="F1323" t="inlineStr">
        <is>
          <t>宮城県</t>
        </is>
      </c>
      <c r="G1323" t="inlineStr">
        <is>
          <t>ハードウェア</t>
        </is>
      </c>
      <c r="H1323" t="inlineStr">
        <is>
          <t>ラベルプリンター</t>
        </is>
      </c>
      <c r="I1323" s="4" t="n">
        <v>1</v>
      </c>
      <c r="J1323" s="4" t="n">
        <v>43300</v>
      </c>
      <c r="K1323" s="4">
        <f>I1323*J1323</f>
        <v/>
      </c>
      <c r="L1323" t="inlineStr"/>
    </row>
    <row r="1324">
      <c r="A1324" t="inlineStr">
        <is>
          <t>SR055</t>
        </is>
      </c>
      <c r="B1324" t="inlineStr">
        <is>
          <t>営業担当055</t>
        </is>
      </c>
      <c r="C1324" t="inlineStr">
        <is>
          <t>インサイドセールス部</t>
        </is>
      </c>
      <c r="D1324" s="3" t="n">
        <v>46092</v>
      </c>
      <c r="E1324" t="inlineStr">
        <is>
          <t>西日本機工(株)</t>
        </is>
      </c>
      <c r="F1324" t="inlineStr">
        <is>
          <t>福岡県</t>
        </is>
      </c>
      <c r="G1324" t="inlineStr">
        <is>
          <t>ソフトウェア</t>
        </is>
      </c>
      <c r="H1324" t="inlineStr">
        <is>
          <t>帳票自動化ツール</t>
        </is>
      </c>
      <c r="I1324" s="4" t="n">
        <v>5</v>
      </c>
      <c r="J1324" s="4" t="n">
        <v>298800</v>
      </c>
      <c r="K1324" s="4">
        <f>I1324*J1324</f>
        <v/>
      </c>
      <c r="L1324" t="inlineStr">
        <is>
          <t>新規開拓</t>
        </is>
      </c>
    </row>
    <row r="1325">
      <c r="A1325" t="inlineStr">
        <is>
          <t>SR056</t>
        </is>
      </c>
      <c r="B1325" t="inlineStr">
        <is>
          <t>営業担当056</t>
        </is>
      </c>
      <c r="C1325" t="inlineStr">
        <is>
          <t>第1営業部</t>
        </is>
      </c>
      <c r="D1325" s="3" t="n">
        <v>45750</v>
      </c>
      <c r="E1325" t="inlineStr">
        <is>
          <t>みらい物流株式会社</t>
        </is>
      </c>
      <c r="F1325" t="inlineStr">
        <is>
          <t>広島県</t>
        </is>
      </c>
      <c r="G1325" t="inlineStr">
        <is>
          <t>保守サービス</t>
        </is>
      </c>
      <c r="H1325" t="inlineStr">
        <is>
          <t>オンサイト保守</t>
        </is>
      </c>
      <c r="I1325" s="4" t="n">
        <v>3</v>
      </c>
      <c r="J1325" s="4" t="n">
        <v>130500</v>
      </c>
      <c r="K1325" s="4">
        <f>I1325*J1325</f>
        <v/>
      </c>
      <c r="L1325" t="inlineStr"/>
    </row>
    <row r="1326">
      <c r="A1326" t="inlineStr">
        <is>
          <t>SR056</t>
        </is>
      </c>
      <c r="B1326" t="inlineStr">
        <is>
          <t>営業担当056</t>
        </is>
      </c>
      <c r="C1326" t="inlineStr">
        <is>
          <t>第1営業部</t>
        </is>
      </c>
      <c r="D1326" s="3" t="n">
        <v>45775</v>
      </c>
      <c r="E1326" t="inlineStr">
        <is>
          <t>アーク電機有限会社</t>
        </is>
      </c>
      <c r="F1326" t="inlineStr">
        <is>
          <t>愛知県</t>
        </is>
      </c>
      <c r="G1326" t="inlineStr">
        <is>
          <t>保守サービス</t>
        </is>
      </c>
      <c r="H1326" t="inlineStr">
        <is>
          <t>年間保守契約</t>
        </is>
      </c>
      <c r="I1326" s="4" t="n">
        <v>1</v>
      </c>
      <c r="J1326" s="4" t="n">
        <v>97800</v>
      </c>
      <c r="K1326" s="4">
        <f>I1326*J1326</f>
        <v/>
      </c>
      <c r="L1326" t="inlineStr">
        <is>
          <t>キャンペーン適用</t>
        </is>
      </c>
    </row>
    <row r="1327">
      <c r="A1327" t="inlineStr">
        <is>
          <t>SR056</t>
        </is>
      </c>
      <c r="B1327" t="inlineStr">
        <is>
          <t>営業担当056</t>
        </is>
      </c>
      <c r="C1327" t="inlineStr">
        <is>
          <t>第1営業部</t>
        </is>
      </c>
      <c r="D1327" s="3" t="n">
        <v>45781</v>
      </c>
      <c r="E1327" t="inlineStr">
        <is>
          <t>星和商会(株)</t>
        </is>
      </c>
      <c r="F1327" t="inlineStr">
        <is>
          <t>東京都</t>
        </is>
      </c>
      <c r="G1327" t="inlineStr">
        <is>
          <t>保守サービス</t>
        </is>
      </c>
      <c r="H1327" t="inlineStr">
        <is>
          <t>オンサイト保守</t>
        </is>
      </c>
      <c r="I1327" s="4" t="n">
        <v>4</v>
      </c>
      <c r="J1327" s="4" t="n">
        <v>123700</v>
      </c>
      <c r="K1327" s="4">
        <f>I1327*J1327</f>
        <v/>
      </c>
      <c r="L1327" t="inlineStr"/>
    </row>
    <row r="1328">
      <c r="A1328" t="inlineStr">
        <is>
          <t>SR056</t>
        </is>
      </c>
      <c r="B1328" t="inlineStr">
        <is>
          <t>営業担当056</t>
        </is>
      </c>
      <c r="C1328" t="inlineStr">
        <is>
          <t>第1営業部</t>
        </is>
      </c>
      <c r="D1328" s="3" t="n">
        <v>45788</v>
      </c>
      <c r="E1328" t="inlineStr">
        <is>
          <t>サンライズ建設株式会社</t>
        </is>
      </c>
      <c r="F1328" t="inlineStr">
        <is>
          <t>愛知県</t>
        </is>
      </c>
      <c r="G1328" t="inlineStr">
        <is>
          <t>保守サービス</t>
        </is>
      </c>
      <c r="H1328" t="inlineStr">
        <is>
          <t>オンサイト保守</t>
        </is>
      </c>
      <c r="I1328" s="4" t="n">
        <v>4</v>
      </c>
      <c r="J1328" s="4" t="n">
        <v>137300</v>
      </c>
      <c r="K1328" s="4">
        <f>I1328*J1328</f>
        <v/>
      </c>
      <c r="L1328" t="inlineStr">
        <is>
          <t>値引き調整あり</t>
        </is>
      </c>
    </row>
    <row r="1329">
      <c r="A1329" t="inlineStr">
        <is>
          <t>SR056</t>
        </is>
      </c>
      <c r="B1329" t="inlineStr">
        <is>
          <t>営業担当056</t>
        </is>
      </c>
      <c r="C1329" t="inlineStr">
        <is>
          <t>第1営業部</t>
        </is>
      </c>
      <c r="D1329" s="3" t="n">
        <v>45823</v>
      </c>
      <c r="E1329" t="inlineStr">
        <is>
          <t>福岡流通有限会社</t>
        </is>
      </c>
      <c r="F1329" t="inlineStr">
        <is>
          <t>兵庫県</t>
        </is>
      </c>
      <c r="G1329" t="inlineStr">
        <is>
          <t>保守サービス</t>
        </is>
      </c>
      <c r="H1329" t="inlineStr">
        <is>
          <t>オンサイト保守</t>
        </is>
      </c>
      <c r="I1329" s="4" t="n">
        <v>1</v>
      </c>
      <c r="J1329" s="4" t="n">
        <v>179700</v>
      </c>
      <c r="K1329" s="4">
        <f>I1329*J1329</f>
        <v/>
      </c>
      <c r="L1329" t="inlineStr">
        <is>
          <t>キャンペーン適用</t>
        </is>
      </c>
    </row>
    <row r="1330">
      <c r="A1330" t="inlineStr">
        <is>
          <t>SR056</t>
        </is>
      </c>
      <c r="B1330" t="inlineStr">
        <is>
          <t>営業担当056</t>
        </is>
      </c>
      <c r="C1330" t="inlineStr">
        <is>
          <t>第1営業部</t>
        </is>
      </c>
      <c r="D1330" s="3" t="n">
        <v>45831</v>
      </c>
      <c r="E1330" t="inlineStr">
        <is>
          <t>西日本機工有限会社</t>
        </is>
      </c>
      <c r="F1330" t="inlineStr">
        <is>
          <t>宮城県</t>
        </is>
      </c>
      <c r="G1330" t="inlineStr">
        <is>
          <t>保守サービス</t>
        </is>
      </c>
      <c r="H1330" t="inlineStr">
        <is>
          <t>ヘルプデスク契約</t>
        </is>
      </c>
      <c r="I1330" s="4" t="n">
        <v>5</v>
      </c>
      <c r="J1330" s="4" t="n">
        <v>75800</v>
      </c>
      <c r="K1330" s="4">
        <f>I1330*J1330</f>
        <v/>
      </c>
      <c r="L1330" t="inlineStr"/>
    </row>
    <row r="1331">
      <c r="A1331" t="inlineStr">
        <is>
          <t>SR056</t>
        </is>
      </c>
      <c r="B1331" t="inlineStr">
        <is>
          <t>営業担当056</t>
        </is>
      </c>
      <c r="C1331" t="inlineStr">
        <is>
          <t>第1営業部</t>
        </is>
      </c>
      <c r="D1331" s="3" t="n">
        <v>45855</v>
      </c>
      <c r="E1331" t="inlineStr">
        <is>
          <t>白峰化学(株)</t>
        </is>
      </c>
      <c r="F1331" t="inlineStr">
        <is>
          <t>東京都</t>
        </is>
      </c>
      <c r="G1331" t="inlineStr">
        <is>
          <t>消耗品</t>
        </is>
      </c>
      <c r="H1331" t="inlineStr">
        <is>
          <t>交換用ヘッド</t>
        </is>
      </c>
      <c r="I1331" s="4" t="n">
        <v>1</v>
      </c>
      <c r="J1331" s="4" t="n">
        <v>22020</v>
      </c>
      <c r="K1331" s="4">
        <f>I1331*J1331</f>
        <v/>
      </c>
      <c r="L1331" t="inlineStr">
        <is>
          <t>値引き調整あり</t>
        </is>
      </c>
    </row>
    <row r="1332">
      <c r="A1332" t="inlineStr">
        <is>
          <t>SR056</t>
        </is>
      </c>
      <c r="B1332" t="inlineStr">
        <is>
          <t>営業担当056</t>
        </is>
      </c>
      <c r="C1332" t="inlineStr">
        <is>
          <t>第1営業部</t>
        </is>
      </c>
      <c r="D1332" s="3" t="n">
        <v>45856</v>
      </c>
      <c r="E1332" t="inlineStr">
        <is>
          <t>ライトホーム株式会社</t>
        </is>
      </c>
      <c r="F1332" t="inlineStr">
        <is>
          <t>大阪府</t>
        </is>
      </c>
      <c r="G1332" t="inlineStr">
        <is>
          <t>消耗品</t>
        </is>
      </c>
      <c r="H1332" t="inlineStr">
        <is>
          <t>交換用ヘッド</t>
        </is>
      </c>
      <c r="I1332" s="4" t="n">
        <v>3</v>
      </c>
      <c r="J1332" s="4" t="n">
        <v>25260</v>
      </c>
      <c r="K1332" s="4">
        <f>I1332*J1332</f>
        <v/>
      </c>
      <c r="L1332" t="inlineStr">
        <is>
          <t>新規開拓</t>
        </is>
      </c>
    </row>
    <row r="1333">
      <c r="A1333" t="inlineStr">
        <is>
          <t>SR056</t>
        </is>
      </c>
      <c r="B1333" t="inlineStr">
        <is>
          <t>営業担当056</t>
        </is>
      </c>
      <c r="C1333" t="inlineStr">
        <is>
          <t>第1営業部</t>
        </is>
      </c>
      <c r="D1333" s="3" t="n">
        <v>45870</v>
      </c>
      <c r="E1333" t="inlineStr">
        <is>
          <t>グリーンテック(株)</t>
        </is>
      </c>
      <c r="F1333" t="inlineStr">
        <is>
          <t>福岡県</t>
        </is>
      </c>
      <c r="G1333" t="inlineStr">
        <is>
          <t>導入支援</t>
        </is>
      </c>
      <c r="H1333" t="inlineStr">
        <is>
          <t>データ移行支援</t>
        </is>
      </c>
      <c r="I1333" s="4" t="n">
        <v>1</v>
      </c>
      <c r="J1333" s="4" t="n">
        <v>356000</v>
      </c>
      <c r="K1333" s="4">
        <f>I1333*J1333</f>
        <v/>
      </c>
      <c r="L1333" t="inlineStr">
        <is>
          <t>キャンペーン適用</t>
        </is>
      </c>
    </row>
    <row r="1334">
      <c r="A1334" t="inlineStr">
        <is>
          <t>SR056</t>
        </is>
      </c>
      <c r="B1334" t="inlineStr">
        <is>
          <t>営業担当056</t>
        </is>
      </c>
      <c r="C1334" t="inlineStr">
        <is>
          <t>第1営業部</t>
        </is>
      </c>
      <c r="D1334" s="3" t="n">
        <v>45870</v>
      </c>
      <c r="E1334" t="inlineStr">
        <is>
          <t>グリーンテック株式会社</t>
        </is>
      </c>
      <c r="F1334" t="inlineStr">
        <is>
          <t>神奈川県</t>
        </is>
      </c>
      <c r="G1334" t="inlineStr">
        <is>
          <t>導入支援</t>
        </is>
      </c>
      <c r="H1334" t="inlineStr">
        <is>
          <t>初期設定支援</t>
        </is>
      </c>
      <c r="I1334" s="4" t="n">
        <v>5</v>
      </c>
      <c r="J1334" s="4" t="n">
        <v>131700</v>
      </c>
      <c r="K1334" s="4">
        <f>I1334*J1334</f>
        <v/>
      </c>
      <c r="L1334" t="inlineStr"/>
    </row>
    <row r="1335">
      <c r="A1335" t="inlineStr">
        <is>
          <t>SR056</t>
        </is>
      </c>
      <c r="B1335" t="inlineStr">
        <is>
          <t>営業担当056</t>
        </is>
      </c>
      <c r="C1335" t="inlineStr">
        <is>
          <t>第1営業部</t>
        </is>
      </c>
      <c r="D1335" s="3" t="n">
        <v>45908</v>
      </c>
      <c r="E1335" t="inlineStr">
        <is>
          <t>日新サービス(株)</t>
        </is>
      </c>
      <c r="F1335" t="inlineStr">
        <is>
          <t>大阪府</t>
        </is>
      </c>
      <c r="G1335" t="inlineStr">
        <is>
          <t>保守サービス</t>
        </is>
      </c>
      <c r="H1335" t="inlineStr">
        <is>
          <t>オンサイト保守</t>
        </is>
      </c>
      <c r="I1335" s="4" t="n">
        <v>4</v>
      </c>
      <c r="J1335" s="4" t="n">
        <v>171500</v>
      </c>
      <c r="K1335" s="4">
        <f>I1335*J1335</f>
        <v/>
      </c>
      <c r="L1335" t="inlineStr">
        <is>
          <t>値引き調整あり</t>
        </is>
      </c>
    </row>
    <row r="1336">
      <c r="A1336" t="inlineStr">
        <is>
          <t>SR056</t>
        </is>
      </c>
      <c r="B1336" t="inlineStr">
        <is>
          <t>営業担当056</t>
        </is>
      </c>
      <c r="C1336" t="inlineStr">
        <is>
          <t>第1営業部</t>
        </is>
      </c>
      <c r="D1336" s="3" t="n">
        <v>45909</v>
      </c>
      <c r="E1336" t="inlineStr">
        <is>
          <t>大和精機有限会社</t>
        </is>
      </c>
      <c r="F1336" t="inlineStr">
        <is>
          <t>東京都</t>
        </is>
      </c>
      <c r="G1336" t="inlineStr">
        <is>
          <t>導入支援</t>
        </is>
      </c>
      <c r="H1336" t="inlineStr">
        <is>
          <t>初期設定支援</t>
        </is>
      </c>
      <c r="I1336" s="4" t="n">
        <v>4</v>
      </c>
      <c r="J1336" s="4" t="n">
        <v>180800</v>
      </c>
      <c r="K1336" s="4">
        <f>I1336*J1336</f>
        <v/>
      </c>
      <c r="L1336" t="inlineStr"/>
    </row>
    <row r="1337">
      <c r="A1337" t="inlineStr">
        <is>
          <t>SR056</t>
        </is>
      </c>
      <c r="B1337" t="inlineStr">
        <is>
          <t>営業担当056</t>
        </is>
      </c>
      <c r="C1337" t="inlineStr">
        <is>
          <t>第1営業部</t>
        </is>
      </c>
      <c r="D1337" s="3" t="n">
        <v>45932</v>
      </c>
      <c r="E1337" t="inlineStr">
        <is>
          <t>東洋フーズ有限会社</t>
        </is>
      </c>
      <c r="F1337" t="inlineStr">
        <is>
          <t>愛知県</t>
        </is>
      </c>
      <c r="G1337" t="inlineStr">
        <is>
          <t>導入支援</t>
        </is>
      </c>
      <c r="H1337" t="inlineStr">
        <is>
          <t>操作研修パック</t>
        </is>
      </c>
      <c r="I1337" s="4" t="n">
        <v>5</v>
      </c>
      <c r="J1337" s="4" t="n">
        <v>64000</v>
      </c>
      <c r="K1337" s="4">
        <f>I1337*J1337</f>
        <v/>
      </c>
      <c r="L1337" t="inlineStr">
        <is>
          <t>キャンペーン適用</t>
        </is>
      </c>
    </row>
    <row r="1338">
      <c r="A1338" t="inlineStr">
        <is>
          <t>SR056</t>
        </is>
      </c>
      <c r="B1338" t="inlineStr">
        <is>
          <t>営業担当056</t>
        </is>
      </c>
      <c r="C1338" t="inlineStr">
        <is>
          <t>第1営業部</t>
        </is>
      </c>
      <c r="D1338" s="3" t="n">
        <v>45957</v>
      </c>
      <c r="E1338" t="inlineStr">
        <is>
          <t>白峰化学株式会社</t>
        </is>
      </c>
      <c r="F1338" t="inlineStr">
        <is>
          <t>大阪府</t>
        </is>
      </c>
      <c r="G1338" t="inlineStr">
        <is>
          <t>ハードウェア</t>
        </is>
      </c>
      <c r="H1338" t="inlineStr">
        <is>
          <t>産業用タブレット</t>
        </is>
      </c>
      <c r="I1338" s="4" t="n">
        <v>4</v>
      </c>
      <c r="J1338" s="4" t="n">
        <v>112300</v>
      </c>
      <c r="K1338" s="4">
        <f>I1338*J1338</f>
        <v/>
      </c>
      <c r="L1338" t="inlineStr">
        <is>
          <t>大型案件</t>
        </is>
      </c>
    </row>
    <row r="1339">
      <c r="A1339" t="inlineStr">
        <is>
          <t>SR056</t>
        </is>
      </c>
      <c r="B1339" t="inlineStr">
        <is>
          <t>営業担当056</t>
        </is>
      </c>
      <c r="C1339" t="inlineStr">
        <is>
          <t>第1営業部</t>
        </is>
      </c>
      <c r="D1339" s="3" t="n">
        <v>45968</v>
      </c>
      <c r="E1339" t="inlineStr">
        <is>
          <t>福岡流通株式会社</t>
        </is>
      </c>
      <c r="F1339" t="inlineStr">
        <is>
          <t>愛知県</t>
        </is>
      </c>
      <c r="G1339" t="inlineStr">
        <is>
          <t>消耗品</t>
        </is>
      </c>
      <c r="H1339" t="inlineStr">
        <is>
          <t>ラベルロール</t>
        </is>
      </c>
      <c r="I1339" s="4" t="n">
        <v>6</v>
      </c>
      <c r="J1339" s="4" t="n">
        <v>9650</v>
      </c>
      <c r="K1339" s="4">
        <f>I1339*J1339</f>
        <v/>
      </c>
      <c r="L1339" t="inlineStr"/>
    </row>
    <row r="1340">
      <c r="A1340" t="inlineStr">
        <is>
          <t>SR056</t>
        </is>
      </c>
      <c r="B1340" t="inlineStr">
        <is>
          <t>営業担当056</t>
        </is>
      </c>
      <c r="C1340" t="inlineStr">
        <is>
          <t>第1営業部</t>
        </is>
      </c>
      <c r="D1340" s="3" t="n">
        <v>45974</v>
      </c>
      <c r="E1340" t="inlineStr">
        <is>
          <t>オーシャン製作所株式会社</t>
        </is>
      </c>
      <c r="F1340" t="inlineStr">
        <is>
          <t>北海道</t>
        </is>
      </c>
      <c r="G1340" t="inlineStr">
        <is>
          <t>保守サービス</t>
        </is>
      </c>
      <c r="H1340" t="inlineStr">
        <is>
          <t>ヘルプデスク契約</t>
        </is>
      </c>
      <c r="I1340" s="4" t="n">
        <v>4</v>
      </c>
      <c r="J1340" s="4" t="n">
        <v>57700</v>
      </c>
      <c r="K1340" s="4">
        <f>I1340*J1340</f>
        <v/>
      </c>
      <c r="L1340" t="inlineStr">
        <is>
          <t>分納</t>
        </is>
      </c>
    </row>
    <row r="1341">
      <c r="A1341" t="inlineStr">
        <is>
          <t>SR056</t>
        </is>
      </c>
      <c r="B1341" t="inlineStr">
        <is>
          <t>営業担当056</t>
        </is>
      </c>
      <c r="C1341" t="inlineStr">
        <is>
          <t>第1営業部</t>
        </is>
      </c>
      <c r="D1341" s="3" t="n">
        <v>45995</v>
      </c>
      <c r="E1341" t="inlineStr">
        <is>
          <t>未来通信(株)</t>
        </is>
      </c>
      <c r="F1341" t="inlineStr">
        <is>
          <t>東京都</t>
        </is>
      </c>
      <c r="G1341" t="inlineStr">
        <is>
          <t>消耗品</t>
        </is>
      </c>
      <c r="H1341" t="inlineStr">
        <is>
          <t>ラベルロール</t>
        </is>
      </c>
      <c r="I1341" s="4" t="n">
        <v>8</v>
      </c>
      <c r="J1341" s="4" t="n">
        <v>5180</v>
      </c>
      <c r="K1341" s="4">
        <f>I1341*J1341</f>
        <v/>
      </c>
      <c r="L1341" t="inlineStr">
        <is>
          <t>大型案件</t>
        </is>
      </c>
    </row>
    <row r="1342">
      <c r="A1342" t="inlineStr">
        <is>
          <t>SR056</t>
        </is>
      </c>
      <c r="B1342" t="inlineStr">
        <is>
          <t>営業担当056</t>
        </is>
      </c>
      <c r="C1342" t="inlineStr">
        <is>
          <t>第1営業部</t>
        </is>
      </c>
      <c r="D1342" s="3" t="n">
        <v>46001</v>
      </c>
      <c r="E1342" t="inlineStr">
        <is>
          <t>サンライズ建設有限会社</t>
        </is>
      </c>
      <c r="F1342" t="inlineStr">
        <is>
          <t>大阪府</t>
        </is>
      </c>
      <c r="G1342" t="inlineStr">
        <is>
          <t>導入支援</t>
        </is>
      </c>
      <c r="H1342" t="inlineStr">
        <is>
          <t>操作研修パック</t>
        </is>
      </c>
      <c r="I1342" s="4" t="n">
        <v>4</v>
      </c>
      <c r="J1342" s="4" t="n">
        <v>114700</v>
      </c>
      <c r="K1342" s="4">
        <f>I1342*J1342</f>
        <v/>
      </c>
      <c r="L1342" t="inlineStr">
        <is>
          <t>キャンペーン適用</t>
        </is>
      </c>
    </row>
    <row r="1343">
      <c r="A1343" t="inlineStr">
        <is>
          <t>SR056</t>
        </is>
      </c>
      <c r="B1343" t="inlineStr">
        <is>
          <t>営業担当056</t>
        </is>
      </c>
      <c r="C1343" t="inlineStr">
        <is>
          <t>第1営業部</t>
        </is>
      </c>
      <c r="D1343" s="3" t="n">
        <v>46033</v>
      </c>
      <c r="E1343" t="inlineStr">
        <is>
          <t>星和商会株式会社</t>
        </is>
      </c>
      <c r="F1343" t="inlineStr">
        <is>
          <t>兵庫県</t>
        </is>
      </c>
      <c r="G1343" t="inlineStr">
        <is>
          <t>導入支援</t>
        </is>
      </c>
      <c r="H1343" t="inlineStr">
        <is>
          <t>初期設定支援</t>
        </is>
      </c>
      <c r="I1343" s="4" t="n">
        <v>3</v>
      </c>
      <c r="J1343" s="4" t="n">
        <v>211700</v>
      </c>
      <c r="K1343" s="4">
        <f>I1343*J1343</f>
        <v/>
      </c>
      <c r="L1343" t="inlineStr">
        <is>
          <t>キャンペーン適用</t>
        </is>
      </c>
    </row>
    <row r="1344">
      <c r="A1344" t="inlineStr">
        <is>
          <t>SR056</t>
        </is>
      </c>
      <c r="B1344" t="inlineStr">
        <is>
          <t>営業担当056</t>
        </is>
      </c>
      <c r="C1344" t="inlineStr">
        <is>
          <t>第1営業部</t>
        </is>
      </c>
      <c r="D1344" s="3" t="n">
        <v>46034</v>
      </c>
      <c r="E1344" t="inlineStr">
        <is>
          <t>福岡流通有限会社</t>
        </is>
      </c>
      <c r="F1344" t="inlineStr">
        <is>
          <t>宮城県</t>
        </is>
      </c>
      <c r="G1344" t="inlineStr">
        <is>
          <t>消耗品</t>
        </is>
      </c>
      <c r="H1344" t="inlineStr">
        <is>
          <t>保守用バッテリー</t>
        </is>
      </c>
      <c r="I1344" s="4" t="n">
        <v>2</v>
      </c>
      <c r="J1344" s="4" t="n">
        <v>9400</v>
      </c>
      <c r="K1344" s="4">
        <f>I1344*J1344</f>
        <v/>
      </c>
      <c r="L1344" t="inlineStr">
        <is>
          <t>分納</t>
        </is>
      </c>
    </row>
    <row r="1345">
      <c r="A1345" t="inlineStr">
        <is>
          <t>SR056</t>
        </is>
      </c>
      <c r="B1345" t="inlineStr">
        <is>
          <t>営業担当056</t>
        </is>
      </c>
      <c r="C1345" t="inlineStr">
        <is>
          <t>第1営業部</t>
        </is>
      </c>
      <c r="D1345" s="3" t="n">
        <v>46067</v>
      </c>
      <c r="E1345" t="inlineStr">
        <is>
          <t>福岡流通株式会社</t>
        </is>
      </c>
      <c r="F1345" t="inlineStr">
        <is>
          <t>京都府</t>
        </is>
      </c>
      <c r="G1345" t="inlineStr">
        <is>
          <t>消耗品</t>
        </is>
      </c>
      <c r="H1345" t="inlineStr">
        <is>
          <t>ラベルロール</t>
        </is>
      </c>
      <c r="I1345" s="4" t="n">
        <v>9</v>
      </c>
      <c r="J1345" s="4" t="n">
        <v>11120</v>
      </c>
      <c r="K1345" s="4">
        <f>I1345*J1345</f>
        <v/>
      </c>
      <c r="L1345" t="inlineStr">
        <is>
          <t>キャンペーン適用</t>
        </is>
      </c>
    </row>
    <row r="1346">
      <c r="A1346" t="inlineStr">
        <is>
          <t>SR056</t>
        </is>
      </c>
      <c r="B1346" t="inlineStr">
        <is>
          <t>営業担当056</t>
        </is>
      </c>
      <c r="C1346" t="inlineStr">
        <is>
          <t>第1営業部</t>
        </is>
      </c>
      <c r="D1346" s="3" t="n">
        <v>46069</v>
      </c>
      <c r="E1346" t="inlineStr">
        <is>
          <t>東洋フーズ株式会社</t>
        </is>
      </c>
      <c r="F1346" t="inlineStr">
        <is>
          <t>愛知県</t>
        </is>
      </c>
      <c r="G1346" t="inlineStr">
        <is>
          <t>ソフトウェア</t>
        </is>
      </c>
      <c r="H1346" t="inlineStr">
        <is>
          <t>AIチャットボット</t>
        </is>
      </c>
      <c r="I1346" s="4" t="n">
        <v>3</v>
      </c>
      <c r="J1346" s="4" t="n">
        <v>456400</v>
      </c>
      <c r="K1346" s="4">
        <f>I1346*J1346</f>
        <v/>
      </c>
      <c r="L1346" t="inlineStr"/>
    </row>
    <row r="1347">
      <c r="A1347" t="inlineStr">
        <is>
          <t>SR056</t>
        </is>
      </c>
      <c r="B1347" t="inlineStr">
        <is>
          <t>営業担当056</t>
        </is>
      </c>
      <c r="C1347" t="inlineStr">
        <is>
          <t>第1営業部</t>
        </is>
      </c>
      <c r="D1347" s="3" t="n">
        <v>46084</v>
      </c>
      <c r="E1347" t="inlineStr">
        <is>
          <t>グリーンテック株式会社</t>
        </is>
      </c>
      <c r="F1347" t="inlineStr">
        <is>
          <t>神奈川県</t>
        </is>
      </c>
      <c r="G1347" t="inlineStr">
        <is>
          <t>導入支援</t>
        </is>
      </c>
      <c r="H1347" t="inlineStr">
        <is>
          <t>初期設定支援</t>
        </is>
      </c>
      <c r="I1347" s="4" t="n">
        <v>3</v>
      </c>
      <c r="J1347" s="4" t="n">
        <v>195800</v>
      </c>
      <c r="K1347" s="4">
        <f>I1347*J1347</f>
        <v/>
      </c>
      <c r="L1347" t="inlineStr">
        <is>
          <t>分納</t>
        </is>
      </c>
    </row>
    <row r="1348">
      <c r="A1348" t="inlineStr">
        <is>
          <t>SR056</t>
        </is>
      </c>
      <c r="B1348" t="inlineStr">
        <is>
          <t>営業担当056</t>
        </is>
      </c>
      <c r="C1348" t="inlineStr">
        <is>
          <t>第1営業部</t>
        </is>
      </c>
      <c r="D1348" s="3" t="n">
        <v>46091</v>
      </c>
      <c r="E1348" t="inlineStr">
        <is>
          <t>アーク電機有限会社</t>
        </is>
      </c>
      <c r="F1348" t="inlineStr">
        <is>
          <t>神奈川県</t>
        </is>
      </c>
      <c r="G1348" t="inlineStr">
        <is>
          <t>消耗品</t>
        </is>
      </c>
      <c r="H1348" t="inlineStr">
        <is>
          <t>ラベルロール</t>
        </is>
      </c>
      <c r="I1348" s="4" t="n">
        <v>2</v>
      </c>
      <c r="J1348" s="4" t="n">
        <v>4320</v>
      </c>
      <c r="K1348" s="4">
        <f>I1348*J1348</f>
        <v/>
      </c>
      <c r="L1348" t="inlineStr"/>
    </row>
    <row r="1349">
      <c r="A1349" t="inlineStr">
        <is>
          <t>SR057</t>
        </is>
      </c>
      <c r="B1349" t="inlineStr">
        <is>
          <t>営業担当057</t>
        </is>
      </c>
      <c r="C1349" t="inlineStr">
        <is>
          <t>第2営業部</t>
        </is>
      </c>
      <c r="D1349" s="3" t="n">
        <v>45765</v>
      </c>
      <c r="E1349" t="inlineStr">
        <is>
          <t>桜井メディカル有限会社</t>
        </is>
      </c>
      <c r="F1349" t="inlineStr">
        <is>
          <t>宮城県</t>
        </is>
      </c>
      <c r="G1349" t="inlineStr">
        <is>
          <t>保守サービス</t>
        </is>
      </c>
      <c r="H1349" t="inlineStr">
        <is>
          <t>ヘルプデスク契約</t>
        </is>
      </c>
      <c r="I1349" s="4" t="n">
        <v>1</v>
      </c>
      <c r="J1349" s="4" t="n">
        <v>64100</v>
      </c>
      <c r="K1349" s="4">
        <f>I1349*J1349</f>
        <v/>
      </c>
      <c r="L1349" t="inlineStr"/>
    </row>
    <row r="1350">
      <c r="A1350" t="inlineStr">
        <is>
          <t>SR057</t>
        </is>
      </c>
      <c r="B1350" t="inlineStr">
        <is>
          <t>営業担当057</t>
        </is>
      </c>
      <c r="C1350" t="inlineStr">
        <is>
          <t>第2営業部</t>
        </is>
      </c>
      <c r="D1350" s="3" t="n">
        <v>45768</v>
      </c>
      <c r="E1350" t="inlineStr">
        <is>
          <t>青葉商事有限会社</t>
        </is>
      </c>
      <c r="F1350" t="inlineStr">
        <is>
          <t>宮城県</t>
        </is>
      </c>
      <c r="G1350" t="inlineStr">
        <is>
          <t>ソフトウェア</t>
        </is>
      </c>
      <c r="H1350" t="inlineStr">
        <is>
          <t>AIチャットボット</t>
        </is>
      </c>
      <c r="I1350" s="4" t="n">
        <v>5</v>
      </c>
      <c r="J1350" s="4" t="n">
        <v>696200</v>
      </c>
      <c r="K1350" s="4">
        <f>I1350*J1350</f>
        <v/>
      </c>
      <c r="L1350" t="inlineStr"/>
    </row>
    <row r="1351">
      <c r="A1351" t="inlineStr">
        <is>
          <t>SR057</t>
        </is>
      </c>
      <c r="B1351" t="inlineStr">
        <is>
          <t>営業担当057</t>
        </is>
      </c>
      <c r="C1351" t="inlineStr">
        <is>
          <t>第2営業部</t>
        </is>
      </c>
      <c r="D1351" s="3" t="n">
        <v>45782</v>
      </c>
      <c r="E1351" t="inlineStr">
        <is>
          <t>青葉商事有限会社</t>
        </is>
      </c>
      <c r="F1351" t="inlineStr">
        <is>
          <t>兵庫県</t>
        </is>
      </c>
      <c r="G1351" t="inlineStr">
        <is>
          <t>ソフトウェア</t>
        </is>
      </c>
      <c r="H1351" t="inlineStr">
        <is>
          <t>在庫管理クラウド</t>
        </is>
      </c>
      <c r="I1351" s="4" t="n">
        <v>4</v>
      </c>
      <c r="J1351" s="4" t="n">
        <v>424000</v>
      </c>
      <c r="K1351" s="4">
        <f>I1351*J1351</f>
        <v/>
      </c>
      <c r="L1351" t="inlineStr"/>
    </row>
    <row r="1352">
      <c r="A1352" t="inlineStr">
        <is>
          <t>SR057</t>
        </is>
      </c>
      <c r="B1352" t="inlineStr">
        <is>
          <t>営業担当057</t>
        </is>
      </c>
      <c r="C1352" t="inlineStr">
        <is>
          <t>第2営業部</t>
        </is>
      </c>
      <c r="D1352" s="3" t="n">
        <v>45798</v>
      </c>
      <c r="E1352" t="inlineStr">
        <is>
          <t>白峰化学有限会社</t>
        </is>
      </c>
      <c r="F1352" t="inlineStr">
        <is>
          <t>兵庫県</t>
        </is>
      </c>
      <c r="G1352" t="inlineStr">
        <is>
          <t>ソフトウェア</t>
        </is>
      </c>
      <c r="H1352" t="inlineStr">
        <is>
          <t>帳票自動化ツール</t>
        </is>
      </c>
      <c r="I1352" s="4" t="n">
        <v>4</v>
      </c>
      <c r="J1352" s="4" t="n">
        <v>236700</v>
      </c>
      <c r="K1352" s="4">
        <f>I1352*J1352</f>
        <v/>
      </c>
      <c r="L1352" t="inlineStr">
        <is>
          <t>大型案件</t>
        </is>
      </c>
    </row>
    <row r="1353">
      <c r="A1353" t="inlineStr">
        <is>
          <t>SR057</t>
        </is>
      </c>
      <c r="B1353" t="inlineStr">
        <is>
          <t>営業担当057</t>
        </is>
      </c>
      <c r="C1353" t="inlineStr">
        <is>
          <t>第2営業部</t>
        </is>
      </c>
      <c r="D1353" s="3" t="n">
        <v>45812</v>
      </c>
      <c r="E1353" t="inlineStr">
        <is>
          <t>グリーンテック(株)</t>
        </is>
      </c>
      <c r="F1353" t="inlineStr">
        <is>
          <t>神奈川県</t>
        </is>
      </c>
      <c r="G1353" t="inlineStr">
        <is>
          <t>ハードウェア</t>
        </is>
      </c>
      <c r="H1353" t="inlineStr">
        <is>
          <t>産業用タブレット</t>
        </is>
      </c>
      <c r="I1353" s="4" t="n">
        <v>1</v>
      </c>
      <c r="J1353" s="4" t="n">
        <v>118600</v>
      </c>
      <c r="K1353" s="4">
        <f>I1353*J1353</f>
        <v/>
      </c>
      <c r="L1353" t="inlineStr">
        <is>
          <t>新規開拓</t>
        </is>
      </c>
    </row>
    <row r="1354">
      <c r="A1354" t="inlineStr">
        <is>
          <t>SR057</t>
        </is>
      </c>
      <c r="B1354" t="inlineStr">
        <is>
          <t>営業担当057</t>
        </is>
      </c>
      <c r="C1354" t="inlineStr">
        <is>
          <t>第2営業部</t>
        </is>
      </c>
      <c r="D1354" s="3" t="n">
        <v>45833</v>
      </c>
      <c r="E1354" t="inlineStr">
        <is>
          <t>白峰化学有限会社</t>
        </is>
      </c>
      <c r="F1354" t="inlineStr">
        <is>
          <t>宮城県</t>
        </is>
      </c>
      <c r="G1354" t="inlineStr">
        <is>
          <t>ソフトウェア</t>
        </is>
      </c>
      <c r="H1354" t="inlineStr">
        <is>
          <t>営業支援SaaS</t>
        </is>
      </c>
      <c r="I1354" s="4" t="n">
        <v>4</v>
      </c>
      <c r="J1354" s="4" t="n">
        <v>170900</v>
      </c>
      <c r="K1354" s="4">
        <f>I1354*J1354</f>
        <v/>
      </c>
      <c r="L1354" t="inlineStr">
        <is>
          <t>新規開拓</t>
        </is>
      </c>
    </row>
    <row r="1355">
      <c r="A1355" t="inlineStr">
        <is>
          <t>SR057</t>
        </is>
      </c>
      <c r="B1355" t="inlineStr">
        <is>
          <t>営業担当057</t>
        </is>
      </c>
      <c r="C1355" t="inlineStr">
        <is>
          <t>第2営業部</t>
        </is>
      </c>
      <c r="D1355" s="3" t="n">
        <v>45864</v>
      </c>
      <c r="E1355" t="inlineStr">
        <is>
          <t>白峰化学(株)</t>
        </is>
      </c>
      <c r="F1355" t="inlineStr">
        <is>
          <t>宮城県</t>
        </is>
      </c>
      <c r="G1355" t="inlineStr">
        <is>
          <t>ソフトウェア</t>
        </is>
      </c>
      <c r="H1355" t="inlineStr">
        <is>
          <t>帳票自動化ツール</t>
        </is>
      </c>
      <c r="I1355" s="4" t="n">
        <v>2</v>
      </c>
      <c r="J1355" s="4" t="n">
        <v>357800</v>
      </c>
      <c r="K1355" s="4">
        <f>I1355*J1355</f>
        <v/>
      </c>
      <c r="L1355" t="inlineStr">
        <is>
          <t>リピート受注</t>
        </is>
      </c>
    </row>
    <row r="1356">
      <c r="A1356" t="inlineStr">
        <is>
          <t>SR057</t>
        </is>
      </c>
      <c r="B1356" t="inlineStr">
        <is>
          <t>営業担当057</t>
        </is>
      </c>
      <c r="C1356" t="inlineStr">
        <is>
          <t>第2営業部</t>
        </is>
      </c>
      <c r="D1356" s="3" t="n">
        <v>45865</v>
      </c>
      <c r="E1356" t="inlineStr">
        <is>
          <t>東洋フーズ(株)</t>
        </is>
      </c>
      <c r="F1356" t="inlineStr">
        <is>
          <t>大阪府</t>
        </is>
      </c>
      <c r="G1356" t="inlineStr">
        <is>
          <t>導入支援</t>
        </is>
      </c>
      <c r="H1356" t="inlineStr">
        <is>
          <t>初期設定支援</t>
        </is>
      </c>
      <c r="I1356" s="4" t="n">
        <v>4</v>
      </c>
      <c r="J1356" s="4" t="n">
        <v>65000</v>
      </c>
      <c r="K1356" s="4">
        <f>I1356*J1356</f>
        <v/>
      </c>
      <c r="L1356" t="inlineStr">
        <is>
          <t>分納</t>
        </is>
      </c>
    </row>
    <row r="1357">
      <c r="A1357" t="inlineStr">
        <is>
          <t>SR057</t>
        </is>
      </c>
      <c r="B1357" t="inlineStr">
        <is>
          <t>営業担当057</t>
        </is>
      </c>
      <c r="C1357" t="inlineStr">
        <is>
          <t>第2営業部</t>
        </is>
      </c>
      <c r="D1357" s="3" t="n">
        <v>45878</v>
      </c>
      <c r="E1357" t="inlineStr">
        <is>
          <t>未来通信(株)</t>
        </is>
      </c>
      <c r="F1357" t="inlineStr">
        <is>
          <t>宮城県</t>
        </is>
      </c>
      <c r="G1357" t="inlineStr">
        <is>
          <t>ハードウェア</t>
        </is>
      </c>
      <c r="H1357" t="inlineStr">
        <is>
          <t>産業用タブレット</t>
        </is>
      </c>
      <c r="I1357" s="4" t="n">
        <v>4</v>
      </c>
      <c r="J1357" s="4" t="n">
        <v>71300</v>
      </c>
      <c r="K1357" s="4">
        <f>I1357*J1357</f>
        <v/>
      </c>
      <c r="L1357" t="inlineStr"/>
    </row>
    <row r="1358">
      <c r="A1358" t="inlineStr">
        <is>
          <t>SR057</t>
        </is>
      </c>
      <c r="B1358" t="inlineStr">
        <is>
          <t>営業担当057</t>
        </is>
      </c>
      <c r="C1358" t="inlineStr">
        <is>
          <t>第2営業部</t>
        </is>
      </c>
      <c r="D1358" s="3" t="n">
        <v>45890</v>
      </c>
      <c r="E1358" t="inlineStr">
        <is>
          <t>みらい物流株式会社</t>
        </is>
      </c>
      <c r="F1358" t="inlineStr">
        <is>
          <t>宮城県</t>
        </is>
      </c>
      <c r="G1358" t="inlineStr">
        <is>
          <t>導入支援</t>
        </is>
      </c>
      <c r="H1358" t="inlineStr">
        <is>
          <t>データ移行支援</t>
        </is>
      </c>
      <c r="I1358" s="4" t="n">
        <v>4</v>
      </c>
      <c r="J1358" s="4" t="n">
        <v>145900</v>
      </c>
      <c r="K1358" s="4">
        <f>I1358*J1358</f>
        <v/>
      </c>
      <c r="L1358" t="inlineStr"/>
    </row>
    <row r="1359">
      <c r="A1359" t="inlineStr">
        <is>
          <t>SR057</t>
        </is>
      </c>
      <c r="B1359" t="inlineStr">
        <is>
          <t>営業担当057</t>
        </is>
      </c>
      <c r="C1359" t="inlineStr">
        <is>
          <t>第2営業部</t>
        </is>
      </c>
      <c r="D1359" s="3" t="n">
        <v>45901</v>
      </c>
      <c r="E1359" t="inlineStr">
        <is>
          <t>グリーンテック(株)</t>
        </is>
      </c>
      <c r="F1359" t="inlineStr">
        <is>
          <t>京都府</t>
        </is>
      </c>
      <c r="G1359" t="inlineStr">
        <is>
          <t>消耗品</t>
        </is>
      </c>
      <c r="H1359" t="inlineStr">
        <is>
          <t>保守用バッテリー</t>
        </is>
      </c>
      <c r="I1359" s="4" t="n">
        <v>6</v>
      </c>
      <c r="J1359" s="4" t="n">
        <v>9290</v>
      </c>
      <c r="K1359" s="4">
        <f>I1359*J1359</f>
        <v/>
      </c>
      <c r="L1359" t="inlineStr">
        <is>
          <t>キャンペーン適用</t>
        </is>
      </c>
    </row>
    <row r="1360">
      <c r="A1360" t="inlineStr">
        <is>
          <t>SR057</t>
        </is>
      </c>
      <c r="B1360" t="inlineStr">
        <is>
          <t>営業担当057</t>
        </is>
      </c>
      <c r="C1360" t="inlineStr">
        <is>
          <t>第2営業部</t>
        </is>
      </c>
      <c r="D1360" s="3" t="n">
        <v>45910</v>
      </c>
      <c r="E1360" t="inlineStr">
        <is>
          <t>青葉商事株式会社</t>
        </is>
      </c>
      <c r="F1360" t="inlineStr">
        <is>
          <t>兵庫県</t>
        </is>
      </c>
      <c r="G1360" t="inlineStr">
        <is>
          <t>消耗品</t>
        </is>
      </c>
      <c r="H1360" t="inlineStr">
        <is>
          <t>ラベルロール</t>
        </is>
      </c>
      <c r="I1360" s="4" t="n">
        <v>2</v>
      </c>
      <c r="J1360" s="4" t="n">
        <v>9220</v>
      </c>
      <c r="K1360" s="4">
        <f>I1360*J1360</f>
        <v/>
      </c>
      <c r="L1360" t="inlineStr">
        <is>
          <t>新規開拓</t>
        </is>
      </c>
    </row>
    <row r="1361">
      <c r="A1361" t="inlineStr">
        <is>
          <t>SR057</t>
        </is>
      </c>
      <c r="B1361" t="inlineStr">
        <is>
          <t>営業担当057</t>
        </is>
      </c>
      <c r="C1361" t="inlineStr">
        <is>
          <t>第2営業部</t>
        </is>
      </c>
      <c r="D1361" s="3" t="n">
        <v>45938</v>
      </c>
      <c r="E1361" t="inlineStr">
        <is>
          <t>九州エナジー(株)</t>
        </is>
      </c>
      <c r="F1361" t="inlineStr">
        <is>
          <t>愛知県</t>
        </is>
      </c>
      <c r="G1361" t="inlineStr">
        <is>
          <t>消耗品</t>
        </is>
      </c>
      <c r="H1361" t="inlineStr">
        <is>
          <t>交換用ヘッド</t>
        </is>
      </c>
      <c r="I1361" s="4" t="n">
        <v>7</v>
      </c>
      <c r="J1361" s="4" t="n">
        <v>14110</v>
      </c>
      <c r="K1361" s="4">
        <f>I1361*J1361</f>
        <v/>
      </c>
      <c r="L1361" t="inlineStr">
        <is>
          <t>キャンペーン適用</t>
        </is>
      </c>
    </row>
    <row r="1362">
      <c r="A1362" t="inlineStr">
        <is>
          <t>SR057</t>
        </is>
      </c>
      <c r="B1362" t="inlineStr">
        <is>
          <t>営業担当057</t>
        </is>
      </c>
      <c r="C1362" t="inlineStr">
        <is>
          <t>第2営業部</t>
        </is>
      </c>
      <c r="D1362" s="3" t="n">
        <v>45946</v>
      </c>
      <c r="E1362" t="inlineStr">
        <is>
          <t>ライトホーム有限会社</t>
        </is>
      </c>
      <c r="F1362" t="inlineStr">
        <is>
          <t>京都府</t>
        </is>
      </c>
      <c r="G1362" t="inlineStr">
        <is>
          <t>ソフトウェア</t>
        </is>
      </c>
      <c r="H1362" t="inlineStr">
        <is>
          <t>営業支援SaaS</t>
        </is>
      </c>
      <c r="I1362" s="4" t="n">
        <v>5</v>
      </c>
      <c r="J1362" s="4" t="n">
        <v>224200</v>
      </c>
      <c r="K1362" s="4">
        <f>I1362*J1362</f>
        <v/>
      </c>
      <c r="L1362" t="inlineStr"/>
    </row>
    <row r="1363">
      <c r="A1363" t="inlineStr">
        <is>
          <t>SR057</t>
        </is>
      </c>
      <c r="B1363" t="inlineStr">
        <is>
          <t>営業担当057</t>
        </is>
      </c>
      <c r="C1363" t="inlineStr">
        <is>
          <t>第2営業部</t>
        </is>
      </c>
      <c r="D1363" s="3" t="n">
        <v>45966</v>
      </c>
      <c r="E1363" t="inlineStr">
        <is>
          <t>日新サービス有限会社</t>
        </is>
      </c>
      <c r="F1363" t="inlineStr">
        <is>
          <t>福岡県</t>
        </is>
      </c>
      <c r="G1363" t="inlineStr">
        <is>
          <t>導入支援</t>
        </is>
      </c>
      <c r="H1363" t="inlineStr">
        <is>
          <t>データ移行支援</t>
        </is>
      </c>
      <c r="I1363" s="4" t="n">
        <v>5</v>
      </c>
      <c r="J1363" s="4" t="n">
        <v>144800</v>
      </c>
      <c r="K1363" s="4">
        <f>I1363*J1363</f>
        <v/>
      </c>
      <c r="L1363" t="inlineStr">
        <is>
          <t>キャンペーン適用</t>
        </is>
      </c>
    </row>
    <row r="1364">
      <c r="A1364" t="inlineStr">
        <is>
          <t>SR057</t>
        </is>
      </c>
      <c r="B1364" t="inlineStr">
        <is>
          <t>営業担当057</t>
        </is>
      </c>
      <c r="C1364" t="inlineStr">
        <is>
          <t>第2営業部</t>
        </is>
      </c>
      <c r="D1364" s="3" t="n">
        <v>45968</v>
      </c>
      <c r="E1364" t="inlineStr">
        <is>
          <t>ライトホーム株式会社</t>
        </is>
      </c>
      <c r="F1364" t="inlineStr">
        <is>
          <t>京都府</t>
        </is>
      </c>
      <c r="G1364" t="inlineStr">
        <is>
          <t>ソフトウェア</t>
        </is>
      </c>
      <c r="H1364" t="inlineStr">
        <is>
          <t>営業支援SaaS</t>
        </is>
      </c>
      <c r="I1364" s="4" t="n">
        <v>2</v>
      </c>
      <c r="J1364" s="4" t="n">
        <v>269400</v>
      </c>
      <c r="K1364" s="4">
        <f>I1364*J1364</f>
        <v/>
      </c>
      <c r="L1364" t="inlineStr"/>
    </row>
    <row r="1365">
      <c r="A1365" t="inlineStr">
        <is>
          <t>SR057</t>
        </is>
      </c>
      <c r="B1365" t="inlineStr">
        <is>
          <t>営業担当057</t>
        </is>
      </c>
      <c r="C1365" t="inlineStr">
        <is>
          <t>第2営業部</t>
        </is>
      </c>
      <c r="D1365" s="3" t="n">
        <v>45998</v>
      </c>
      <c r="E1365" t="inlineStr">
        <is>
          <t>青葉商事(株)</t>
        </is>
      </c>
      <c r="F1365" t="inlineStr">
        <is>
          <t>福岡県</t>
        </is>
      </c>
      <c r="G1365" t="inlineStr">
        <is>
          <t>ハードウェア</t>
        </is>
      </c>
      <c r="H1365" t="inlineStr">
        <is>
          <t>産業用タブレット</t>
        </is>
      </c>
      <c r="I1365" s="4" t="n">
        <v>2</v>
      </c>
      <c r="J1365" s="4" t="n">
        <v>95400</v>
      </c>
      <c r="K1365" s="4">
        <f>I1365*J1365</f>
        <v/>
      </c>
      <c r="L1365" t="inlineStr">
        <is>
          <t>リピート受注</t>
        </is>
      </c>
    </row>
    <row r="1366">
      <c r="A1366" t="inlineStr">
        <is>
          <t>SR057</t>
        </is>
      </c>
      <c r="B1366" t="inlineStr">
        <is>
          <t>営業担当057</t>
        </is>
      </c>
      <c r="C1366" t="inlineStr">
        <is>
          <t>第2営業部</t>
        </is>
      </c>
      <c r="D1366" s="3" t="n">
        <v>45999</v>
      </c>
      <c r="E1366" t="inlineStr">
        <is>
          <t>中央設備有限会社</t>
        </is>
      </c>
      <c r="F1366" t="inlineStr">
        <is>
          <t>福岡県</t>
        </is>
      </c>
      <c r="G1366" t="inlineStr">
        <is>
          <t>消耗品</t>
        </is>
      </c>
      <c r="H1366" t="inlineStr">
        <is>
          <t>ラベルロール</t>
        </is>
      </c>
      <c r="I1366" s="4" t="n">
        <v>11</v>
      </c>
      <c r="J1366" s="4" t="n">
        <v>10220</v>
      </c>
      <c r="K1366" s="4">
        <f>I1366*J1366</f>
        <v/>
      </c>
      <c r="L1366" t="inlineStr">
        <is>
          <t>リピート受注</t>
        </is>
      </c>
    </row>
    <row r="1367">
      <c r="A1367" t="inlineStr">
        <is>
          <t>SR057</t>
        </is>
      </c>
      <c r="B1367" t="inlineStr">
        <is>
          <t>営業担当057</t>
        </is>
      </c>
      <c r="C1367" t="inlineStr">
        <is>
          <t>第2営業部</t>
        </is>
      </c>
      <c r="D1367" s="3" t="n">
        <v>46038</v>
      </c>
      <c r="E1367" t="inlineStr">
        <is>
          <t>東洋フーズ株式会社</t>
        </is>
      </c>
      <c r="F1367" t="inlineStr">
        <is>
          <t>北海道</t>
        </is>
      </c>
      <c r="G1367" t="inlineStr">
        <is>
          <t>消耗品</t>
        </is>
      </c>
      <c r="H1367" t="inlineStr">
        <is>
          <t>交換用ヘッド</t>
        </is>
      </c>
      <c r="I1367" s="4" t="n">
        <v>5</v>
      </c>
      <c r="J1367" s="4" t="n">
        <v>31130</v>
      </c>
      <c r="K1367" s="4">
        <f>I1367*J1367</f>
        <v/>
      </c>
      <c r="L1367" t="inlineStr">
        <is>
          <t>分納</t>
        </is>
      </c>
    </row>
    <row r="1368">
      <c r="A1368" t="inlineStr">
        <is>
          <t>SR057</t>
        </is>
      </c>
      <c r="B1368" t="inlineStr">
        <is>
          <t>営業担当057</t>
        </is>
      </c>
      <c r="C1368" t="inlineStr">
        <is>
          <t>第2営業部</t>
        </is>
      </c>
      <c r="D1368" s="3" t="n">
        <v>46049</v>
      </c>
      <c r="E1368" t="inlineStr">
        <is>
          <t>九州エナジー株式会社</t>
        </is>
      </c>
      <c r="F1368" t="inlineStr">
        <is>
          <t>北海道</t>
        </is>
      </c>
      <c r="G1368" t="inlineStr">
        <is>
          <t>ハードウェア</t>
        </is>
      </c>
      <c r="H1368" t="inlineStr">
        <is>
          <t>産業用タブレット</t>
        </is>
      </c>
      <c r="I1368" s="4" t="n">
        <v>1</v>
      </c>
      <c r="J1368" s="4" t="n">
        <v>70600</v>
      </c>
      <c r="K1368" s="4">
        <f>I1368*J1368</f>
        <v/>
      </c>
      <c r="L1368" t="inlineStr">
        <is>
          <t>キャンペーン適用</t>
        </is>
      </c>
    </row>
    <row r="1369">
      <c r="A1369" t="inlineStr">
        <is>
          <t>SR057</t>
        </is>
      </c>
      <c r="B1369" t="inlineStr">
        <is>
          <t>営業担当057</t>
        </is>
      </c>
      <c r="C1369" t="inlineStr">
        <is>
          <t>第2営業部</t>
        </is>
      </c>
      <c r="D1369" s="3" t="n">
        <v>46054</v>
      </c>
      <c r="E1369" t="inlineStr">
        <is>
          <t>星和商会株式会社</t>
        </is>
      </c>
      <c r="F1369" t="inlineStr">
        <is>
          <t>東京都</t>
        </is>
      </c>
      <c r="G1369" t="inlineStr">
        <is>
          <t>消耗品</t>
        </is>
      </c>
      <c r="H1369" t="inlineStr">
        <is>
          <t>交換用ヘッド</t>
        </is>
      </c>
      <c r="I1369" s="4" t="n">
        <v>9</v>
      </c>
      <c r="J1369" s="4" t="n">
        <v>15220</v>
      </c>
      <c r="K1369" s="4">
        <f>I1369*J1369</f>
        <v/>
      </c>
      <c r="L1369" t="inlineStr">
        <is>
          <t>キャンペーン適用</t>
        </is>
      </c>
    </row>
    <row r="1370">
      <c r="A1370" t="inlineStr">
        <is>
          <t>SR057</t>
        </is>
      </c>
      <c r="B1370" t="inlineStr">
        <is>
          <t>営業担当057</t>
        </is>
      </c>
      <c r="C1370" t="inlineStr">
        <is>
          <t>第2営業部</t>
        </is>
      </c>
      <c r="D1370" s="3" t="n">
        <v>46067</v>
      </c>
      <c r="E1370" t="inlineStr">
        <is>
          <t>大和精機(株)</t>
        </is>
      </c>
      <c r="F1370" t="inlineStr">
        <is>
          <t>愛知県</t>
        </is>
      </c>
      <c r="G1370" t="inlineStr">
        <is>
          <t>保守サービス</t>
        </is>
      </c>
      <c r="H1370" t="inlineStr">
        <is>
          <t>年間保守契約</t>
        </is>
      </c>
      <c r="I1370" s="4" t="n">
        <v>2</v>
      </c>
      <c r="J1370" s="4" t="n">
        <v>175100</v>
      </c>
      <c r="K1370" s="4">
        <f>I1370*J1370</f>
        <v/>
      </c>
      <c r="L1370" t="inlineStr">
        <is>
          <t>キャンペーン適用</t>
        </is>
      </c>
    </row>
    <row r="1371">
      <c r="A1371" t="inlineStr">
        <is>
          <t>SR057</t>
        </is>
      </c>
      <c r="B1371" t="inlineStr">
        <is>
          <t>営業担当057</t>
        </is>
      </c>
      <c r="C1371" t="inlineStr">
        <is>
          <t>第2営業部</t>
        </is>
      </c>
      <c r="D1371" s="3" t="n">
        <v>46082</v>
      </c>
      <c r="E1371" t="inlineStr">
        <is>
          <t>グリーンテック(株)</t>
        </is>
      </c>
      <c r="F1371" t="inlineStr">
        <is>
          <t>北海道</t>
        </is>
      </c>
      <c r="G1371" t="inlineStr">
        <is>
          <t>ハードウェア</t>
        </is>
      </c>
      <c r="H1371" t="inlineStr">
        <is>
          <t>小型ハンディ端末</t>
        </is>
      </c>
      <c r="I1371" s="4" t="n">
        <v>2</v>
      </c>
      <c r="J1371" s="4" t="n">
        <v>75400</v>
      </c>
      <c r="K1371" s="4">
        <f>I1371*J1371</f>
        <v/>
      </c>
      <c r="L1371" t="inlineStr">
        <is>
          <t>大型案件</t>
        </is>
      </c>
    </row>
    <row r="1372">
      <c r="A1372" t="inlineStr">
        <is>
          <t>SR057</t>
        </is>
      </c>
      <c r="B1372" t="inlineStr">
        <is>
          <t>営業担当057</t>
        </is>
      </c>
      <c r="C1372" t="inlineStr">
        <is>
          <t>第2営業部</t>
        </is>
      </c>
      <c r="D1372" s="3" t="n">
        <v>46085</v>
      </c>
      <c r="E1372" t="inlineStr">
        <is>
          <t>星和商会有限会社</t>
        </is>
      </c>
      <c r="F1372" t="inlineStr">
        <is>
          <t>神奈川県</t>
        </is>
      </c>
      <c r="G1372" t="inlineStr">
        <is>
          <t>ハードウェア</t>
        </is>
      </c>
      <c r="H1372" t="inlineStr">
        <is>
          <t>小型ハンディ端末</t>
        </is>
      </c>
      <c r="I1372" s="4" t="n">
        <v>4</v>
      </c>
      <c r="J1372" s="4" t="n">
        <v>89300</v>
      </c>
      <c r="K1372" s="4">
        <f>I1372*J1372</f>
        <v/>
      </c>
      <c r="L1372" t="inlineStr">
        <is>
          <t>分納</t>
        </is>
      </c>
    </row>
    <row r="1373">
      <c r="A1373" t="inlineStr">
        <is>
          <t>SR058</t>
        </is>
      </c>
      <c r="B1373" t="inlineStr">
        <is>
          <t>営業担当058</t>
        </is>
      </c>
      <c r="C1373" t="inlineStr">
        <is>
          <t>第3営業部</t>
        </is>
      </c>
      <c r="D1373" s="3" t="n">
        <v>45751</v>
      </c>
      <c r="E1373" t="inlineStr">
        <is>
          <t>アーク電機有限会社</t>
        </is>
      </c>
      <c r="F1373" t="inlineStr">
        <is>
          <t>神奈川県</t>
        </is>
      </c>
      <c r="G1373" t="inlineStr">
        <is>
          <t>保守サービス</t>
        </is>
      </c>
      <c r="H1373" t="inlineStr">
        <is>
          <t>オンサイト保守</t>
        </is>
      </c>
      <c r="I1373" s="4" t="n">
        <v>3</v>
      </c>
      <c r="J1373" s="4" t="n">
        <v>121900</v>
      </c>
      <c r="K1373" s="4">
        <f>I1373*J1373</f>
        <v/>
      </c>
      <c r="L1373" t="inlineStr"/>
    </row>
    <row r="1374">
      <c r="A1374" t="inlineStr">
        <is>
          <t>SR058</t>
        </is>
      </c>
      <c r="B1374" t="inlineStr">
        <is>
          <t>営業担当058</t>
        </is>
      </c>
      <c r="C1374" t="inlineStr">
        <is>
          <t>第3営業部</t>
        </is>
      </c>
      <c r="D1374" s="3" t="n">
        <v>45761</v>
      </c>
      <c r="E1374" t="inlineStr">
        <is>
          <t>ライトホーム有限会社</t>
        </is>
      </c>
      <c r="F1374" t="inlineStr">
        <is>
          <t>神奈川県</t>
        </is>
      </c>
      <c r="G1374" t="inlineStr">
        <is>
          <t>保守サービス</t>
        </is>
      </c>
      <c r="H1374" t="inlineStr">
        <is>
          <t>ヘルプデスク契約</t>
        </is>
      </c>
      <c r="I1374" s="4" t="n">
        <v>1</v>
      </c>
      <c r="J1374" s="4" t="n">
        <v>98100</v>
      </c>
      <c r="K1374" s="4">
        <f>I1374*J1374</f>
        <v/>
      </c>
      <c r="L1374" t="inlineStr">
        <is>
          <t>キャンペーン適用</t>
        </is>
      </c>
    </row>
    <row r="1375">
      <c r="A1375" t="inlineStr">
        <is>
          <t>SR058</t>
        </is>
      </c>
      <c r="B1375" t="inlineStr">
        <is>
          <t>営業担当058</t>
        </is>
      </c>
      <c r="C1375" t="inlineStr">
        <is>
          <t>第3営業部</t>
        </is>
      </c>
      <c r="D1375" s="3" t="n">
        <v>45791</v>
      </c>
      <c r="E1375" t="inlineStr">
        <is>
          <t>東洋フーズ有限会社</t>
        </is>
      </c>
      <c r="F1375" t="inlineStr">
        <is>
          <t>北海道</t>
        </is>
      </c>
      <c r="G1375" t="inlineStr">
        <is>
          <t>保守サービス</t>
        </is>
      </c>
      <c r="H1375" t="inlineStr">
        <is>
          <t>ヘルプデスク契約</t>
        </is>
      </c>
      <c r="I1375" s="4" t="n">
        <v>1</v>
      </c>
      <c r="J1375" s="4" t="n">
        <v>82000</v>
      </c>
      <c r="K1375" s="4">
        <f>I1375*J1375</f>
        <v/>
      </c>
      <c r="L1375" t="inlineStr"/>
    </row>
    <row r="1376">
      <c r="A1376" t="inlineStr">
        <is>
          <t>SR058</t>
        </is>
      </c>
      <c r="B1376" t="inlineStr">
        <is>
          <t>営業担当058</t>
        </is>
      </c>
      <c r="C1376" t="inlineStr">
        <is>
          <t>第3営業部</t>
        </is>
      </c>
      <c r="D1376" s="3" t="n">
        <v>45795</v>
      </c>
      <c r="E1376" t="inlineStr">
        <is>
          <t>オーシャン製作所(株)</t>
        </is>
      </c>
      <c r="F1376" t="inlineStr">
        <is>
          <t>兵庫県</t>
        </is>
      </c>
      <c r="G1376" t="inlineStr">
        <is>
          <t>ソフトウェア</t>
        </is>
      </c>
      <c r="H1376" t="inlineStr">
        <is>
          <t>AIチャットボット</t>
        </is>
      </c>
      <c r="I1376" s="4" t="n">
        <v>3</v>
      </c>
      <c r="J1376" s="4" t="n">
        <v>820500</v>
      </c>
      <c r="K1376" s="4">
        <f>I1376*J1376</f>
        <v/>
      </c>
      <c r="L1376" t="inlineStr">
        <is>
          <t>分納</t>
        </is>
      </c>
    </row>
    <row r="1377">
      <c r="A1377" t="inlineStr">
        <is>
          <t>SR058</t>
        </is>
      </c>
      <c r="B1377" t="inlineStr">
        <is>
          <t>営業担当058</t>
        </is>
      </c>
      <c r="C1377" t="inlineStr">
        <is>
          <t>第3営業部</t>
        </is>
      </c>
      <c r="D1377" s="3" t="n">
        <v>45810</v>
      </c>
      <c r="E1377" t="inlineStr">
        <is>
          <t>大和精機(株)</t>
        </is>
      </c>
      <c r="F1377" t="inlineStr">
        <is>
          <t>兵庫県</t>
        </is>
      </c>
      <c r="G1377" t="inlineStr">
        <is>
          <t>導入支援</t>
        </is>
      </c>
      <c r="H1377" t="inlineStr">
        <is>
          <t>データ移行支援</t>
        </is>
      </c>
      <c r="I1377" s="4" t="n">
        <v>5</v>
      </c>
      <c r="J1377" s="4" t="n">
        <v>344200</v>
      </c>
      <c r="K1377" s="4">
        <f>I1377*J1377</f>
        <v/>
      </c>
      <c r="L1377" t="inlineStr">
        <is>
          <t>値引き調整あり</t>
        </is>
      </c>
    </row>
    <row r="1378">
      <c r="A1378" t="inlineStr">
        <is>
          <t>SR058</t>
        </is>
      </c>
      <c r="B1378" t="inlineStr">
        <is>
          <t>営業担当058</t>
        </is>
      </c>
      <c r="C1378" t="inlineStr">
        <is>
          <t>第3営業部</t>
        </is>
      </c>
      <c r="D1378" s="3" t="n">
        <v>45824</v>
      </c>
      <c r="E1378" t="inlineStr">
        <is>
          <t>中央設備(株)</t>
        </is>
      </c>
      <c r="F1378" t="inlineStr">
        <is>
          <t>兵庫県</t>
        </is>
      </c>
      <c r="G1378" t="inlineStr">
        <is>
          <t>ソフトウェア</t>
        </is>
      </c>
      <c r="H1378" t="inlineStr">
        <is>
          <t>在庫管理クラウド</t>
        </is>
      </c>
      <c r="I1378" s="4" t="n">
        <v>2</v>
      </c>
      <c r="J1378" s="4" t="n">
        <v>199500</v>
      </c>
      <c r="K1378" s="4">
        <f>I1378*J1378</f>
        <v/>
      </c>
      <c r="L1378" t="inlineStr"/>
    </row>
    <row r="1379">
      <c r="A1379" t="inlineStr">
        <is>
          <t>SR058</t>
        </is>
      </c>
      <c r="B1379" t="inlineStr">
        <is>
          <t>営業担当058</t>
        </is>
      </c>
      <c r="C1379" t="inlineStr">
        <is>
          <t>第3営業部</t>
        </is>
      </c>
      <c r="D1379" s="3" t="n">
        <v>45843</v>
      </c>
      <c r="E1379" t="inlineStr">
        <is>
          <t>中央設備(株)</t>
        </is>
      </c>
      <c r="F1379" t="inlineStr">
        <is>
          <t>宮城県</t>
        </is>
      </c>
      <c r="G1379" t="inlineStr">
        <is>
          <t>ハードウェア</t>
        </is>
      </c>
      <c r="H1379" t="inlineStr">
        <is>
          <t>小型ハンディ端末</t>
        </is>
      </c>
      <c r="I1379" s="4" t="n">
        <v>1</v>
      </c>
      <c r="J1379" s="4" t="n">
        <v>64500</v>
      </c>
      <c r="K1379" s="4">
        <f>I1379*J1379</f>
        <v/>
      </c>
      <c r="L1379" t="inlineStr">
        <is>
          <t>新規開拓</t>
        </is>
      </c>
    </row>
    <row r="1380">
      <c r="A1380" t="inlineStr">
        <is>
          <t>SR058</t>
        </is>
      </c>
      <c r="B1380" t="inlineStr">
        <is>
          <t>営業担当058</t>
        </is>
      </c>
      <c r="C1380" t="inlineStr">
        <is>
          <t>第3営業部</t>
        </is>
      </c>
      <c r="D1380" s="3" t="n">
        <v>45850</v>
      </c>
      <c r="E1380" t="inlineStr">
        <is>
          <t>日新サービス株式会社</t>
        </is>
      </c>
      <c r="F1380" t="inlineStr">
        <is>
          <t>大阪府</t>
        </is>
      </c>
      <c r="G1380" t="inlineStr">
        <is>
          <t>ハードウェア</t>
        </is>
      </c>
      <c r="H1380" t="inlineStr">
        <is>
          <t>ラベルプリンター</t>
        </is>
      </c>
      <c r="I1380" s="4" t="n">
        <v>4</v>
      </c>
      <c r="J1380" s="4" t="n">
        <v>78400</v>
      </c>
      <c r="K1380" s="4">
        <f>I1380*J1380</f>
        <v/>
      </c>
      <c r="L1380" t="inlineStr"/>
    </row>
    <row r="1381">
      <c r="A1381" t="inlineStr">
        <is>
          <t>SR058</t>
        </is>
      </c>
      <c r="B1381" t="inlineStr">
        <is>
          <t>営業担当058</t>
        </is>
      </c>
      <c r="C1381" t="inlineStr">
        <is>
          <t>第3営業部</t>
        </is>
      </c>
      <c r="D1381" s="3" t="n">
        <v>45881</v>
      </c>
      <c r="E1381" t="inlineStr">
        <is>
          <t>桜井メディカル株式会社</t>
        </is>
      </c>
      <c r="F1381" t="inlineStr">
        <is>
          <t>愛知県</t>
        </is>
      </c>
      <c r="G1381" t="inlineStr">
        <is>
          <t>保守サービス</t>
        </is>
      </c>
      <c r="H1381" t="inlineStr">
        <is>
          <t>オンサイト保守</t>
        </is>
      </c>
      <c r="I1381" s="4" t="n">
        <v>2</v>
      </c>
      <c r="J1381" s="4" t="n">
        <v>104300</v>
      </c>
      <c r="K1381" s="4">
        <f>I1381*J1381</f>
        <v/>
      </c>
      <c r="L1381" t="inlineStr"/>
    </row>
    <row r="1382">
      <c r="A1382" t="inlineStr">
        <is>
          <t>SR058</t>
        </is>
      </c>
      <c r="B1382" t="inlineStr">
        <is>
          <t>営業担当058</t>
        </is>
      </c>
      <c r="C1382" t="inlineStr">
        <is>
          <t>第3営業部</t>
        </is>
      </c>
      <c r="D1382" s="3" t="n">
        <v>45896</v>
      </c>
      <c r="E1382" t="inlineStr">
        <is>
          <t>九州エナジー株式会社</t>
        </is>
      </c>
      <c r="F1382" t="inlineStr">
        <is>
          <t>東京都</t>
        </is>
      </c>
      <c r="G1382" t="inlineStr">
        <is>
          <t>保守サービス</t>
        </is>
      </c>
      <c r="H1382" t="inlineStr">
        <is>
          <t>年間保守契約</t>
        </is>
      </c>
      <c r="I1382" s="4" t="n">
        <v>1</v>
      </c>
      <c r="J1382" s="4" t="n">
        <v>79600</v>
      </c>
      <c r="K1382" s="4">
        <f>I1382*J1382</f>
        <v/>
      </c>
      <c r="L1382" t="inlineStr">
        <is>
          <t>リピート受注</t>
        </is>
      </c>
    </row>
    <row r="1383">
      <c r="A1383" t="inlineStr">
        <is>
          <t>SR058</t>
        </is>
      </c>
      <c r="B1383" t="inlineStr">
        <is>
          <t>営業担当058</t>
        </is>
      </c>
      <c r="C1383" t="inlineStr">
        <is>
          <t>第3営業部</t>
        </is>
      </c>
      <c r="D1383" s="3" t="n">
        <v>45901</v>
      </c>
      <c r="E1383" t="inlineStr">
        <is>
          <t>オーシャン製作所有限会社</t>
        </is>
      </c>
      <c r="F1383" t="inlineStr">
        <is>
          <t>東京都</t>
        </is>
      </c>
      <c r="G1383" t="inlineStr">
        <is>
          <t>保守サービス</t>
        </is>
      </c>
      <c r="H1383" t="inlineStr">
        <is>
          <t>年間保守契約</t>
        </is>
      </c>
      <c r="I1383" s="4" t="n">
        <v>4</v>
      </c>
      <c r="J1383" s="4" t="n">
        <v>292400</v>
      </c>
      <c r="K1383" s="4">
        <f>I1383*J1383</f>
        <v/>
      </c>
      <c r="L1383" t="inlineStr">
        <is>
          <t>新規開拓</t>
        </is>
      </c>
    </row>
    <row r="1384">
      <c r="A1384" t="inlineStr">
        <is>
          <t>SR058</t>
        </is>
      </c>
      <c r="B1384" t="inlineStr">
        <is>
          <t>営業担当058</t>
        </is>
      </c>
      <c r="C1384" t="inlineStr">
        <is>
          <t>第3営業部</t>
        </is>
      </c>
      <c r="D1384" s="3" t="n">
        <v>45903</v>
      </c>
      <c r="E1384" t="inlineStr">
        <is>
          <t>未来通信(株)</t>
        </is>
      </c>
      <c r="F1384" t="inlineStr">
        <is>
          <t>兵庫県</t>
        </is>
      </c>
      <c r="G1384" t="inlineStr">
        <is>
          <t>導入支援</t>
        </is>
      </c>
      <c r="H1384" t="inlineStr">
        <is>
          <t>データ移行支援</t>
        </is>
      </c>
      <c r="I1384" s="4" t="n">
        <v>2</v>
      </c>
      <c r="J1384" s="4" t="n">
        <v>136400</v>
      </c>
      <c r="K1384" s="4">
        <f>I1384*J1384</f>
        <v/>
      </c>
      <c r="L1384" t="inlineStr">
        <is>
          <t>分納</t>
        </is>
      </c>
    </row>
    <row r="1385">
      <c r="A1385" t="inlineStr">
        <is>
          <t>SR058</t>
        </is>
      </c>
      <c r="B1385" t="inlineStr">
        <is>
          <t>営業担当058</t>
        </is>
      </c>
      <c r="C1385" t="inlineStr">
        <is>
          <t>第3営業部</t>
        </is>
      </c>
      <c r="D1385" s="3" t="n">
        <v>45934</v>
      </c>
      <c r="E1385" t="inlineStr">
        <is>
          <t>グリーンテック(株)</t>
        </is>
      </c>
      <c r="F1385" t="inlineStr">
        <is>
          <t>福岡県</t>
        </is>
      </c>
      <c r="G1385" t="inlineStr">
        <is>
          <t>消耗品</t>
        </is>
      </c>
      <c r="H1385" t="inlineStr">
        <is>
          <t>保守用バッテリー</t>
        </is>
      </c>
      <c r="I1385" s="4" t="n">
        <v>11</v>
      </c>
      <c r="J1385" s="4" t="n">
        <v>14950</v>
      </c>
      <c r="K1385" s="4">
        <f>I1385*J1385</f>
        <v/>
      </c>
      <c r="L1385" t="inlineStr"/>
    </row>
    <row r="1386">
      <c r="A1386" t="inlineStr">
        <is>
          <t>SR058</t>
        </is>
      </c>
      <c r="B1386" t="inlineStr">
        <is>
          <t>営業担当058</t>
        </is>
      </c>
      <c r="C1386" t="inlineStr">
        <is>
          <t>第3営業部</t>
        </is>
      </c>
      <c r="D1386" s="3" t="n">
        <v>45938</v>
      </c>
      <c r="E1386" t="inlineStr">
        <is>
          <t>九州エナジー株式会社</t>
        </is>
      </c>
      <c r="F1386" t="inlineStr">
        <is>
          <t>宮城県</t>
        </is>
      </c>
      <c r="G1386" t="inlineStr">
        <is>
          <t>保守サービス</t>
        </is>
      </c>
      <c r="H1386" t="inlineStr">
        <is>
          <t>ヘルプデスク契約</t>
        </is>
      </c>
      <c r="I1386" s="4" t="n">
        <v>2</v>
      </c>
      <c r="J1386" s="4" t="n">
        <v>89900</v>
      </c>
      <c r="K1386" s="4">
        <f>I1386*J1386</f>
        <v/>
      </c>
      <c r="L1386" t="inlineStr">
        <is>
          <t>大型案件</t>
        </is>
      </c>
    </row>
    <row r="1387">
      <c r="A1387" t="inlineStr">
        <is>
          <t>SR058</t>
        </is>
      </c>
      <c r="B1387" t="inlineStr">
        <is>
          <t>営業担当058</t>
        </is>
      </c>
      <c r="C1387" t="inlineStr">
        <is>
          <t>第3営業部</t>
        </is>
      </c>
      <c r="D1387" s="3" t="n">
        <v>45965</v>
      </c>
      <c r="E1387" t="inlineStr">
        <is>
          <t>九州エナジー(株)</t>
        </is>
      </c>
      <c r="F1387" t="inlineStr">
        <is>
          <t>兵庫県</t>
        </is>
      </c>
      <c r="G1387" t="inlineStr">
        <is>
          <t>ソフトウェア</t>
        </is>
      </c>
      <c r="H1387" t="inlineStr">
        <is>
          <t>AIチャットボット</t>
        </is>
      </c>
      <c r="I1387" s="4" t="n">
        <v>4</v>
      </c>
      <c r="J1387" s="4" t="n">
        <v>510300</v>
      </c>
      <c r="K1387" s="4">
        <f>I1387*J1387</f>
        <v/>
      </c>
      <c r="L1387" t="inlineStr">
        <is>
          <t>新規開拓</t>
        </is>
      </c>
    </row>
    <row r="1388">
      <c r="A1388" t="inlineStr">
        <is>
          <t>SR058</t>
        </is>
      </c>
      <c r="B1388" t="inlineStr">
        <is>
          <t>営業担当058</t>
        </is>
      </c>
      <c r="C1388" t="inlineStr">
        <is>
          <t>第3営業部</t>
        </is>
      </c>
      <c r="D1388" s="3" t="n">
        <v>45978</v>
      </c>
      <c r="E1388" t="inlineStr">
        <is>
          <t>大和精機株式会社</t>
        </is>
      </c>
      <c r="F1388" t="inlineStr">
        <is>
          <t>兵庫県</t>
        </is>
      </c>
      <c r="G1388" t="inlineStr">
        <is>
          <t>導入支援</t>
        </is>
      </c>
      <c r="H1388" t="inlineStr">
        <is>
          <t>操作研修パック</t>
        </is>
      </c>
      <c r="I1388" s="4" t="n">
        <v>4</v>
      </c>
      <c r="J1388" s="4" t="n">
        <v>87400</v>
      </c>
      <c r="K1388" s="4">
        <f>I1388*J1388</f>
        <v/>
      </c>
      <c r="L1388" t="inlineStr">
        <is>
          <t>新規開拓</t>
        </is>
      </c>
    </row>
    <row r="1389">
      <c r="A1389" t="inlineStr">
        <is>
          <t>SR058</t>
        </is>
      </c>
      <c r="B1389" t="inlineStr">
        <is>
          <t>営業担当058</t>
        </is>
      </c>
      <c r="C1389" t="inlineStr">
        <is>
          <t>第3営業部</t>
        </is>
      </c>
      <c r="D1389" s="3" t="n">
        <v>45998</v>
      </c>
      <c r="E1389" t="inlineStr">
        <is>
          <t>東洋フーズ株式会社</t>
        </is>
      </c>
      <c r="F1389" t="inlineStr">
        <is>
          <t>広島県</t>
        </is>
      </c>
      <c r="G1389" t="inlineStr">
        <is>
          <t>導入支援</t>
        </is>
      </c>
      <c r="H1389" t="inlineStr">
        <is>
          <t>初期設定支援</t>
        </is>
      </c>
      <c r="I1389" s="4" t="n">
        <v>3</v>
      </c>
      <c r="J1389" s="4" t="n">
        <v>136200</v>
      </c>
      <c r="K1389" s="4">
        <f>I1389*J1389</f>
        <v/>
      </c>
      <c r="L1389" t="inlineStr"/>
    </row>
    <row r="1390">
      <c r="A1390" t="inlineStr">
        <is>
          <t>SR058</t>
        </is>
      </c>
      <c r="B1390" t="inlineStr">
        <is>
          <t>営業担当058</t>
        </is>
      </c>
      <c r="C1390" t="inlineStr">
        <is>
          <t>第3営業部</t>
        </is>
      </c>
      <c r="D1390" s="3" t="n">
        <v>46016</v>
      </c>
      <c r="E1390" t="inlineStr">
        <is>
          <t>ネクストソリューション株式会社</t>
        </is>
      </c>
      <c r="F1390" t="inlineStr">
        <is>
          <t>大阪府</t>
        </is>
      </c>
      <c r="G1390" t="inlineStr">
        <is>
          <t>保守サービス</t>
        </is>
      </c>
      <c r="H1390" t="inlineStr">
        <is>
          <t>オンサイト保守</t>
        </is>
      </c>
      <c r="I1390" s="4" t="n">
        <v>1</v>
      </c>
      <c r="J1390" s="4" t="n">
        <v>112200</v>
      </c>
      <c r="K1390" s="4">
        <f>I1390*J1390</f>
        <v/>
      </c>
      <c r="L1390" t="inlineStr">
        <is>
          <t>値引き調整あり</t>
        </is>
      </c>
    </row>
    <row r="1391">
      <c r="A1391" t="inlineStr">
        <is>
          <t>SR058</t>
        </is>
      </c>
      <c r="B1391" t="inlineStr">
        <is>
          <t>営業担当058</t>
        </is>
      </c>
      <c r="C1391" t="inlineStr">
        <is>
          <t>第3営業部</t>
        </is>
      </c>
      <c r="D1391" s="3" t="n">
        <v>46026</v>
      </c>
      <c r="E1391" t="inlineStr">
        <is>
          <t>白峰化学株式会社</t>
        </is>
      </c>
      <c r="F1391" t="inlineStr">
        <is>
          <t>兵庫県</t>
        </is>
      </c>
      <c r="G1391" t="inlineStr">
        <is>
          <t>保守サービス</t>
        </is>
      </c>
      <c r="H1391" t="inlineStr">
        <is>
          <t>ヘルプデスク契約</t>
        </is>
      </c>
      <c r="I1391" s="4" t="n">
        <v>4</v>
      </c>
      <c r="J1391" s="4" t="n">
        <v>60200</v>
      </c>
      <c r="K1391" s="4">
        <f>I1391*J1391</f>
        <v/>
      </c>
      <c r="L1391" t="inlineStr"/>
    </row>
    <row r="1392">
      <c r="A1392" t="inlineStr">
        <is>
          <t>SR058</t>
        </is>
      </c>
      <c r="B1392" t="inlineStr">
        <is>
          <t>営業担当058</t>
        </is>
      </c>
      <c r="C1392" t="inlineStr">
        <is>
          <t>第3営業部</t>
        </is>
      </c>
      <c r="D1392" s="3" t="n">
        <v>46049</v>
      </c>
      <c r="E1392" t="inlineStr">
        <is>
          <t>桜井メディカル有限会社</t>
        </is>
      </c>
      <c r="F1392" t="inlineStr">
        <is>
          <t>愛知県</t>
        </is>
      </c>
      <c r="G1392" t="inlineStr">
        <is>
          <t>ソフトウェア</t>
        </is>
      </c>
      <c r="H1392" t="inlineStr">
        <is>
          <t>在庫管理クラウド</t>
        </is>
      </c>
      <c r="I1392" s="4" t="n">
        <v>4</v>
      </c>
      <c r="J1392" s="4" t="n">
        <v>204600</v>
      </c>
      <c r="K1392" s="4">
        <f>I1392*J1392</f>
        <v/>
      </c>
      <c r="L1392" t="inlineStr">
        <is>
          <t>大型案件</t>
        </is>
      </c>
    </row>
    <row r="1393">
      <c r="A1393" t="inlineStr">
        <is>
          <t>SR058</t>
        </is>
      </c>
      <c r="B1393" t="inlineStr">
        <is>
          <t>営業担当058</t>
        </is>
      </c>
      <c r="C1393" t="inlineStr">
        <is>
          <t>第3営業部</t>
        </is>
      </c>
      <c r="D1393" s="3" t="n">
        <v>46054</v>
      </c>
      <c r="E1393" t="inlineStr">
        <is>
          <t>東洋フーズ(株)</t>
        </is>
      </c>
      <c r="F1393" t="inlineStr">
        <is>
          <t>宮城県</t>
        </is>
      </c>
      <c r="G1393" t="inlineStr">
        <is>
          <t>ハードウェア</t>
        </is>
      </c>
      <c r="H1393" t="inlineStr">
        <is>
          <t>ネットワークカメラ</t>
        </is>
      </c>
      <c r="I1393" s="4" t="n">
        <v>1</v>
      </c>
      <c r="J1393" s="4" t="n">
        <v>58800</v>
      </c>
      <c r="K1393" s="4">
        <f>I1393*J1393</f>
        <v/>
      </c>
      <c r="L1393" t="inlineStr">
        <is>
          <t>大型案件</t>
        </is>
      </c>
    </row>
    <row r="1394">
      <c r="A1394" t="inlineStr">
        <is>
          <t>SR058</t>
        </is>
      </c>
      <c r="B1394" t="inlineStr">
        <is>
          <t>営業担当058</t>
        </is>
      </c>
      <c r="C1394" t="inlineStr">
        <is>
          <t>第3営業部</t>
        </is>
      </c>
      <c r="D1394" s="3" t="n">
        <v>46063</v>
      </c>
      <c r="E1394" t="inlineStr">
        <is>
          <t>青葉商事有限会社</t>
        </is>
      </c>
      <c r="F1394" t="inlineStr">
        <is>
          <t>兵庫県</t>
        </is>
      </c>
      <c r="G1394" t="inlineStr">
        <is>
          <t>ソフトウェア</t>
        </is>
      </c>
      <c r="H1394" t="inlineStr">
        <is>
          <t>AIチャットボット</t>
        </is>
      </c>
      <c r="I1394" s="4" t="n">
        <v>3</v>
      </c>
      <c r="J1394" s="4" t="n">
        <v>357300</v>
      </c>
      <c r="K1394" s="4">
        <f>I1394*J1394</f>
        <v/>
      </c>
      <c r="L1394" t="inlineStr">
        <is>
          <t>キャンペーン適用</t>
        </is>
      </c>
    </row>
    <row r="1395">
      <c r="A1395" t="inlineStr">
        <is>
          <t>SR058</t>
        </is>
      </c>
      <c r="B1395" t="inlineStr">
        <is>
          <t>営業担当058</t>
        </is>
      </c>
      <c r="C1395" t="inlineStr">
        <is>
          <t>第3営業部</t>
        </is>
      </c>
      <c r="D1395" s="3" t="n">
        <v>46083</v>
      </c>
      <c r="E1395" t="inlineStr">
        <is>
          <t>九州エナジー有限会社</t>
        </is>
      </c>
      <c r="F1395" t="inlineStr">
        <is>
          <t>東京都</t>
        </is>
      </c>
      <c r="G1395" t="inlineStr">
        <is>
          <t>保守サービス</t>
        </is>
      </c>
      <c r="H1395" t="inlineStr">
        <is>
          <t>ヘルプデスク契約</t>
        </is>
      </c>
      <c r="I1395" s="4" t="n">
        <v>1</v>
      </c>
      <c r="J1395" s="4" t="n">
        <v>43100</v>
      </c>
      <c r="K1395" s="4">
        <f>I1395*J1395</f>
        <v/>
      </c>
      <c r="L1395" t="inlineStr">
        <is>
          <t>分納</t>
        </is>
      </c>
    </row>
    <row r="1396">
      <c r="A1396" t="inlineStr">
        <is>
          <t>SR058</t>
        </is>
      </c>
      <c r="B1396" t="inlineStr">
        <is>
          <t>営業担当058</t>
        </is>
      </c>
      <c r="C1396" t="inlineStr">
        <is>
          <t>第3営業部</t>
        </is>
      </c>
      <c r="D1396" s="3" t="n">
        <v>46108</v>
      </c>
      <c r="E1396" t="inlineStr">
        <is>
          <t>星和商会有限会社</t>
        </is>
      </c>
      <c r="F1396" t="inlineStr">
        <is>
          <t>京都府</t>
        </is>
      </c>
      <c r="G1396" t="inlineStr">
        <is>
          <t>保守サービス</t>
        </is>
      </c>
      <c r="H1396" t="inlineStr">
        <is>
          <t>オンサイト保守</t>
        </is>
      </c>
      <c r="I1396" s="4" t="n">
        <v>4</v>
      </c>
      <c r="J1396" s="4" t="n">
        <v>174200</v>
      </c>
      <c r="K1396" s="4">
        <f>I1396*J1396</f>
        <v/>
      </c>
      <c r="L1396" t="inlineStr"/>
    </row>
    <row r="1397">
      <c r="A1397" t="inlineStr">
        <is>
          <t>SR059</t>
        </is>
      </c>
      <c r="B1397" t="inlineStr">
        <is>
          <t>営業担当059</t>
        </is>
      </c>
      <c r="C1397" t="inlineStr">
        <is>
          <t>パートナー営業部</t>
        </is>
      </c>
      <c r="D1397" s="3" t="n">
        <v>45764</v>
      </c>
      <c r="E1397" t="inlineStr">
        <is>
          <t>ライトホーム(株)</t>
        </is>
      </c>
      <c r="F1397" t="inlineStr">
        <is>
          <t>神奈川県</t>
        </is>
      </c>
      <c r="G1397" t="inlineStr">
        <is>
          <t>ハードウェア</t>
        </is>
      </c>
      <c r="H1397" t="inlineStr">
        <is>
          <t>小型ハンディ端末</t>
        </is>
      </c>
      <c r="I1397" s="4" t="n">
        <v>3</v>
      </c>
      <c r="J1397" s="4" t="n">
        <v>52100</v>
      </c>
      <c r="K1397" s="4">
        <f>I1397*J1397</f>
        <v/>
      </c>
      <c r="L1397" t="inlineStr"/>
    </row>
    <row r="1398">
      <c r="A1398" t="inlineStr">
        <is>
          <t>SR059</t>
        </is>
      </c>
      <c r="B1398" t="inlineStr">
        <is>
          <t>営業担当059</t>
        </is>
      </c>
      <c r="C1398" t="inlineStr">
        <is>
          <t>パートナー営業部</t>
        </is>
      </c>
      <c r="D1398" s="3" t="n">
        <v>45775</v>
      </c>
      <c r="E1398" t="inlineStr">
        <is>
          <t>大和精機株式会社</t>
        </is>
      </c>
      <c r="F1398" t="inlineStr">
        <is>
          <t>福岡県</t>
        </is>
      </c>
      <c r="G1398" t="inlineStr">
        <is>
          <t>ハードウェア</t>
        </is>
      </c>
      <c r="H1398" t="inlineStr">
        <is>
          <t>ラベルプリンター</t>
        </is>
      </c>
      <c r="I1398" s="4" t="n">
        <v>4</v>
      </c>
      <c r="J1398" s="4" t="n">
        <v>87900</v>
      </c>
      <c r="K1398" s="4">
        <f>I1398*J1398</f>
        <v/>
      </c>
      <c r="L1398" t="inlineStr">
        <is>
          <t>分納</t>
        </is>
      </c>
    </row>
    <row r="1399">
      <c r="A1399" t="inlineStr">
        <is>
          <t>SR059</t>
        </is>
      </c>
      <c r="B1399" t="inlineStr">
        <is>
          <t>営業担当059</t>
        </is>
      </c>
      <c r="C1399" t="inlineStr">
        <is>
          <t>パートナー営業部</t>
        </is>
      </c>
      <c r="D1399" s="3" t="n">
        <v>45783</v>
      </c>
      <c r="E1399" t="inlineStr">
        <is>
          <t>オーシャン製作所(株)</t>
        </is>
      </c>
      <c r="F1399" t="inlineStr">
        <is>
          <t>福岡県</t>
        </is>
      </c>
      <c r="G1399" t="inlineStr">
        <is>
          <t>ソフトウェア</t>
        </is>
      </c>
      <c r="H1399" t="inlineStr">
        <is>
          <t>AIチャットボット</t>
        </is>
      </c>
      <c r="I1399" s="4" t="n">
        <v>4</v>
      </c>
      <c r="J1399" s="4" t="n">
        <v>523600</v>
      </c>
      <c r="K1399" s="4">
        <f>I1399*J1399</f>
        <v/>
      </c>
      <c r="L1399" t="inlineStr"/>
    </row>
    <row r="1400">
      <c r="A1400" t="inlineStr">
        <is>
          <t>SR059</t>
        </is>
      </c>
      <c r="B1400" t="inlineStr">
        <is>
          <t>営業担当059</t>
        </is>
      </c>
      <c r="C1400" t="inlineStr">
        <is>
          <t>パートナー営業部</t>
        </is>
      </c>
      <c r="D1400" s="3" t="n">
        <v>45805</v>
      </c>
      <c r="E1400" t="inlineStr">
        <is>
          <t>ライトホーム有限会社</t>
        </is>
      </c>
      <c r="F1400" t="inlineStr">
        <is>
          <t>愛知県</t>
        </is>
      </c>
      <c r="G1400" t="inlineStr">
        <is>
          <t>導入支援</t>
        </is>
      </c>
      <c r="H1400" t="inlineStr">
        <is>
          <t>初期設定支援</t>
        </is>
      </c>
      <c r="I1400" s="4" t="n">
        <v>1</v>
      </c>
      <c r="J1400" s="4" t="n">
        <v>106900</v>
      </c>
      <c r="K1400" s="4">
        <f>I1400*J1400</f>
        <v/>
      </c>
      <c r="L1400" t="inlineStr">
        <is>
          <t>キャンペーン適用</t>
        </is>
      </c>
    </row>
    <row r="1401">
      <c r="A1401" t="inlineStr">
        <is>
          <t>SR059</t>
        </is>
      </c>
      <c r="B1401" t="inlineStr">
        <is>
          <t>営業担当059</t>
        </is>
      </c>
      <c r="C1401" t="inlineStr">
        <is>
          <t>パートナー営業部</t>
        </is>
      </c>
      <c r="D1401" s="3" t="n">
        <v>45814</v>
      </c>
      <c r="E1401" t="inlineStr">
        <is>
          <t>サンライズ建設有限会社</t>
        </is>
      </c>
      <c r="F1401" t="inlineStr">
        <is>
          <t>大阪府</t>
        </is>
      </c>
      <c r="G1401" t="inlineStr">
        <is>
          <t>ハードウェア</t>
        </is>
      </c>
      <c r="H1401" t="inlineStr">
        <is>
          <t>ネットワークカメラ</t>
        </is>
      </c>
      <c r="I1401" s="4" t="n">
        <v>1</v>
      </c>
      <c r="J1401" s="4" t="n">
        <v>35200</v>
      </c>
      <c r="K1401" s="4">
        <f>I1401*J1401</f>
        <v/>
      </c>
      <c r="L1401" t="inlineStr">
        <is>
          <t>大型案件</t>
        </is>
      </c>
    </row>
    <row r="1402">
      <c r="A1402" t="inlineStr">
        <is>
          <t>SR059</t>
        </is>
      </c>
      <c r="B1402" t="inlineStr">
        <is>
          <t>営業担当059</t>
        </is>
      </c>
      <c r="C1402" t="inlineStr">
        <is>
          <t>パートナー営業部</t>
        </is>
      </c>
      <c r="D1402" s="3" t="n">
        <v>45814</v>
      </c>
      <c r="E1402" t="inlineStr">
        <is>
          <t>未来通信株式会社</t>
        </is>
      </c>
      <c r="F1402" t="inlineStr">
        <is>
          <t>福岡県</t>
        </is>
      </c>
      <c r="G1402" t="inlineStr">
        <is>
          <t>ソフトウェア</t>
        </is>
      </c>
      <c r="H1402" t="inlineStr">
        <is>
          <t>帳票自動化ツール</t>
        </is>
      </c>
      <c r="I1402" s="4" t="n">
        <v>4</v>
      </c>
      <c r="J1402" s="4" t="n">
        <v>388800</v>
      </c>
      <c r="K1402" s="4">
        <f>I1402*J1402</f>
        <v/>
      </c>
      <c r="L1402" t="inlineStr"/>
    </row>
    <row r="1403">
      <c r="A1403" t="inlineStr">
        <is>
          <t>SR059</t>
        </is>
      </c>
      <c r="B1403" t="inlineStr">
        <is>
          <t>営業担当059</t>
        </is>
      </c>
      <c r="C1403" t="inlineStr">
        <is>
          <t>パートナー営業部</t>
        </is>
      </c>
      <c r="D1403" s="3" t="n">
        <v>45839</v>
      </c>
      <c r="E1403" t="inlineStr">
        <is>
          <t>白峰化学株式会社</t>
        </is>
      </c>
      <c r="F1403" t="inlineStr">
        <is>
          <t>神奈川県</t>
        </is>
      </c>
      <c r="G1403" t="inlineStr">
        <is>
          <t>ソフトウェア</t>
        </is>
      </c>
      <c r="H1403" t="inlineStr">
        <is>
          <t>AIチャットボット</t>
        </is>
      </c>
      <c r="I1403" s="4" t="n">
        <v>5</v>
      </c>
      <c r="J1403" s="4" t="n">
        <v>620800</v>
      </c>
      <c r="K1403" s="4">
        <f>I1403*J1403</f>
        <v/>
      </c>
      <c r="L1403" t="inlineStr">
        <is>
          <t>新規開拓</t>
        </is>
      </c>
    </row>
    <row r="1404">
      <c r="A1404" t="inlineStr">
        <is>
          <t>SR059</t>
        </is>
      </c>
      <c r="B1404" t="inlineStr">
        <is>
          <t>営業担当059</t>
        </is>
      </c>
      <c r="C1404" t="inlineStr">
        <is>
          <t>パートナー営業部</t>
        </is>
      </c>
      <c r="D1404" s="3" t="n">
        <v>45854</v>
      </c>
      <c r="E1404" t="inlineStr">
        <is>
          <t>桜井メディカル(株)</t>
        </is>
      </c>
      <c r="F1404" t="inlineStr">
        <is>
          <t>大阪府</t>
        </is>
      </c>
      <c r="G1404" t="inlineStr">
        <is>
          <t>ソフトウェア</t>
        </is>
      </c>
      <c r="H1404" t="inlineStr">
        <is>
          <t>在庫管理クラウド</t>
        </is>
      </c>
      <c r="I1404" s="4" t="n">
        <v>5</v>
      </c>
      <c r="J1404" s="4" t="n">
        <v>458500</v>
      </c>
      <c r="K1404" s="4">
        <f>I1404*J1404</f>
        <v/>
      </c>
      <c r="L1404" t="inlineStr">
        <is>
          <t>リピート受注</t>
        </is>
      </c>
    </row>
    <row r="1405">
      <c r="A1405" t="inlineStr">
        <is>
          <t>SR059</t>
        </is>
      </c>
      <c r="B1405" t="inlineStr">
        <is>
          <t>営業担当059</t>
        </is>
      </c>
      <c r="C1405" t="inlineStr">
        <is>
          <t>パートナー営業部</t>
        </is>
      </c>
      <c r="D1405" s="3" t="n">
        <v>45878</v>
      </c>
      <c r="E1405" t="inlineStr">
        <is>
          <t>中央設備有限会社</t>
        </is>
      </c>
      <c r="F1405" t="inlineStr">
        <is>
          <t>大阪府</t>
        </is>
      </c>
      <c r="G1405" t="inlineStr">
        <is>
          <t>保守サービス</t>
        </is>
      </c>
      <c r="H1405" t="inlineStr">
        <is>
          <t>オンサイト保守</t>
        </is>
      </c>
      <c r="I1405" s="4" t="n">
        <v>2</v>
      </c>
      <c r="J1405" s="4" t="n">
        <v>70800</v>
      </c>
      <c r="K1405" s="4">
        <f>I1405*J1405</f>
        <v/>
      </c>
      <c r="L1405" t="inlineStr">
        <is>
          <t>キャンペーン適用</t>
        </is>
      </c>
    </row>
    <row r="1406">
      <c r="A1406" t="inlineStr">
        <is>
          <t>SR059</t>
        </is>
      </c>
      <c r="B1406" t="inlineStr">
        <is>
          <t>営業担当059</t>
        </is>
      </c>
      <c r="C1406" t="inlineStr">
        <is>
          <t>パートナー営業部</t>
        </is>
      </c>
      <c r="D1406" s="3" t="n">
        <v>45896</v>
      </c>
      <c r="E1406" t="inlineStr">
        <is>
          <t>桜井メディカル有限会社</t>
        </is>
      </c>
      <c r="F1406" t="inlineStr">
        <is>
          <t>京都府</t>
        </is>
      </c>
      <c r="G1406" t="inlineStr">
        <is>
          <t>ハードウェア</t>
        </is>
      </c>
      <c r="H1406" t="inlineStr">
        <is>
          <t>小型ハンディ端末</t>
        </is>
      </c>
      <c r="I1406" s="4" t="n">
        <v>1</v>
      </c>
      <c r="J1406" s="4" t="n">
        <v>55200</v>
      </c>
      <c r="K1406" s="4">
        <f>I1406*J1406</f>
        <v/>
      </c>
      <c r="L1406" t="inlineStr">
        <is>
          <t>リピート受注</t>
        </is>
      </c>
    </row>
    <row r="1407">
      <c r="A1407" t="inlineStr">
        <is>
          <t>SR059</t>
        </is>
      </c>
      <c r="B1407" t="inlineStr">
        <is>
          <t>営業担当059</t>
        </is>
      </c>
      <c r="C1407" t="inlineStr">
        <is>
          <t>パートナー営業部</t>
        </is>
      </c>
      <c r="D1407" s="3" t="n">
        <v>45917</v>
      </c>
      <c r="E1407" t="inlineStr">
        <is>
          <t>アーク電機有限会社</t>
        </is>
      </c>
      <c r="F1407" t="inlineStr">
        <is>
          <t>北海道</t>
        </is>
      </c>
      <c r="G1407" t="inlineStr">
        <is>
          <t>ソフトウェア</t>
        </is>
      </c>
      <c r="H1407" t="inlineStr">
        <is>
          <t>AIチャットボット</t>
        </is>
      </c>
      <c r="I1407" s="4" t="n">
        <v>3</v>
      </c>
      <c r="J1407" s="4" t="n">
        <v>552900</v>
      </c>
      <c r="K1407" s="4">
        <f>I1407*J1407</f>
        <v/>
      </c>
      <c r="L1407" t="inlineStr"/>
    </row>
    <row r="1408">
      <c r="A1408" t="inlineStr">
        <is>
          <t>SR059</t>
        </is>
      </c>
      <c r="B1408" t="inlineStr">
        <is>
          <t>営業担当059</t>
        </is>
      </c>
      <c r="C1408" t="inlineStr">
        <is>
          <t>パートナー営業部</t>
        </is>
      </c>
      <c r="D1408" s="3" t="n">
        <v>45926</v>
      </c>
      <c r="E1408" t="inlineStr">
        <is>
          <t>オーシャン製作所(株)</t>
        </is>
      </c>
      <c r="F1408" t="inlineStr">
        <is>
          <t>広島県</t>
        </is>
      </c>
      <c r="G1408" t="inlineStr">
        <is>
          <t>保守サービス</t>
        </is>
      </c>
      <c r="H1408" t="inlineStr">
        <is>
          <t>ヘルプデスク契約</t>
        </is>
      </c>
      <c r="I1408" s="4" t="n">
        <v>3</v>
      </c>
      <c r="J1408" s="4" t="n">
        <v>103900</v>
      </c>
      <c r="K1408" s="4">
        <f>I1408*J1408</f>
        <v/>
      </c>
      <c r="L1408" t="inlineStr">
        <is>
          <t>分納</t>
        </is>
      </c>
    </row>
    <row r="1409">
      <c r="A1409" t="inlineStr">
        <is>
          <t>SR059</t>
        </is>
      </c>
      <c r="B1409" t="inlineStr">
        <is>
          <t>営業担当059</t>
        </is>
      </c>
      <c r="C1409" t="inlineStr">
        <is>
          <t>パートナー営業部</t>
        </is>
      </c>
      <c r="D1409" s="3" t="n">
        <v>45932</v>
      </c>
      <c r="E1409" t="inlineStr">
        <is>
          <t>日新サービス有限会社</t>
        </is>
      </c>
      <c r="F1409" t="inlineStr">
        <is>
          <t>宮城県</t>
        </is>
      </c>
      <c r="G1409" t="inlineStr">
        <is>
          <t>ハードウェア</t>
        </is>
      </c>
      <c r="H1409" t="inlineStr">
        <is>
          <t>ラベルプリンター</t>
        </is>
      </c>
      <c r="I1409" s="4" t="n">
        <v>2</v>
      </c>
      <c r="J1409" s="4" t="n">
        <v>58600</v>
      </c>
      <c r="K1409" s="4">
        <f>I1409*J1409</f>
        <v/>
      </c>
      <c r="L1409" t="inlineStr"/>
    </row>
    <row r="1410">
      <c r="A1410" t="inlineStr">
        <is>
          <t>SR059</t>
        </is>
      </c>
      <c r="B1410" t="inlineStr">
        <is>
          <t>営業担当059</t>
        </is>
      </c>
      <c r="C1410" t="inlineStr">
        <is>
          <t>パートナー営業部</t>
        </is>
      </c>
      <c r="D1410" s="3" t="n">
        <v>45939</v>
      </c>
      <c r="E1410" t="inlineStr">
        <is>
          <t>福岡流通(株)</t>
        </is>
      </c>
      <c r="F1410" t="inlineStr">
        <is>
          <t>東京都</t>
        </is>
      </c>
      <c r="G1410" t="inlineStr">
        <is>
          <t>保守サービス</t>
        </is>
      </c>
      <c r="H1410" t="inlineStr">
        <is>
          <t>オンサイト保守</t>
        </is>
      </c>
      <c r="I1410" s="4" t="n">
        <v>3</v>
      </c>
      <c r="J1410" s="4" t="n">
        <v>146000</v>
      </c>
      <c r="K1410" s="4">
        <f>I1410*J1410</f>
        <v/>
      </c>
      <c r="L1410" t="inlineStr">
        <is>
          <t>分納</t>
        </is>
      </c>
    </row>
    <row r="1411">
      <c r="A1411" t="inlineStr">
        <is>
          <t>SR059</t>
        </is>
      </c>
      <c r="B1411" t="inlineStr">
        <is>
          <t>営業担当059</t>
        </is>
      </c>
      <c r="C1411" t="inlineStr">
        <is>
          <t>パートナー営業部</t>
        </is>
      </c>
      <c r="D1411" s="3" t="n">
        <v>45965</v>
      </c>
      <c r="E1411" t="inlineStr">
        <is>
          <t>未来通信有限会社</t>
        </is>
      </c>
      <c r="F1411" t="inlineStr">
        <is>
          <t>京都府</t>
        </is>
      </c>
      <c r="G1411" t="inlineStr">
        <is>
          <t>ソフトウェア</t>
        </is>
      </c>
      <c r="H1411" t="inlineStr">
        <is>
          <t>営業支援SaaS</t>
        </is>
      </c>
      <c r="I1411" s="4" t="n">
        <v>4</v>
      </c>
      <c r="J1411" s="4" t="n">
        <v>210200</v>
      </c>
      <c r="K1411" s="4">
        <f>I1411*J1411</f>
        <v/>
      </c>
      <c r="L1411" t="inlineStr"/>
    </row>
    <row r="1412">
      <c r="A1412" t="inlineStr">
        <is>
          <t>SR059</t>
        </is>
      </c>
      <c r="B1412" t="inlineStr">
        <is>
          <t>営業担当059</t>
        </is>
      </c>
      <c r="C1412" t="inlineStr">
        <is>
          <t>パートナー営業部</t>
        </is>
      </c>
      <c r="D1412" s="3" t="n">
        <v>45981</v>
      </c>
      <c r="E1412" t="inlineStr">
        <is>
          <t>未来通信有限会社</t>
        </is>
      </c>
      <c r="F1412" t="inlineStr">
        <is>
          <t>兵庫県</t>
        </is>
      </c>
      <c r="G1412" t="inlineStr">
        <is>
          <t>導入支援</t>
        </is>
      </c>
      <c r="H1412" t="inlineStr">
        <is>
          <t>操作研修パック</t>
        </is>
      </c>
      <c r="I1412" s="4" t="n">
        <v>4</v>
      </c>
      <c r="J1412" s="4" t="n">
        <v>52300</v>
      </c>
      <c r="K1412" s="4">
        <f>I1412*J1412</f>
        <v/>
      </c>
      <c r="L1412" t="inlineStr"/>
    </row>
    <row r="1413">
      <c r="A1413" t="inlineStr">
        <is>
          <t>SR059</t>
        </is>
      </c>
      <c r="B1413" t="inlineStr">
        <is>
          <t>営業担当059</t>
        </is>
      </c>
      <c r="C1413" t="inlineStr">
        <is>
          <t>パートナー営業部</t>
        </is>
      </c>
      <c r="D1413" s="3" t="n">
        <v>46003</v>
      </c>
      <c r="E1413" t="inlineStr">
        <is>
          <t>ネクストソリューション株式会社</t>
        </is>
      </c>
      <c r="F1413" t="inlineStr">
        <is>
          <t>愛知県</t>
        </is>
      </c>
      <c r="G1413" t="inlineStr">
        <is>
          <t>消耗品</t>
        </is>
      </c>
      <c r="H1413" t="inlineStr">
        <is>
          <t>交換用ヘッド</t>
        </is>
      </c>
      <c r="I1413" s="4" t="n">
        <v>12</v>
      </c>
      <c r="J1413" s="4" t="n">
        <v>29640</v>
      </c>
      <c r="K1413" s="4">
        <f>I1413*J1413</f>
        <v/>
      </c>
      <c r="L1413" t="inlineStr">
        <is>
          <t>新規開拓</t>
        </is>
      </c>
    </row>
    <row r="1414">
      <c r="A1414" t="inlineStr">
        <is>
          <t>SR059</t>
        </is>
      </c>
      <c r="B1414" t="inlineStr">
        <is>
          <t>営業担当059</t>
        </is>
      </c>
      <c r="C1414" t="inlineStr">
        <is>
          <t>パートナー営業部</t>
        </is>
      </c>
      <c r="D1414" s="3" t="n">
        <v>46012</v>
      </c>
      <c r="E1414" t="inlineStr">
        <is>
          <t>桜井メディカル株式会社</t>
        </is>
      </c>
      <c r="F1414" t="inlineStr">
        <is>
          <t>愛知県</t>
        </is>
      </c>
      <c r="G1414" t="inlineStr">
        <is>
          <t>ソフトウェア</t>
        </is>
      </c>
      <c r="H1414" t="inlineStr">
        <is>
          <t>在庫管理クラウド</t>
        </is>
      </c>
      <c r="I1414" s="4" t="n">
        <v>1</v>
      </c>
      <c r="J1414" s="4" t="n">
        <v>415600</v>
      </c>
      <c r="K1414" s="4">
        <f>I1414*J1414</f>
        <v/>
      </c>
      <c r="L1414" t="inlineStr">
        <is>
          <t>リピート受注</t>
        </is>
      </c>
    </row>
    <row r="1415">
      <c r="A1415" t="inlineStr">
        <is>
          <t>SR059</t>
        </is>
      </c>
      <c r="B1415" t="inlineStr">
        <is>
          <t>営業担当059</t>
        </is>
      </c>
      <c r="C1415" t="inlineStr">
        <is>
          <t>パートナー営業部</t>
        </is>
      </c>
      <c r="D1415" s="3" t="n">
        <v>46029</v>
      </c>
      <c r="E1415" t="inlineStr">
        <is>
          <t>みらい物流株式会社</t>
        </is>
      </c>
      <c r="F1415" t="inlineStr">
        <is>
          <t>宮城県</t>
        </is>
      </c>
      <c r="G1415" t="inlineStr">
        <is>
          <t>ソフトウェア</t>
        </is>
      </c>
      <c r="H1415" t="inlineStr">
        <is>
          <t>帳票自動化ツール</t>
        </is>
      </c>
      <c r="I1415" s="4" t="n">
        <v>5</v>
      </c>
      <c r="J1415" s="4" t="n">
        <v>334000</v>
      </c>
      <c r="K1415" s="4">
        <f>I1415*J1415</f>
        <v/>
      </c>
      <c r="L1415" t="inlineStr">
        <is>
          <t>値引き調整あり</t>
        </is>
      </c>
    </row>
    <row r="1416">
      <c r="A1416" t="inlineStr">
        <is>
          <t>SR059</t>
        </is>
      </c>
      <c r="B1416" t="inlineStr">
        <is>
          <t>営業担当059</t>
        </is>
      </c>
      <c r="C1416" t="inlineStr">
        <is>
          <t>パートナー営業部</t>
        </is>
      </c>
      <c r="D1416" s="3" t="n">
        <v>46030</v>
      </c>
      <c r="E1416" t="inlineStr">
        <is>
          <t>みらい物流有限会社</t>
        </is>
      </c>
      <c r="F1416" t="inlineStr">
        <is>
          <t>大阪府</t>
        </is>
      </c>
      <c r="G1416" t="inlineStr">
        <is>
          <t>保守サービス</t>
        </is>
      </c>
      <c r="H1416" t="inlineStr">
        <is>
          <t>年間保守契約</t>
        </is>
      </c>
      <c r="I1416" s="4" t="n">
        <v>5</v>
      </c>
      <c r="J1416" s="4" t="n">
        <v>225700</v>
      </c>
      <c r="K1416" s="4">
        <f>I1416*J1416</f>
        <v/>
      </c>
      <c r="L1416" t="inlineStr">
        <is>
          <t>キャンペーン適用</t>
        </is>
      </c>
    </row>
    <row r="1417">
      <c r="A1417" t="inlineStr">
        <is>
          <t>SR059</t>
        </is>
      </c>
      <c r="B1417" t="inlineStr">
        <is>
          <t>営業担当059</t>
        </is>
      </c>
      <c r="C1417" t="inlineStr">
        <is>
          <t>パートナー営業部</t>
        </is>
      </c>
      <c r="D1417" s="3" t="n">
        <v>46059</v>
      </c>
      <c r="E1417" t="inlineStr">
        <is>
          <t>未来通信有限会社</t>
        </is>
      </c>
      <c r="F1417" t="inlineStr">
        <is>
          <t>北海道</t>
        </is>
      </c>
      <c r="G1417" t="inlineStr">
        <is>
          <t>保守サービス</t>
        </is>
      </c>
      <c r="H1417" t="inlineStr">
        <is>
          <t>オンサイト保守</t>
        </is>
      </c>
      <c r="I1417" s="4" t="n">
        <v>5</v>
      </c>
      <c r="J1417" s="4" t="n">
        <v>125400</v>
      </c>
      <c r="K1417" s="4">
        <f>I1417*J1417</f>
        <v/>
      </c>
      <c r="L1417" t="inlineStr">
        <is>
          <t>リピート受注</t>
        </is>
      </c>
    </row>
    <row r="1418">
      <c r="A1418" t="inlineStr">
        <is>
          <t>SR059</t>
        </is>
      </c>
      <c r="B1418" t="inlineStr">
        <is>
          <t>営業担当059</t>
        </is>
      </c>
      <c r="C1418" t="inlineStr">
        <is>
          <t>パートナー営業部</t>
        </is>
      </c>
      <c r="D1418" s="3" t="n">
        <v>46066</v>
      </c>
      <c r="E1418" t="inlineStr">
        <is>
          <t>中央設備株式会社</t>
        </is>
      </c>
      <c r="F1418" t="inlineStr">
        <is>
          <t>神奈川県</t>
        </is>
      </c>
      <c r="G1418" t="inlineStr">
        <is>
          <t>導入支援</t>
        </is>
      </c>
      <c r="H1418" t="inlineStr">
        <is>
          <t>初期設定支援</t>
        </is>
      </c>
      <c r="I1418" s="4" t="n">
        <v>2</v>
      </c>
      <c r="J1418" s="4" t="n">
        <v>210900</v>
      </c>
      <c r="K1418" s="4">
        <f>I1418*J1418</f>
        <v/>
      </c>
      <c r="L1418" t="inlineStr">
        <is>
          <t>大型案件</t>
        </is>
      </c>
    </row>
    <row r="1419">
      <c r="A1419" t="inlineStr">
        <is>
          <t>SR059</t>
        </is>
      </c>
      <c r="B1419" t="inlineStr">
        <is>
          <t>営業担当059</t>
        </is>
      </c>
      <c r="C1419" t="inlineStr">
        <is>
          <t>パートナー営業部</t>
        </is>
      </c>
      <c r="D1419" s="3" t="n">
        <v>46091</v>
      </c>
      <c r="E1419" t="inlineStr">
        <is>
          <t>東洋フーズ株式会社</t>
        </is>
      </c>
      <c r="F1419" t="inlineStr">
        <is>
          <t>兵庫県</t>
        </is>
      </c>
      <c r="G1419" t="inlineStr">
        <is>
          <t>消耗品</t>
        </is>
      </c>
      <c r="H1419" t="inlineStr">
        <is>
          <t>交換用ヘッド</t>
        </is>
      </c>
      <c r="I1419" s="4" t="n">
        <v>6</v>
      </c>
      <c r="J1419" s="4" t="n">
        <v>37080</v>
      </c>
      <c r="K1419" s="4">
        <f>I1419*J1419</f>
        <v/>
      </c>
      <c r="L1419" t="inlineStr"/>
    </row>
    <row r="1420">
      <c r="A1420" t="inlineStr">
        <is>
          <t>SR059</t>
        </is>
      </c>
      <c r="B1420" t="inlineStr">
        <is>
          <t>営業担当059</t>
        </is>
      </c>
      <c r="C1420" t="inlineStr">
        <is>
          <t>パートナー営業部</t>
        </is>
      </c>
      <c r="D1420" s="3" t="n">
        <v>46093</v>
      </c>
      <c r="E1420" t="inlineStr">
        <is>
          <t>サンライズ建設有限会社</t>
        </is>
      </c>
      <c r="F1420" t="inlineStr">
        <is>
          <t>兵庫県</t>
        </is>
      </c>
      <c r="G1420" t="inlineStr">
        <is>
          <t>保守サービス</t>
        </is>
      </c>
      <c r="H1420" t="inlineStr">
        <is>
          <t>ヘルプデスク契約</t>
        </is>
      </c>
      <c r="I1420" s="4" t="n">
        <v>1</v>
      </c>
      <c r="J1420" s="4" t="n">
        <v>45600</v>
      </c>
      <c r="K1420" s="4">
        <f>I1420*J1420</f>
        <v/>
      </c>
      <c r="L1420" t="inlineStr"/>
    </row>
    <row r="1421">
      <c r="A1421" t="inlineStr">
        <is>
          <t>SR060</t>
        </is>
      </c>
      <c r="B1421" t="inlineStr">
        <is>
          <t>営業担当060</t>
        </is>
      </c>
      <c r="C1421" t="inlineStr">
        <is>
          <t>インサイドセールス部</t>
        </is>
      </c>
      <c r="D1421" s="3" t="n">
        <v>45748</v>
      </c>
      <c r="E1421" t="inlineStr">
        <is>
          <t>九州エナジー株式会社</t>
        </is>
      </c>
      <c r="F1421" t="inlineStr">
        <is>
          <t>宮城県</t>
        </is>
      </c>
      <c r="G1421" t="inlineStr">
        <is>
          <t>ソフトウェア</t>
        </is>
      </c>
      <c r="H1421" t="inlineStr">
        <is>
          <t>営業支援SaaS</t>
        </is>
      </c>
      <c r="I1421" s="4" t="n">
        <v>5</v>
      </c>
      <c r="J1421" s="4" t="n">
        <v>243800</v>
      </c>
      <c r="K1421" s="4">
        <f>I1421*J1421</f>
        <v/>
      </c>
      <c r="L1421" t="inlineStr">
        <is>
          <t>大型案件</t>
        </is>
      </c>
    </row>
    <row r="1422">
      <c r="A1422" t="inlineStr">
        <is>
          <t>SR060</t>
        </is>
      </c>
      <c r="B1422" t="inlineStr">
        <is>
          <t>営業担当060</t>
        </is>
      </c>
      <c r="C1422" t="inlineStr">
        <is>
          <t>インサイドセールス部</t>
        </is>
      </c>
      <c r="D1422" s="3" t="n">
        <v>45761</v>
      </c>
      <c r="E1422" t="inlineStr">
        <is>
          <t>白峰化学有限会社</t>
        </is>
      </c>
      <c r="F1422" t="inlineStr">
        <is>
          <t>北海道</t>
        </is>
      </c>
      <c r="G1422" t="inlineStr">
        <is>
          <t>保守サービス</t>
        </is>
      </c>
      <c r="H1422" t="inlineStr">
        <is>
          <t>年間保守契約</t>
        </is>
      </c>
      <c r="I1422" s="4" t="n">
        <v>1</v>
      </c>
      <c r="J1422" s="4" t="n">
        <v>264300</v>
      </c>
      <c r="K1422" s="4">
        <f>I1422*J1422</f>
        <v/>
      </c>
      <c r="L1422" t="inlineStr"/>
    </row>
    <row r="1423">
      <c r="A1423" t="inlineStr">
        <is>
          <t>SR060</t>
        </is>
      </c>
      <c r="B1423" t="inlineStr">
        <is>
          <t>営業担当060</t>
        </is>
      </c>
      <c r="C1423" t="inlineStr">
        <is>
          <t>インサイドセールス部</t>
        </is>
      </c>
      <c r="D1423" s="3" t="n">
        <v>45792</v>
      </c>
      <c r="E1423" t="inlineStr">
        <is>
          <t>グリーンテック有限会社</t>
        </is>
      </c>
      <c r="F1423" t="inlineStr">
        <is>
          <t>神奈川県</t>
        </is>
      </c>
      <c r="G1423" t="inlineStr">
        <is>
          <t>消耗品</t>
        </is>
      </c>
      <c r="H1423" t="inlineStr">
        <is>
          <t>交換用ヘッド</t>
        </is>
      </c>
      <c r="I1423" s="4" t="n">
        <v>11</v>
      </c>
      <c r="J1423" s="4" t="n">
        <v>18660</v>
      </c>
      <c r="K1423" s="4">
        <f>I1423*J1423</f>
        <v/>
      </c>
      <c r="L1423" t="inlineStr">
        <is>
          <t>リピート受注</t>
        </is>
      </c>
    </row>
    <row r="1424">
      <c r="A1424" t="inlineStr">
        <is>
          <t>SR060</t>
        </is>
      </c>
      <c r="B1424" t="inlineStr">
        <is>
          <t>営業担当060</t>
        </is>
      </c>
      <c r="C1424" t="inlineStr">
        <is>
          <t>インサイドセールス部</t>
        </is>
      </c>
      <c r="D1424" s="3" t="n">
        <v>45796</v>
      </c>
      <c r="E1424" t="inlineStr">
        <is>
          <t>大和精機(株)</t>
        </is>
      </c>
      <c r="F1424" t="inlineStr">
        <is>
          <t>福岡県</t>
        </is>
      </c>
      <c r="G1424" t="inlineStr">
        <is>
          <t>消耗品</t>
        </is>
      </c>
      <c r="H1424" t="inlineStr">
        <is>
          <t>交換用ヘッド</t>
        </is>
      </c>
      <c r="I1424" s="4" t="n">
        <v>15</v>
      </c>
      <c r="J1424" s="4" t="n">
        <v>35160</v>
      </c>
      <c r="K1424" s="4">
        <f>I1424*J1424</f>
        <v/>
      </c>
      <c r="L1424" t="inlineStr">
        <is>
          <t>リピート受注</t>
        </is>
      </c>
    </row>
    <row r="1425">
      <c r="A1425" t="inlineStr">
        <is>
          <t>SR060</t>
        </is>
      </c>
      <c r="B1425" t="inlineStr">
        <is>
          <t>営業担当060</t>
        </is>
      </c>
      <c r="C1425" t="inlineStr">
        <is>
          <t>インサイドセールス部</t>
        </is>
      </c>
      <c r="D1425" s="3" t="n">
        <v>45810</v>
      </c>
      <c r="E1425" t="inlineStr">
        <is>
          <t>日新サービス株式会社</t>
        </is>
      </c>
      <c r="F1425" t="inlineStr">
        <is>
          <t>宮城県</t>
        </is>
      </c>
      <c r="G1425" t="inlineStr">
        <is>
          <t>ソフトウェア</t>
        </is>
      </c>
      <c r="H1425" t="inlineStr">
        <is>
          <t>AIチャットボット</t>
        </is>
      </c>
      <c r="I1425" s="4" t="n">
        <v>5</v>
      </c>
      <c r="J1425" s="4" t="n">
        <v>627000</v>
      </c>
      <c r="K1425" s="4">
        <f>I1425*J1425</f>
        <v/>
      </c>
      <c r="L1425" t="inlineStr"/>
    </row>
    <row r="1426">
      <c r="A1426" t="inlineStr">
        <is>
          <t>SR060</t>
        </is>
      </c>
      <c r="B1426" t="inlineStr">
        <is>
          <t>営業担当060</t>
        </is>
      </c>
      <c r="C1426" t="inlineStr">
        <is>
          <t>インサイドセールス部</t>
        </is>
      </c>
      <c r="D1426" s="3" t="n">
        <v>45824</v>
      </c>
      <c r="E1426" t="inlineStr">
        <is>
          <t>サンライズ建設株式会社</t>
        </is>
      </c>
      <c r="F1426" t="inlineStr">
        <is>
          <t>神奈川県</t>
        </is>
      </c>
      <c r="G1426" t="inlineStr">
        <is>
          <t>ソフトウェア</t>
        </is>
      </c>
      <c r="H1426" t="inlineStr">
        <is>
          <t>AIチャットボット</t>
        </is>
      </c>
      <c r="I1426" s="4" t="n">
        <v>1</v>
      </c>
      <c r="J1426" s="4" t="n">
        <v>428000</v>
      </c>
      <c r="K1426" s="4">
        <f>I1426*J1426</f>
        <v/>
      </c>
      <c r="L1426" t="inlineStr">
        <is>
          <t>リピート受注</t>
        </is>
      </c>
    </row>
    <row r="1427">
      <c r="A1427" t="inlineStr">
        <is>
          <t>SR060</t>
        </is>
      </c>
      <c r="B1427" t="inlineStr">
        <is>
          <t>営業担当060</t>
        </is>
      </c>
      <c r="C1427" t="inlineStr">
        <is>
          <t>インサイドセールス部</t>
        </is>
      </c>
      <c r="D1427" s="3" t="n">
        <v>45841</v>
      </c>
      <c r="E1427" t="inlineStr">
        <is>
          <t>北斗産業(株)</t>
        </is>
      </c>
      <c r="F1427" t="inlineStr">
        <is>
          <t>大阪府</t>
        </is>
      </c>
      <c r="G1427" t="inlineStr">
        <is>
          <t>保守サービス</t>
        </is>
      </c>
      <c r="H1427" t="inlineStr">
        <is>
          <t>ヘルプデスク契約</t>
        </is>
      </c>
      <c r="I1427" s="4" t="n">
        <v>1</v>
      </c>
      <c r="J1427" s="4" t="n">
        <v>65700</v>
      </c>
      <c r="K1427" s="4">
        <f>I1427*J1427</f>
        <v/>
      </c>
      <c r="L1427" t="inlineStr">
        <is>
          <t>分納</t>
        </is>
      </c>
    </row>
    <row r="1428">
      <c r="A1428" t="inlineStr">
        <is>
          <t>SR060</t>
        </is>
      </c>
      <c r="B1428" t="inlineStr">
        <is>
          <t>営業担当060</t>
        </is>
      </c>
      <c r="C1428" t="inlineStr">
        <is>
          <t>インサイドセールス部</t>
        </is>
      </c>
      <c r="D1428" s="3" t="n">
        <v>45865</v>
      </c>
      <c r="E1428" t="inlineStr">
        <is>
          <t>星和商会株式会社</t>
        </is>
      </c>
      <c r="F1428" t="inlineStr">
        <is>
          <t>東京都</t>
        </is>
      </c>
      <c r="G1428" t="inlineStr">
        <is>
          <t>導入支援</t>
        </is>
      </c>
      <c r="H1428" t="inlineStr">
        <is>
          <t>データ移行支援</t>
        </is>
      </c>
      <c r="I1428" s="4" t="n">
        <v>1</v>
      </c>
      <c r="J1428" s="4" t="n">
        <v>256200</v>
      </c>
      <c r="K1428" s="4">
        <f>I1428*J1428</f>
        <v/>
      </c>
      <c r="L1428" t="inlineStr">
        <is>
          <t>新規開拓</t>
        </is>
      </c>
    </row>
    <row r="1429">
      <c r="A1429" t="inlineStr">
        <is>
          <t>SR060</t>
        </is>
      </c>
      <c r="B1429" t="inlineStr">
        <is>
          <t>営業担当060</t>
        </is>
      </c>
      <c r="C1429" t="inlineStr">
        <is>
          <t>インサイドセールス部</t>
        </is>
      </c>
      <c r="D1429" s="3" t="n">
        <v>45891</v>
      </c>
      <c r="E1429" t="inlineStr">
        <is>
          <t>青葉商事株式会社</t>
        </is>
      </c>
      <c r="F1429" t="inlineStr">
        <is>
          <t>神奈川県</t>
        </is>
      </c>
      <c r="G1429" t="inlineStr">
        <is>
          <t>ハードウェア</t>
        </is>
      </c>
      <c r="H1429" t="inlineStr">
        <is>
          <t>ラベルプリンター</t>
        </is>
      </c>
      <c r="I1429" s="4" t="n">
        <v>3</v>
      </c>
      <c r="J1429" s="4" t="n">
        <v>78200</v>
      </c>
      <c r="K1429" s="4">
        <f>I1429*J1429</f>
        <v/>
      </c>
      <c r="L1429" t="inlineStr">
        <is>
          <t>値引き調整あり</t>
        </is>
      </c>
    </row>
    <row r="1430">
      <c r="A1430" t="inlineStr">
        <is>
          <t>SR060</t>
        </is>
      </c>
      <c r="B1430" t="inlineStr">
        <is>
          <t>営業担当060</t>
        </is>
      </c>
      <c r="C1430" t="inlineStr">
        <is>
          <t>インサイドセールス部</t>
        </is>
      </c>
      <c r="D1430" s="3" t="n">
        <v>45892</v>
      </c>
      <c r="E1430" t="inlineStr">
        <is>
          <t>オーシャン製作所株式会社</t>
        </is>
      </c>
      <c r="F1430" t="inlineStr">
        <is>
          <t>大阪府</t>
        </is>
      </c>
      <c r="G1430" t="inlineStr">
        <is>
          <t>消耗品</t>
        </is>
      </c>
      <c r="H1430" t="inlineStr">
        <is>
          <t>交換用ヘッド</t>
        </is>
      </c>
      <c r="I1430" s="4" t="n">
        <v>9</v>
      </c>
      <c r="J1430" s="4" t="n">
        <v>41360</v>
      </c>
      <c r="K1430" s="4">
        <f>I1430*J1430</f>
        <v/>
      </c>
      <c r="L1430" t="inlineStr"/>
    </row>
    <row r="1431">
      <c r="A1431" t="inlineStr">
        <is>
          <t>SR060</t>
        </is>
      </c>
      <c r="B1431" t="inlineStr">
        <is>
          <t>営業担当060</t>
        </is>
      </c>
      <c r="C1431" t="inlineStr">
        <is>
          <t>インサイドセールス部</t>
        </is>
      </c>
      <c r="D1431" s="3" t="n">
        <v>45922</v>
      </c>
      <c r="E1431" t="inlineStr">
        <is>
          <t>九州エナジー株式会社</t>
        </is>
      </c>
      <c r="F1431" t="inlineStr">
        <is>
          <t>大阪府</t>
        </is>
      </c>
      <c r="G1431" t="inlineStr">
        <is>
          <t>保守サービス</t>
        </is>
      </c>
      <c r="H1431" t="inlineStr">
        <is>
          <t>年間保守契約</t>
        </is>
      </c>
      <c r="I1431" s="4" t="n">
        <v>2</v>
      </c>
      <c r="J1431" s="4" t="n">
        <v>236900</v>
      </c>
      <c r="K1431" s="4">
        <f>I1431*J1431</f>
        <v/>
      </c>
      <c r="L1431" t="inlineStr"/>
    </row>
    <row r="1432">
      <c r="A1432" t="inlineStr">
        <is>
          <t>SR060</t>
        </is>
      </c>
      <c r="B1432" t="inlineStr">
        <is>
          <t>営業担当060</t>
        </is>
      </c>
      <c r="C1432" t="inlineStr">
        <is>
          <t>インサイドセールス部</t>
        </is>
      </c>
      <c r="D1432" s="3" t="n">
        <v>45923</v>
      </c>
      <c r="E1432" t="inlineStr">
        <is>
          <t>東洋フーズ有限会社</t>
        </is>
      </c>
      <c r="F1432" t="inlineStr">
        <is>
          <t>福岡県</t>
        </is>
      </c>
      <c r="G1432" t="inlineStr">
        <is>
          <t>消耗品</t>
        </is>
      </c>
      <c r="H1432" t="inlineStr">
        <is>
          <t>交換用ヘッド</t>
        </is>
      </c>
      <c r="I1432" s="4" t="n">
        <v>8</v>
      </c>
      <c r="J1432" s="4" t="n">
        <v>17580</v>
      </c>
      <c r="K1432" s="4">
        <f>I1432*J1432</f>
        <v/>
      </c>
      <c r="L1432" t="inlineStr">
        <is>
          <t>大型案件</t>
        </is>
      </c>
    </row>
    <row r="1433">
      <c r="A1433" t="inlineStr">
        <is>
          <t>SR060</t>
        </is>
      </c>
      <c r="B1433" t="inlineStr">
        <is>
          <t>営業担当060</t>
        </is>
      </c>
      <c r="C1433" t="inlineStr">
        <is>
          <t>インサイドセールス部</t>
        </is>
      </c>
      <c r="D1433" s="3" t="n">
        <v>45940</v>
      </c>
      <c r="E1433" t="inlineStr">
        <is>
          <t>桜井メディカル株式会社</t>
        </is>
      </c>
      <c r="F1433" t="inlineStr">
        <is>
          <t>広島県</t>
        </is>
      </c>
      <c r="G1433" t="inlineStr">
        <is>
          <t>保守サービス</t>
        </is>
      </c>
      <c r="H1433" t="inlineStr">
        <is>
          <t>年間保守契約</t>
        </is>
      </c>
      <c r="I1433" s="4" t="n">
        <v>4</v>
      </c>
      <c r="J1433" s="4" t="n">
        <v>233000</v>
      </c>
      <c r="K1433" s="4">
        <f>I1433*J1433</f>
        <v/>
      </c>
      <c r="L1433" t="inlineStr">
        <is>
          <t>キャンペーン適用</t>
        </is>
      </c>
    </row>
    <row r="1434">
      <c r="A1434" t="inlineStr">
        <is>
          <t>SR060</t>
        </is>
      </c>
      <c r="B1434" t="inlineStr">
        <is>
          <t>営業担当060</t>
        </is>
      </c>
      <c r="C1434" t="inlineStr">
        <is>
          <t>インサイドセールス部</t>
        </is>
      </c>
      <c r="D1434" s="3" t="n">
        <v>45952</v>
      </c>
      <c r="E1434" t="inlineStr">
        <is>
          <t>グリーンテック(株)</t>
        </is>
      </c>
      <c r="F1434" t="inlineStr">
        <is>
          <t>神奈川県</t>
        </is>
      </c>
      <c r="G1434" t="inlineStr">
        <is>
          <t>ソフトウェア</t>
        </is>
      </c>
      <c r="H1434" t="inlineStr">
        <is>
          <t>AIチャットボット</t>
        </is>
      </c>
      <c r="I1434" s="4" t="n">
        <v>5</v>
      </c>
      <c r="J1434" s="4" t="n">
        <v>813400</v>
      </c>
      <c r="K1434" s="4">
        <f>I1434*J1434</f>
        <v/>
      </c>
      <c r="L1434" t="inlineStr">
        <is>
          <t>大型案件</t>
        </is>
      </c>
    </row>
    <row r="1435">
      <c r="A1435" t="inlineStr">
        <is>
          <t>SR060</t>
        </is>
      </c>
      <c r="B1435" t="inlineStr">
        <is>
          <t>営業担当060</t>
        </is>
      </c>
      <c r="C1435" t="inlineStr">
        <is>
          <t>インサイドセールス部</t>
        </is>
      </c>
      <c r="D1435" s="3" t="n">
        <v>45965</v>
      </c>
      <c r="E1435" t="inlineStr">
        <is>
          <t>みらい物流株式会社</t>
        </is>
      </c>
      <c r="F1435" t="inlineStr">
        <is>
          <t>福岡県</t>
        </is>
      </c>
      <c r="G1435" t="inlineStr">
        <is>
          <t>消耗品</t>
        </is>
      </c>
      <c r="H1435" t="inlineStr">
        <is>
          <t>ラベルロール</t>
        </is>
      </c>
      <c r="I1435" s="4" t="n">
        <v>9</v>
      </c>
      <c r="J1435" s="4" t="n">
        <v>4180</v>
      </c>
      <c r="K1435" s="4">
        <f>I1435*J1435</f>
        <v/>
      </c>
      <c r="L1435" t="inlineStr">
        <is>
          <t>大型案件</t>
        </is>
      </c>
    </row>
    <row r="1436">
      <c r="A1436" t="inlineStr">
        <is>
          <t>SR060</t>
        </is>
      </c>
      <c r="B1436" t="inlineStr">
        <is>
          <t>営業担当060</t>
        </is>
      </c>
      <c r="C1436" t="inlineStr">
        <is>
          <t>インサイドセールス部</t>
        </is>
      </c>
      <c r="D1436" s="3" t="n">
        <v>45965</v>
      </c>
      <c r="E1436" t="inlineStr">
        <is>
          <t>未来通信(株)</t>
        </is>
      </c>
      <c r="F1436" t="inlineStr">
        <is>
          <t>兵庫県</t>
        </is>
      </c>
      <c r="G1436" t="inlineStr">
        <is>
          <t>保守サービス</t>
        </is>
      </c>
      <c r="H1436" t="inlineStr">
        <is>
          <t>年間保守契約</t>
        </is>
      </c>
      <c r="I1436" s="4" t="n">
        <v>5</v>
      </c>
      <c r="J1436" s="4" t="n">
        <v>238500</v>
      </c>
      <c r="K1436" s="4">
        <f>I1436*J1436</f>
        <v/>
      </c>
      <c r="L1436" t="inlineStr">
        <is>
          <t>新規開拓</t>
        </is>
      </c>
    </row>
    <row r="1437">
      <c r="A1437" t="inlineStr">
        <is>
          <t>SR060</t>
        </is>
      </c>
      <c r="B1437" t="inlineStr">
        <is>
          <t>営業担当060</t>
        </is>
      </c>
      <c r="C1437" t="inlineStr">
        <is>
          <t>インサイドセールス部</t>
        </is>
      </c>
      <c r="D1437" s="3" t="n">
        <v>45998</v>
      </c>
      <c r="E1437" t="inlineStr">
        <is>
          <t>中央設備(株)</t>
        </is>
      </c>
      <c r="F1437" t="inlineStr">
        <is>
          <t>東京都</t>
        </is>
      </c>
      <c r="G1437" t="inlineStr">
        <is>
          <t>消耗品</t>
        </is>
      </c>
      <c r="H1437" t="inlineStr">
        <is>
          <t>保守用バッテリー</t>
        </is>
      </c>
      <c r="I1437" s="4" t="n">
        <v>7</v>
      </c>
      <c r="J1437" s="4" t="n">
        <v>6930</v>
      </c>
      <c r="K1437" s="4">
        <f>I1437*J1437</f>
        <v/>
      </c>
      <c r="L1437" t="inlineStr"/>
    </row>
    <row r="1438">
      <c r="A1438" t="inlineStr">
        <is>
          <t>SR060</t>
        </is>
      </c>
      <c r="B1438" t="inlineStr">
        <is>
          <t>営業担当060</t>
        </is>
      </c>
      <c r="C1438" t="inlineStr">
        <is>
          <t>インサイドセールス部</t>
        </is>
      </c>
      <c r="D1438" s="3" t="n">
        <v>46017</v>
      </c>
      <c r="E1438" t="inlineStr">
        <is>
          <t>星和商会株式会社</t>
        </is>
      </c>
      <c r="F1438" t="inlineStr">
        <is>
          <t>愛知県</t>
        </is>
      </c>
      <c r="G1438" t="inlineStr">
        <is>
          <t>保守サービス</t>
        </is>
      </c>
      <c r="H1438" t="inlineStr">
        <is>
          <t>年間保守契約</t>
        </is>
      </c>
      <c r="I1438" s="4" t="n">
        <v>4</v>
      </c>
      <c r="J1438" s="4" t="n">
        <v>287000</v>
      </c>
      <c r="K1438" s="4">
        <f>I1438*J1438</f>
        <v/>
      </c>
      <c r="L1438" t="inlineStr">
        <is>
          <t>大型案件</t>
        </is>
      </c>
    </row>
    <row r="1439">
      <c r="A1439" t="inlineStr">
        <is>
          <t>SR060</t>
        </is>
      </c>
      <c r="B1439" t="inlineStr">
        <is>
          <t>営業担当060</t>
        </is>
      </c>
      <c r="C1439" t="inlineStr">
        <is>
          <t>インサイドセールス部</t>
        </is>
      </c>
      <c r="D1439" s="3" t="n">
        <v>46032</v>
      </c>
      <c r="E1439" t="inlineStr">
        <is>
          <t>日新サービス(株)</t>
        </is>
      </c>
      <c r="F1439" t="inlineStr">
        <is>
          <t>福岡県</t>
        </is>
      </c>
      <c r="G1439" t="inlineStr">
        <is>
          <t>ハードウェア</t>
        </is>
      </c>
      <c r="H1439" t="inlineStr">
        <is>
          <t>ラベルプリンター</t>
        </is>
      </c>
      <c r="I1439" s="4" t="n">
        <v>5</v>
      </c>
      <c r="J1439" s="4" t="n">
        <v>72800</v>
      </c>
      <c r="K1439" s="4">
        <f>I1439*J1439</f>
        <v/>
      </c>
      <c r="L1439" t="inlineStr">
        <is>
          <t>分納</t>
        </is>
      </c>
    </row>
    <row r="1440">
      <c r="A1440" t="inlineStr">
        <is>
          <t>SR060</t>
        </is>
      </c>
      <c r="B1440" t="inlineStr">
        <is>
          <t>営業担当060</t>
        </is>
      </c>
      <c r="C1440" t="inlineStr">
        <is>
          <t>インサイドセールス部</t>
        </is>
      </c>
      <c r="D1440" s="3" t="n">
        <v>46032</v>
      </c>
      <c r="E1440" t="inlineStr">
        <is>
          <t>サンライズ建設株式会社</t>
        </is>
      </c>
      <c r="F1440" t="inlineStr">
        <is>
          <t>神奈川県</t>
        </is>
      </c>
      <c r="G1440" t="inlineStr">
        <is>
          <t>消耗品</t>
        </is>
      </c>
      <c r="H1440" t="inlineStr">
        <is>
          <t>交換用ヘッド</t>
        </is>
      </c>
      <c r="I1440" s="4" t="n">
        <v>8</v>
      </c>
      <c r="J1440" s="4" t="n">
        <v>34350</v>
      </c>
      <c r="K1440" s="4">
        <f>I1440*J1440</f>
        <v/>
      </c>
      <c r="L1440" t="inlineStr"/>
    </row>
    <row r="1441">
      <c r="A1441" t="inlineStr">
        <is>
          <t>SR060</t>
        </is>
      </c>
      <c r="B1441" t="inlineStr">
        <is>
          <t>営業担当060</t>
        </is>
      </c>
      <c r="C1441" t="inlineStr">
        <is>
          <t>インサイドセールス部</t>
        </is>
      </c>
      <c r="D1441" s="3" t="n">
        <v>46066</v>
      </c>
      <c r="E1441" t="inlineStr">
        <is>
          <t>アーク電機株式会社</t>
        </is>
      </c>
      <c r="F1441" t="inlineStr">
        <is>
          <t>福岡県</t>
        </is>
      </c>
      <c r="G1441" t="inlineStr">
        <is>
          <t>消耗品</t>
        </is>
      </c>
      <c r="H1441" t="inlineStr">
        <is>
          <t>保守用バッテリー</t>
        </is>
      </c>
      <c r="I1441" s="4" t="n">
        <v>12</v>
      </c>
      <c r="J1441" s="4" t="n">
        <v>12210</v>
      </c>
      <c r="K1441" s="4">
        <f>I1441*J1441</f>
        <v/>
      </c>
      <c r="L1441" t="inlineStr">
        <is>
          <t>値引き調整あり</t>
        </is>
      </c>
    </row>
    <row r="1442">
      <c r="A1442" t="inlineStr">
        <is>
          <t>SR060</t>
        </is>
      </c>
      <c r="B1442" t="inlineStr">
        <is>
          <t>営業担当060</t>
        </is>
      </c>
      <c r="C1442" t="inlineStr">
        <is>
          <t>インサイドセールス部</t>
        </is>
      </c>
      <c r="D1442" s="3" t="n">
        <v>46081</v>
      </c>
      <c r="E1442" t="inlineStr">
        <is>
          <t>ライトホーム株式会社</t>
        </is>
      </c>
      <c r="F1442" t="inlineStr">
        <is>
          <t>宮城県</t>
        </is>
      </c>
      <c r="G1442" t="inlineStr">
        <is>
          <t>ハードウェア</t>
        </is>
      </c>
      <c r="H1442" t="inlineStr">
        <is>
          <t>産業用タブレット</t>
        </is>
      </c>
      <c r="I1442" s="4" t="n">
        <v>2</v>
      </c>
      <c r="J1442" s="4" t="n">
        <v>82500</v>
      </c>
      <c r="K1442" s="4">
        <f>I1442*J1442</f>
        <v/>
      </c>
      <c r="L1442" t="inlineStr">
        <is>
          <t>大型案件</t>
        </is>
      </c>
    </row>
    <row r="1443">
      <c r="A1443" t="inlineStr">
        <is>
          <t>SR060</t>
        </is>
      </c>
      <c r="B1443" t="inlineStr">
        <is>
          <t>営業担当060</t>
        </is>
      </c>
      <c r="C1443" t="inlineStr">
        <is>
          <t>インサイドセールス部</t>
        </is>
      </c>
      <c r="D1443" s="3" t="n">
        <v>46087</v>
      </c>
      <c r="E1443" t="inlineStr">
        <is>
          <t>大和精機有限会社</t>
        </is>
      </c>
      <c r="F1443" t="inlineStr">
        <is>
          <t>京都府</t>
        </is>
      </c>
      <c r="G1443" t="inlineStr">
        <is>
          <t>ハードウェア</t>
        </is>
      </c>
      <c r="H1443" t="inlineStr">
        <is>
          <t>ネットワークカメラ</t>
        </is>
      </c>
      <c r="I1443" s="4" t="n">
        <v>4</v>
      </c>
      <c r="J1443" s="4" t="n">
        <v>53600</v>
      </c>
      <c r="K1443" s="4">
        <f>I1443*J1443</f>
        <v/>
      </c>
      <c r="L1443" t="inlineStr">
        <is>
          <t>リピート受注</t>
        </is>
      </c>
    </row>
    <row r="1444">
      <c r="A1444" t="inlineStr">
        <is>
          <t>SR060</t>
        </is>
      </c>
      <c r="B1444" t="inlineStr">
        <is>
          <t>営業担当060</t>
        </is>
      </c>
      <c r="C1444" t="inlineStr">
        <is>
          <t>インサイドセールス部</t>
        </is>
      </c>
      <c r="D1444" s="3" t="n">
        <v>46103</v>
      </c>
      <c r="E1444" t="inlineStr">
        <is>
          <t>福岡流通(株)</t>
        </is>
      </c>
      <c r="F1444" t="inlineStr">
        <is>
          <t>北海道</t>
        </is>
      </c>
      <c r="G1444" t="inlineStr">
        <is>
          <t>導入支援</t>
        </is>
      </c>
      <c r="H1444" t="inlineStr">
        <is>
          <t>データ移行支援</t>
        </is>
      </c>
      <c r="I1444" s="4" t="n">
        <v>4</v>
      </c>
      <c r="J1444" s="4" t="n">
        <v>248000</v>
      </c>
      <c r="K1444" s="4">
        <f>I1444*J1444</f>
        <v/>
      </c>
      <c r="L1444" t="inlineStr">
        <is>
          <t>分納</t>
        </is>
      </c>
    </row>
    <row r="1445">
      <c r="A1445" t="inlineStr">
        <is>
          <t>SR061</t>
        </is>
      </c>
      <c r="B1445" t="inlineStr">
        <is>
          <t>営業担当061</t>
        </is>
      </c>
      <c r="C1445" t="inlineStr">
        <is>
          <t>第1営業部</t>
        </is>
      </c>
      <c r="D1445" s="3" t="n">
        <v>45760</v>
      </c>
      <c r="E1445" t="inlineStr">
        <is>
          <t>グリーンテック有限会社</t>
        </is>
      </c>
      <c r="F1445" t="inlineStr">
        <is>
          <t>兵庫県</t>
        </is>
      </c>
      <c r="G1445" t="inlineStr">
        <is>
          <t>消耗品</t>
        </is>
      </c>
      <c r="H1445" t="inlineStr">
        <is>
          <t>ラベルロール</t>
        </is>
      </c>
      <c r="I1445" s="4" t="n">
        <v>4</v>
      </c>
      <c r="J1445" s="4" t="n">
        <v>7370</v>
      </c>
      <c r="K1445" s="4">
        <f>I1445*J1445</f>
        <v/>
      </c>
      <c r="L1445" t="inlineStr">
        <is>
          <t>分納</t>
        </is>
      </c>
    </row>
    <row r="1446">
      <c r="A1446" t="inlineStr">
        <is>
          <t>SR061</t>
        </is>
      </c>
      <c r="B1446" t="inlineStr">
        <is>
          <t>営業担当061</t>
        </is>
      </c>
      <c r="C1446" t="inlineStr">
        <is>
          <t>第1営業部</t>
        </is>
      </c>
      <c r="D1446" s="3" t="n">
        <v>45769</v>
      </c>
      <c r="E1446" t="inlineStr">
        <is>
          <t>中央設備有限会社</t>
        </is>
      </c>
      <c r="F1446" t="inlineStr">
        <is>
          <t>広島県</t>
        </is>
      </c>
      <c r="G1446" t="inlineStr">
        <is>
          <t>保守サービス</t>
        </is>
      </c>
      <c r="H1446" t="inlineStr">
        <is>
          <t>ヘルプデスク契約</t>
        </is>
      </c>
      <c r="I1446" s="4" t="n">
        <v>3</v>
      </c>
      <c r="J1446" s="4" t="n">
        <v>76000</v>
      </c>
      <c r="K1446" s="4">
        <f>I1446*J1446</f>
        <v/>
      </c>
      <c r="L1446" t="inlineStr">
        <is>
          <t>キャンペーン適用</t>
        </is>
      </c>
    </row>
    <row r="1447">
      <c r="A1447" t="inlineStr">
        <is>
          <t>SR061</t>
        </is>
      </c>
      <c r="B1447" t="inlineStr">
        <is>
          <t>営業担当061</t>
        </is>
      </c>
      <c r="C1447" t="inlineStr">
        <is>
          <t>第1営業部</t>
        </is>
      </c>
      <c r="D1447" s="3" t="n">
        <v>45792</v>
      </c>
      <c r="E1447" t="inlineStr">
        <is>
          <t>サンライズ建設株式会社</t>
        </is>
      </c>
      <c r="F1447" t="inlineStr">
        <is>
          <t>愛知県</t>
        </is>
      </c>
      <c r="G1447" t="inlineStr">
        <is>
          <t>ハードウェア</t>
        </is>
      </c>
      <c r="H1447" t="inlineStr">
        <is>
          <t>ネットワークカメラ</t>
        </is>
      </c>
      <c r="I1447" s="4" t="n">
        <v>5</v>
      </c>
      <c r="J1447" s="4" t="n">
        <v>43600</v>
      </c>
      <c r="K1447" s="4">
        <f>I1447*J1447</f>
        <v/>
      </c>
      <c r="L1447" t="inlineStr"/>
    </row>
    <row r="1448">
      <c r="A1448" t="inlineStr">
        <is>
          <t>SR061</t>
        </is>
      </c>
      <c r="B1448" t="inlineStr">
        <is>
          <t>営業担当061</t>
        </is>
      </c>
      <c r="C1448" t="inlineStr">
        <is>
          <t>第1営業部</t>
        </is>
      </c>
      <c r="D1448" s="3" t="n">
        <v>45800</v>
      </c>
      <c r="E1448" t="inlineStr">
        <is>
          <t>中央設備(株)</t>
        </is>
      </c>
      <c r="F1448" t="inlineStr">
        <is>
          <t>宮城県</t>
        </is>
      </c>
      <c r="G1448" t="inlineStr">
        <is>
          <t>導入支援</t>
        </is>
      </c>
      <c r="H1448" t="inlineStr">
        <is>
          <t>初期設定支援</t>
        </is>
      </c>
      <c r="I1448" s="4" t="n">
        <v>1</v>
      </c>
      <c r="J1448" s="4" t="n">
        <v>108000</v>
      </c>
      <c r="K1448" s="4">
        <f>I1448*J1448</f>
        <v/>
      </c>
      <c r="L1448" t="inlineStr">
        <is>
          <t>分納</t>
        </is>
      </c>
    </row>
    <row r="1449">
      <c r="A1449" t="inlineStr">
        <is>
          <t>SR061</t>
        </is>
      </c>
      <c r="B1449" t="inlineStr">
        <is>
          <t>営業担当061</t>
        </is>
      </c>
      <c r="C1449" t="inlineStr">
        <is>
          <t>第1営業部</t>
        </is>
      </c>
      <c r="D1449" s="3" t="n">
        <v>45812</v>
      </c>
      <c r="E1449" t="inlineStr">
        <is>
          <t>星和商会(株)</t>
        </is>
      </c>
      <c r="F1449" t="inlineStr">
        <is>
          <t>東京都</t>
        </is>
      </c>
      <c r="G1449" t="inlineStr">
        <is>
          <t>消耗品</t>
        </is>
      </c>
      <c r="H1449" t="inlineStr">
        <is>
          <t>保守用バッテリー</t>
        </is>
      </c>
      <c r="I1449" s="4" t="n">
        <v>1</v>
      </c>
      <c r="J1449" s="4" t="n">
        <v>18490</v>
      </c>
      <c r="K1449" s="4">
        <f>I1449*J1449</f>
        <v/>
      </c>
      <c r="L1449" t="inlineStr">
        <is>
          <t>分納</t>
        </is>
      </c>
    </row>
    <row r="1450">
      <c r="A1450" t="inlineStr">
        <is>
          <t>SR061</t>
        </is>
      </c>
      <c r="B1450" t="inlineStr">
        <is>
          <t>営業担当061</t>
        </is>
      </c>
      <c r="C1450" t="inlineStr">
        <is>
          <t>第1営業部</t>
        </is>
      </c>
      <c r="D1450" s="3" t="n">
        <v>45827</v>
      </c>
      <c r="E1450" t="inlineStr">
        <is>
          <t>青葉商事有限会社</t>
        </is>
      </c>
      <c r="F1450" t="inlineStr">
        <is>
          <t>大阪府</t>
        </is>
      </c>
      <c r="G1450" t="inlineStr">
        <is>
          <t>ハードウェア</t>
        </is>
      </c>
      <c r="H1450" t="inlineStr">
        <is>
          <t>産業用タブレット</t>
        </is>
      </c>
      <c r="I1450" s="4" t="n">
        <v>2</v>
      </c>
      <c r="J1450" s="4" t="n">
        <v>68500</v>
      </c>
      <c r="K1450" s="4">
        <f>I1450*J1450</f>
        <v/>
      </c>
      <c r="L1450" t="inlineStr">
        <is>
          <t>新規開拓</t>
        </is>
      </c>
    </row>
    <row r="1451">
      <c r="A1451" t="inlineStr">
        <is>
          <t>SR061</t>
        </is>
      </c>
      <c r="B1451" t="inlineStr">
        <is>
          <t>営業担当061</t>
        </is>
      </c>
      <c r="C1451" t="inlineStr">
        <is>
          <t>第1営業部</t>
        </is>
      </c>
      <c r="D1451" s="3" t="n">
        <v>45840</v>
      </c>
      <c r="E1451" t="inlineStr">
        <is>
          <t>福岡流通株式会社</t>
        </is>
      </c>
      <c r="F1451" t="inlineStr">
        <is>
          <t>広島県</t>
        </is>
      </c>
      <c r="G1451" t="inlineStr">
        <is>
          <t>導入支援</t>
        </is>
      </c>
      <c r="H1451" t="inlineStr">
        <is>
          <t>データ移行支援</t>
        </is>
      </c>
      <c r="I1451" s="4" t="n">
        <v>1</v>
      </c>
      <c r="J1451" s="4" t="n">
        <v>144800</v>
      </c>
      <c r="K1451" s="4">
        <f>I1451*J1451</f>
        <v/>
      </c>
      <c r="L1451" t="inlineStr">
        <is>
          <t>新規開拓</t>
        </is>
      </c>
    </row>
    <row r="1452">
      <c r="A1452" t="inlineStr">
        <is>
          <t>SR061</t>
        </is>
      </c>
      <c r="B1452" t="inlineStr">
        <is>
          <t>営業担当061</t>
        </is>
      </c>
      <c r="C1452" t="inlineStr">
        <is>
          <t>第1営業部</t>
        </is>
      </c>
      <c r="D1452" s="3" t="n">
        <v>45863</v>
      </c>
      <c r="E1452" t="inlineStr">
        <is>
          <t>アーク電機有限会社</t>
        </is>
      </c>
      <c r="F1452" t="inlineStr">
        <is>
          <t>京都府</t>
        </is>
      </c>
      <c r="G1452" t="inlineStr">
        <is>
          <t>ソフトウェア</t>
        </is>
      </c>
      <c r="H1452" t="inlineStr">
        <is>
          <t>帳票自動化ツール</t>
        </is>
      </c>
      <c r="I1452" s="4" t="n">
        <v>2</v>
      </c>
      <c r="J1452" s="4" t="n">
        <v>413000</v>
      </c>
      <c r="K1452" s="4">
        <f>I1452*J1452</f>
        <v/>
      </c>
      <c r="L1452" t="inlineStr">
        <is>
          <t>値引き調整あり</t>
        </is>
      </c>
    </row>
    <row r="1453">
      <c r="A1453" t="inlineStr">
        <is>
          <t>SR061</t>
        </is>
      </c>
      <c r="B1453" t="inlineStr">
        <is>
          <t>営業担当061</t>
        </is>
      </c>
      <c r="C1453" t="inlineStr">
        <is>
          <t>第1営業部</t>
        </is>
      </c>
      <c r="D1453" s="3" t="n">
        <v>45885</v>
      </c>
      <c r="E1453" t="inlineStr">
        <is>
          <t>東洋フーズ株式会社</t>
        </is>
      </c>
      <c r="F1453" t="inlineStr">
        <is>
          <t>兵庫県</t>
        </is>
      </c>
      <c r="G1453" t="inlineStr">
        <is>
          <t>導入支援</t>
        </is>
      </c>
      <c r="H1453" t="inlineStr">
        <is>
          <t>操作研修パック</t>
        </is>
      </c>
      <c r="I1453" s="4" t="n">
        <v>3</v>
      </c>
      <c r="J1453" s="4" t="n">
        <v>103000</v>
      </c>
      <c r="K1453" s="4">
        <f>I1453*J1453</f>
        <v/>
      </c>
      <c r="L1453" t="inlineStr">
        <is>
          <t>値引き調整あり</t>
        </is>
      </c>
    </row>
    <row r="1454">
      <c r="A1454" t="inlineStr">
        <is>
          <t>SR061</t>
        </is>
      </c>
      <c r="B1454" t="inlineStr">
        <is>
          <t>営業担当061</t>
        </is>
      </c>
      <c r="C1454" t="inlineStr">
        <is>
          <t>第1営業部</t>
        </is>
      </c>
      <c r="D1454" s="3" t="n">
        <v>45886</v>
      </c>
      <c r="E1454" t="inlineStr">
        <is>
          <t>大和精機株式会社</t>
        </is>
      </c>
      <c r="F1454" t="inlineStr">
        <is>
          <t>北海道</t>
        </is>
      </c>
      <c r="G1454" t="inlineStr">
        <is>
          <t>消耗品</t>
        </is>
      </c>
      <c r="H1454" t="inlineStr">
        <is>
          <t>保守用バッテリー</t>
        </is>
      </c>
      <c r="I1454" s="4" t="n">
        <v>9</v>
      </c>
      <c r="J1454" s="4" t="n">
        <v>7080</v>
      </c>
      <c r="K1454" s="4">
        <f>I1454*J1454</f>
        <v/>
      </c>
      <c r="L1454" t="inlineStr"/>
    </row>
    <row r="1455">
      <c r="A1455" t="inlineStr">
        <is>
          <t>SR061</t>
        </is>
      </c>
      <c r="B1455" t="inlineStr">
        <is>
          <t>営業担当061</t>
        </is>
      </c>
      <c r="C1455" t="inlineStr">
        <is>
          <t>第1営業部</t>
        </is>
      </c>
      <c r="D1455" s="3" t="n">
        <v>45921</v>
      </c>
      <c r="E1455" t="inlineStr">
        <is>
          <t>グリーンテック(株)</t>
        </is>
      </c>
      <c r="F1455" t="inlineStr">
        <is>
          <t>兵庫県</t>
        </is>
      </c>
      <c r="G1455" t="inlineStr">
        <is>
          <t>保守サービス</t>
        </is>
      </c>
      <c r="H1455" t="inlineStr">
        <is>
          <t>オンサイト保守</t>
        </is>
      </c>
      <c r="I1455" s="4" t="n">
        <v>2</v>
      </c>
      <c r="J1455" s="4" t="n">
        <v>97000</v>
      </c>
      <c r="K1455" s="4">
        <f>I1455*J1455</f>
        <v/>
      </c>
      <c r="L1455" t="inlineStr">
        <is>
          <t>リピート受注</t>
        </is>
      </c>
    </row>
    <row r="1456">
      <c r="A1456" t="inlineStr">
        <is>
          <t>SR061</t>
        </is>
      </c>
      <c r="B1456" t="inlineStr">
        <is>
          <t>営業担当061</t>
        </is>
      </c>
      <c r="C1456" t="inlineStr">
        <is>
          <t>第1営業部</t>
        </is>
      </c>
      <c r="D1456" s="3" t="n">
        <v>45928</v>
      </c>
      <c r="E1456" t="inlineStr">
        <is>
          <t>グリーンテック株式会社</t>
        </is>
      </c>
      <c r="F1456" t="inlineStr">
        <is>
          <t>広島県</t>
        </is>
      </c>
      <c r="G1456" t="inlineStr">
        <is>
          <t>導入支援</t>
        </is>
      </c>
      <c r="H1456" t="inlineStr">
        <is>
          <t>操作研修パック</t>
        </is>
      </c>
      <c r="I1456" s="4" t="n">
        <v>4</v>
      </c>
      <c r="J1456" s="4" t="n">
        <v>44500</v>
      </c>
      <c r="K1456" s="4">
        <f>I1456*J1456</f>
        <v/>
      </c>
      <c r="L1456" t="inlineStr"/>
    </row>
    <row r="1457">
      <c r="A1457" t="inlineStr">
        <is>
          <t>SR061</t>
        </is>
      </c>
      <c r="B1457" t="inlineStr">
        <is>
          <t>営業担当061</t>
        </is>
      </c>
      <c r="C1457" t="inlineStr">
        <is>
          <t>第1営業部</t>
        </is>
      </c>
      <c r="D1457" s="3" t="n">
        <v>45935</v>
      </c>
      <c r="E1457" t="inlineStr">
        <is>
          <t>大和精機(株)</t>
        </is>
      </c>
      <c r="F1457" t="inlineStr">
        <is>
          <t>大阪府</t>
        </is>
      </c>
      <c r="G1457" t="inlineStr">
        <is>
          <t>ソフトウェア</t>
        </is>
      </c>
      <c r="H1457" t="inlineStr">
        <is>
          <t>AIチャットボット</t>
        </is>
      </c>
      <c r="I1457" s="4" t="n">
        <v>2</v>
      </c>
      <c r="J1457" s="4" t="n">
        <v>292100</v>
      </c>
      <c r="K1457" s="4">
        <f>I1457*J1457</f>
        <v/>
      </c>
      <c r="L1457" t="inlineStr">
        <is>
          <t>値引き調整あり</t>
        </is>
      </c>
    </row>
    <row r="1458">
      <c r="A1458" t="inlineStr">
        <is>
          <t>SR061</t>
        </is>
      </c>
      <c r="B1458" t="inlineStr">
        <is>
          <t>営業担当061</t>
        </is>
      </c>
      <c r="C1458" t="inlineStr">
        <is>
          <t>第1営業部</t>
        </is>
      </c>
      <c r="D1458" s="3" t="n">
        <v>45943</v>
      </c>
      <c r="E1458" t="inlineStr">
        <is>
          <t>みらい物流有限会社</t>
        </is>
      </c>
      <c r="F1458" t="inlineStr">
        <is>
          <t>広島県</t>
        </is>
      </c>
      <c r="G1458" t="inlineStr">
        <is>
          <t>導入支援</t>
        </is>
      </c>
      <c r="H1458" t="inlineStr">
        <is>
          <t>データ移行支援</t>
        </is>
      </c>
      <c r="I1458" s="4" t="n">
        <v>5</v>
      </c>
      <c r="J1458" s="4" t="n">
        <v>349900</v>
      </c>
      <c r="K1458" s="4">
        <f>I1458*J1458</f>
        <v/>
      </c>
      <c r="L1458" t="inlineStr"/>
    </row>
    <row r="1459">
      <c r="A1459" t="inlineStr">
        <is>
          <t>SR061</t>
        </is>
      </c>
      <c r="B1459" t="inlineStr">
        <is>
          <t>営業担当061</t>
        </is>
      </c>
      <c r="C1459" t="inlineStr">
        <is>
          <t>第1営業部</t>
        </is>
      </c>
      <c r="D1459" s="3" t="n">
        <v>45972</v>
      </c>
      <c r="E1459" t="inlineStr">
        <is>
          <t>青葉商事株式会社</t>
        </is>
      </c>
      <c r="F1459" t="inlineStr">
        <is>
          <t>神奈川県</t>
        </is>
      </c>
      <c r="G1459" t="inlineStr">
        <is>
          <t>保守サービス</t>
        </is>
      </c>
      <c r="H1459" t="inlineStr">
        <is>
          <t>オンサイト保守</t>
        </is>
      </c>
      <c r="I1459" s="4" t="n">
        <v>3</v>
      </c>
      <c r="J1459" s="4" t="n">
        <v>53900</v>
      </c>
      <c r="K1459" s="4">
        <f>I1459*J1459</f>
        <v/>
      </c>
      <c r="L1459" t="inlineStr"/>
    </row>
    <row r="1460">
      <c r="A1460" t="inlineStr">
        <is>
          <t>SR061</t>
        </is>
      </c>
      <c r="B1460" t="inlineStr">
        <is>
          <t>営業担当061</t>
        </is>
      </c>
      <c r="C1460" t="inlineStr">
        <is>
          <t>第1営業部</t>
        </is>
      </c>
      <c r="D1460" s="3" t="n">
        <v>45980</v>
      </c>
      <c r="E1460" t="inlineStr">
        <is>
          <t>大和精機有限会社</t>
        </is>
      </c>
      <c r="F1460" t="inlineStr">
        <is>
          <t>京都府</t>
        </is>
      </c>
      <c r="G1460" t="inlineStr">
        <is>
          <t>保守サービス</t>
        </is>
      </c>
      <c r="H1460" t="inlineStr">
        <is>
          <t>年間保守契約</t>
        </is>
      </c>
      <c r="I1460" s="4" t="n">
        <v>3</v>
      </c>
      <c r="J1460" s="4" t="n">
        <v>297800</v>
      </c>
      <c r="K1460" s="4">
        <f>I1460*J1460</f>
        <v/>
      </c>
      <c r="L1460" t="inlineStr">
        <is>
          <t>新規開拓</t>
        </is>
      </c>
    </row>
    <row r="1461">
      <c r="A1461" t="inlineStr">
        <is>
          <t>SR061</t>
        </is>
      </c>
      <c r="B1461" t="inlineStr">
        <is>
          <t>営業担当061</t>
        </is>
      </c>
      <c r="C1461" t="inlineStr">
        <is>
          <t>第1営業部</t>
        </is>
      </c>
      <c r="D1461" s="3" t="n">
        <v>46001</v>
      </c>
      <c r="E1461" t="inlineStr">
        <is>
          <t>みらい物流有限会社</t>
        </is>
      </c>
      <c r="F1461" t="inlineStr">
        <is>
          <t>兵庫県</t>
        </is>
      </c>
      <c r="G1461" t="inlineStr">
        <is>
          <t>ハードウェア</t>
        </is>
      </c>
      <c r="H1461" t="inlineStr">
        <is>
          <t>ラベルプリンター</t>
        </is>
      </c>
      <c r="I1461" s="4" t="n">
        <v>4</v>
      </c>
      <c r="J1461" s="4" t="n">
        <v>69600</v>
      </c>
      <c r="K1461" s="4">
        <f>I1461*J1461</f>
        <v/>
      </c>
      <c r="L1461" t="inlineStr"/>
    </row>
    <row r="1462">
      <c r="A1462" t="inlineStr">
        <is>
          <t>SR061</t>
        </is>
      </c>
      <c r="B1462" t="inlineStr">
        <is>
          <t>営業担当061</t>
        </is>
      </c>
      <c r="C1462" t="inlineStr">
        <is>
          <t>第1営業部</t>
        </is>
      </c>
      <c r="D1462" s="3" t="n">
        <v>46010</v>
      </c>
      <c r="E1462" t="inlineStr">
        <is>
          <t>ライトホーム(株)</t>
        </is>
      </c>
      <c r="F1462" t="inlineStr">
        <is>
          <t>大阪府</t>
        </is>
      </c>
      <c r="G1462" t="inlineStr">
        <is>
          <t>ソフトウェア</t>
        </is>
      </c>
      <c r="H1462" t="inlineStr">
        <is>
          <t>在庫管理クラウド</t>
        </is>
      </c>
      <c r="I1462" s="4" t="n">
        <v>2</v>
      </c>
      <c r="J1462" s="4" t="n">
        <v>274900</v>
      </c>
      <c r="K1462" s="4">
        <f>I1462*J1462</f>
        <v/>
      </c>
      <c r="L1462" t="inlineStr"/>
    </row>
    <row r="1463">
      <c r="A1463" t="inlineStr">
        <is>
          <t>SR061</t>
        </is>
      </c>
      <c r="B1463" t="inlineStr">
        <is>
          <t>営業担当061</t>
        </is>
      </c>
      <c r="C1463" t="inlineStr">
        <is>
          <t>第1営業部</t>
        </is>
      </c>
      <c r="D1463" s="3" t="n">
        <v>46040</v>
      </c>
      <c r="E1463" t="inlineStr">
        <is>
          <t>中央設備有限会社</t>
        </is>
      </c>
      <c r="F1463" t="inlineStr">
        <is>
          <t>広島県</t>
        </is>
      </c>
      <c r="G1463" t="inlineStr">
        <is>
          <t>保守サービス</t>
        </is>
      </c>
      <c r="H1463" t="inlineStr">
        <is>
          <t>ヘルプデスク契約</t>
        </is>
      </c>
      <c r="I1463" s="4" t="n">
        <v>1</v>
      </c>
      <c r="J1463" s="4" t="n">
        <v>39300</v>
      </c>
      <c r="K1463" s="4">
        <f>I1463*J1463</f>
        <v/>
      </c>
      <c r="L1463" t="inlineStr">
        <is>
          <t>新規開拓</t>
        </is>
      </c>
    </row>
    <row r="1464">
      <c r="A1464" t="inlineStr">
        <is>
          <t>SR061</t>
        </is>
      </c>
      <c r="B1464" t="inlineStr">
        <is>
          <t>営業担当061</t>
        </is>
      </c>
      <c r="C1464" t="inlineStr">
        <is>
          <t>第1営業部</t>
        </is>
      </c>
      <c r="D1464" s="3" t="n">
        <v>46044</v>
      </c>
      <c r="E1464" t="inlineStr">
        <is>
          <t>中央設備(株)</t>
        </is>
      </c>
      <c r="F1464" t="inlineStr">
        <is>
          <t>広島県</t>
        </is>
      </c>
      <c r="G1464" t="inlineStr">
        <is>
          <t>保守サービス</t>
        </is>
      </c>
      <c r="H1464" t="inlineStr">
        <is>
          <t>年間保守契約</t>
        </is>
      </c>
      <c r="I1464" s="4" t="n">
        <v>2</v>
      </c>
      <c r="J1464" s="4" t="n">
        <v>103100</v>
      </c>
      <c r="K1464" s="4">
        <f>I1464*J1464</f>
        <v/>
      </c>
      <c r="L1464" t="inlineStr"/>
    </row>
    <row r="1465">
      <c r="A1465" t="inlineStr">
        <is>
          <t>SR061</t>
        </is>
      </c>
      <c r="B1465" t="inlineStr">
        <is>
          <t>営業担当061</t>
        </is>
      </c>
      <c r="C1465" t="inlineStr">
        <is>
          <t>第1営業部</t>
        </is>
      </c>
      <c r="D1465" s="3" t="n">
        <v>46067</v>
      </c>
      <c r="E1465" t="inlineStr">
        <is>
          <t>未来通信株式会社</t>
        </is>
      </c>
      <c r="F1465" t="inlineStr">
        <is>
          <t>北海道</t>
        </is>
      </c>
      <c r="G1465" t="inlineStr">
        <is>
          <t>ソフトウェア</t>
        </is>
      </c>
      <c r="H1465" t="inlineStr">
        <is>
          <t>営業支援SaaS</t>
        </is>
      </c>
      <c r="I1465" s="4" t="n">
        <v>2</v>
      </c>
      <c r="J1465" s="4" t="n">
        <v>344000</v>
      </c>
      <c r="K1465" s="4">
        <f>I1465*J1465</f>
        <v/>
      </c>
      <c r="L1465" t="inlineStr">
        <is>
          <t>新規開拓</t>
        </is>
      </c>
    </row>
    <row r="1466">
      <c r="A1466" t="inlineStr">
        <is>
          <t>SR061</t>
        </is>
      </c>
      <c r="B1466" t="inlineStr">
        <is>
          <t>営業担当061</t>
        </is>
      </c>
      <c r="C1466" t="inlineStr">
        <is>
          <t>第1営業部</t>
        </is>
      </c>
      <c r="D1466" s="3" t="n">
        <v>46077</v>
      </c>
      <c r="E1466" t="inlineStr">
        <is>
          <t>日新サービス(株)</t>
        </is>
      </c>
      <c r="F1466" t="inlineStr">
        <is>
          <t>大阪府</t>
        </is>
      </c>
      <c r="G1466" t="inlineStr">
        <is>
          <t>ソフトウェア</t>
        </is>
      </c>
      <c r="H1466" t="inlineStr">
        <is>
          <t>帳票自動化ツール</t>
        </is>
      </c>
      <c r="I1466" s="4" t="n">
        <v>1</v>
      </c>
      <c r="J1466" s="4" t="n">
        <v>165300</v>
      </c>
      <c r="K1466" s="4">
        <f>I1466*J1466</f>
        <v/>
      </c>
      <c r="L1466" t="inlineStr"/>
    </row>
    <row r="1467">
      <c r="A1467" t="inlineStr">
        <is>
          <t>SR061</t>
        </is>
      </c>
      <c r="B1467" t="inlineStr">
        <is>
          <t>営業担当061</t>
        </is>
      </c>
      <c r="C1467" t="inlineStr">
        <is>
          <t>第1営業部</t>
        </is>
      </c>
      <c r="D1467" s="3" t="n">
        <v>46096</v>
      </c>
      <c r="E1467" t="inlineStr">
        <is>
          <t>福岡流通有限会社</t>
        </is>
      </c>
      <c r="F1467" t="inlineStr">
        <is>
          <t>東京都</t>
        </is>
      </c>
      <c r="G1467" t="inlineStr">
        <is>
          <t>ハードウェア</t>
        </is>
      </c>
      <c r="H1467" t="inlineStr">
        <is>
          <t>ラベルプリンター</t>
        </is>
      </c>
      <c r="I1467" s="4" t="n">
        <v>1</v>
      </c>
      <c r="J1467" s="4" t="n">
        <v>73700</v>
      </c>
      <c r="K1467" s="4">
        <f>I1467*J1467</f>
        <v/>
      </c>
      <c r="L1467" t="inlineStr">
        <is>
          <t>分納</t>
        </is>
      </c>
    </row>
    <row r="1468">
      <c r="A1468" t="inlineStr">
        <is>
          <t>SR061</t>
        </is>
      </c>
      <c r="B1468" t="inlineStr">
        <is>
          <t>営業担当061</t>
        </is>
      </c>
      <c r="C1468" t="inlineStr">
        <is>
          <t>第1営業部</t>
        </is>
      </c>
      <c r="D1468" s="3" t="n">
        <v>46106</v>
      </c>
      <c r="E1468" t="inlineStr">
        <is>
          <t>北斗産業株式会社</t>
        </is>
      </c>
      <c r="F1468" t="inlineStr">
        <is>
          <t>広島県</t>
        </is>
      </c>
      <c r="G1468" t="inlineStr">
        <is>
          <t>ソフトウェア</t>
        </is>
      </c>
      <c r="H1468" t="inlineStr">
        <is>
          <t>在庫管理クラウド</t>
        </is>
      </c>
      <c r="I1468" s="4" t="n">
        <v>3</v>
      </c>
      <c r="J1468" s="4" t="n">
        <v>208900</v>
      </c>
      <c r="K1468" s="4">
        <f>I1468*J1468</f>
        <v/>
      </c>
      <c r="L1468" t="inlineStr">
        <is>
          <t>キャンペーン適用</t>
        </is>
      </c>
    </row>
    <row r="1469">
      <c r="A1469" t="inlineStr">
        <is>
          <t>SR062</t>
        </is>
      </c>
      <c r="B1469" t="inlineStr">
        <is>
          <t>営業担当062</t>
        </is>
      </c>
      <c r="C1469" t="inlineStr">
        <is>
          <t>第2営業部</t>
        </is>
      </c>
      <c r="D1469" s="3" t="n">
        <v>45757</v>
      </c>
      <c r="E1469" t="inlineStr">
        <is>
          <t>九州エナジー株式会社</t>
        </is>
      </c>
      <c r="F1469" t="inlineStr">
        <is>
          <t>大阪府</t>
        </is>
      </c>
      <c r="G1469" t="inlineStr">
        <is>
          <t>保守サービス</t>
        </is>
      </c>
      <c r="H1469" t="inlineStr">
        <is>
          <t>ヘルプデスク契約</t>
        </is>
      </c>
      <c r="I1469" s="4" t="n">
        <v>2</v>
      </c>
      <c r="J1469" s="4" t="n">
        <v>39600</v>
      </c>
      <c r="K1469" s="4">
        <f>I1469*J1469</f>
        <v/>
      </c>
      <c r="L1469" t="inlineStr">
        <is>
          <t>大型案件</t>
        </is>
      </c>
    </row>
    <row r="1470">
      <c r="A1470" t="inlineStr">
        <is>
          <t>SR062</t>
        </is>
      </c>
      <c r="B1470" t="inlineStr">
        <is>
          <t>営業担当062</t>
        </is>
      </c>
      <c r="C1470" t="inlineStr">
        <is>
          <t>第2営業部</t>
        </is>
      </c>
      <c r="D1470" s="3" t="n">
        <v>45767</v>
      </c>
      <c r="E1470" t="inlineStr">
        <is>
          <t>ライトホーム株式会社</t>
        </is>
      </c>
      <c r="F1470" t="inlineStr">
        <is>
          <t>京都府</t>
        </is>
      </c>
      <c r="G1470" t="inlineStr">
        <is>
          <t>導入支援</t>
        </is>
      </c>
      <c r="H1470" t="inlineStr">
        <is>
          <t>初期設定支援</t>
        </is>
      </c>
      <c r="I1470" s="4" t="n">
        <v>3</v>
      </c>
      <c r="J1470" s="4" t="n">
        <v>198100</v>
      </c>
      <c r="K1470" s="4">
        <f>I1470*J1470</f>
        <v/>
      </c>
      <c r="L1470" t="inlineStr"/>
    </row>
    <row r="1471">
      <c r="A1471" t="inlineStr">
        <is>
          <t>SR062</t>
        </is>
      </c>
      <c r="B1471" t="inlineStr">
        <is>
          <t>営業担当062</t>
        </is>
      </c>
      <c r="C1471" t="inlineStr">
        <is>
          <t>第2営業部</t>
        </is>
      </c>
      <c r="D1471" s="3" t="n">
        <v>45781</v>
      </c>
      <c r="E1471" t="inlineStr">
        <is>
          <t>北斗産業(株)</t>
        </is>
      </c>
      <c r="F1471" t="inlineStr">
        <is>
          <t>京都府</t>
        </is>
      </c>
      <c r="G1471" t="inlineStr">
        <is>
          <t>ハードウェア</t>
        </is>
      </c>
      <c r="H1471" t="inlineStr">
        <is>
          <t>ラベルプリンター</t>
        </is>
      </c>
      <c r="I1471" s="4" t="n">
        <v>4</v>
      </c>
      <c r="J1471" s="4" t="n">
        <v>62400</v>
      </c>
      <c r="K1471" s="4">
        <f>I1471*J1471</f>
        <v/>
      </c>
      <c r="L1471" t="inlineStr">
        <is>
          <t>リピート受注</t>
        </is>
      </c>
    </row>
    <row r="1472">
      <c r="A1472" t="inlineStr">
        <is>
          <t>SR062</t>
        </is>
      </c>
      <c r="B1472" t="inlineStr">
        <is>
          <t>営業担当062</t>
        </is>
      </c>
      <c r="C1472" t="inlineStr">
        <is>
          <t>第2営業部</t>
        </is>
      </c>
      <c r="D1472" s="3" t="n">
        <v>45800</v>
      </c>
      <c r="E1472" t="inlineStr">
        <is>
          <t>白峰化学有限会社</t>
        </is>
      </c>
      <c r="F1472" t="inlineStr">
        <is>
          <t>広島県</t>
        </is>
      </c>
      <c r="G1472" t="inlineStr">
        <is>
          <t>ソフトウェア</t>
        </is>
      </c>
      <c r="H1472" t="inlineStr">
        <is>
          <t>在庫管理クラウド</t>
        </is>
      </c>
      <c r="I1472" s="4" t="n">
        <v>4</v>
      </c>
      <c r="J1472" s="4" t="n">
        <v>193800</v>
      </c>
      <c r="K1472" s="4">
        <f>I1472*J1472</f>
        <v/>
      </c>
      <c r="L1472" t="inlineStr">
        <is>
          <t>リピート受注</t>
        </is>
      </c>
    </row>
    <row r="1473">
      <c r="A1473" t="inlineStr">
        <is>
          <t>SR062</t>
        </is>
      </c>
      <c r="B1473" t="inlineStr">
        <is>
          <t>営業担当062</t>
        </is>
      </c>
      <c r="C1473" t="inlineStr">
        <is>
          <t>第2営業部</t>
        </is>
      </c>
      <c r="D1473" s="3" t="n">
        <v>45817</v>
      </c>
      <c r="E1473" t="inlineStr">
        <is>
          <t>星和商会(株)</t>
        </is>
      </c>
      <c r="F1473" t="inlineStr">
        <is>
          <t>神奈川県</t>
        </is>
      </c>
      <c r="G1473" t="inlineStr">
        <is>
          <t>ソフトウェア</t>
        </is>
      </c>
      <c r="H1473" t="inlineStr">
        <is>
          <t>在庫管理クラウド</t>
        </is>
      </c>
      <c r="I1473" s="4" t="n">
        <v>3</v>
      </c>
      <c r="J1473" s="4" t="n">
        <v>429700</v>
      </c>
      <c r="K1473" s="4">
        <f>I1473*J1473</f>
        <v/>
      </c>
      <c r="L1473" t="inlineStr">
        <is>
          <t>キャンペーン適用</t>
        </is>
      </c>
    </row>
    <row r="1474">
      <c r="A1474" t="inlineStr">
        <is>
          <t>SR062</t>
        </is>
      </c>
      <c r="B1474" t="inlineStr">
        <is>
          <t>営業担当062</t>
        </is>
      </c>
      <c r="C1474" t="inlineStr">
        <is>
          <t>第2営業部</t>
        </is>
      </c>
      <c r="D1474" s="3" t="n">
        <v>45834</v>
      </c>
      <c r="E1474" t="inlineStr">
        <is>
          <t>桜井メディカル株式会社</t>
        </is>
      </c>
      <c r="F1474" t="inlineStr">
        <is>
          <t>東京都</t>
        </is>
      </c>
      <c r="G1474" t="inlineStr">
        <is>
          <t>ソフトウェア</t>
        </is>
      </c>
      <c r="H1474" t="inlineStr">
        <is>
          <t>営業支援SaaS</t>
        </is>
      </c>
      <c r="I1474" s="4" t="n">
        <v>5</v>
      </c>
      <c r="J1474" s="4" t="n">
        <v>275300</v>
      </c>
      <c r="K1474" s="4">
        <f>I1474*J1474</f>
        <v/>
      </c>
      <c r="L1474" t="inlineStr"/>
    </row>
    <row r="1475">
      <c r="A1475" t="inlineStr">
        <is>
          <t>SR062</t>
        </is>
      </c>
      <c r="B1475" t="inlineStr">
        <is>
          <t>営業担当062</t>
        </is>
      </c>
      <c r="C1475" t="inlineStr">
        <is>
          <t>第2営業部</t>
        </is>
      </c>
      <c r="D1475" s="3" t="n">
        <v>45854</v>
      </c>
      <c r="E1475" t="inlineStr">
        <is>
          <t>青葉商事(株)</t>
        </is>
      </c>
      <c r="F1475" t="inlineStr">
        <is>
          <t>宮城県</t>
        </is>
      </c>
      <c r="G1475" t="inlineStr">
        <is>
          <t>導入支援</t>
        </is>
      </c>
      <c r="H1475" t="inlineStr">
        <is>
          <t>初期設定支援</t>
        </is>
      </c>
      <c r="I1475" s="4" t="n">
        <v>2</v>
      </c>
      <c r="J1475" s="4" t="n">
        <v>92100</v>
      </c>
      <c r="K1475" s="4">
        <f>I1475*J1475</f>
        <v/>
      </c>
      <c r="L1475" t="inlineStr">
        <is>
          <t>キャンペーン適用</t>
        </is>
      </c>
    </row>
    <row r="1476">
      <c r="A1476" t="inlineStr">
        <is>
          <t>SR062</t>
        </is>
      </c>
      <c r="B1476" t="inlineStr">
        <is>
          <t>営業担当062</t>
        </is>
      </c>
      <c r="C1476" t="inlineStr">
        <is>
          <t>第2営業部</t>
        </is>
      </c>
      <c r="D1476" s="3" t="n">
        <v>45856</v>
      </c>
      <c r="E1476" t="inlineStr">
        <is>
          <t>ネクストソリューション株式会社</t>
        </is>
      </c>
      <c r="F1476" t="inlineStr">
        <is>
          <t>宮城県</t>
        </is>
      </c>
      <c r="G1476" t="inlineStr">
        <is>
          <t>導入支援</t>
        </is>
      </c>
      <c r="H1476" t="inlineStr">
        <is>
          <t>操作研修パック</t>
        </is>
      </c>
      <c r="I1476" s="4" t="n">
        <v>2</v>
      </c>
      <c r="J1476" s="4" t="n">
        <v>118000</v>
      </c>
      <c r="K1476" s="4">
        <f>I1476*J1476</f>
        <v/>
      </c>
      <c r="L1476" t="inlineStr">
        <is>
          <t>キャンペーン適用</t>
        </is>
      </c>
    </row>
    <row r="1477">
      <c r="A1477" t="inlineStr">
        <is>
          <t>SR062</t>
        </is>
      </c>
      <c r="B1477" t="inlineStr">
        <is>
          <t>営業担当062</t>
        </is>
      </c>
      <c r="C1477" t="inlineStr">
        <is>
          <t>第2営業部</t>
        </is>
      </c>
      <c r="D1477" s="3" t="n">
        <v>45875</v>
      </c>
      <c r="E1477" t="inlineStr">
        <is>
          <t>アーク電機有限会社</t>
        </is>
      </c>
      <c r="F1477" t="inlineStr">
        <is>
          <t>東京都</t>
        </is>
      </c>
      <c r="G1477" t="inlineStr">
        <is>
          <t>保守サービス</t>
        </is>
      </c>
      <c r="H1477" t="inlineStr">
        <is>
          <t>年間保守契約</t>
        </is>
      </c>
      <c r="I1477" s="4" t="n">
        <v>5</v>
      </c>
      <c r="J1477" s="4" t="n">
        <v>202400</v>
      </c>
      <c r="K1477" s="4">
        <f>I1477*J1477</f>
        <v/>
      </c>
      <c r="L1477" t="inlineStr"/>
    </row>
    <row r="1478">
      <c r="A1478" t="inlineStr">
        <is>
          <t>SR062</t>
        </is>
      </c>
      <c r="B1478" t="inlineStr">
        <is>
          <t>営業担当062</t>
        </is>
      </c>
      <c r="C1478" t="inlineStr">
        <is>
          <t>第2営業部</t>
        </is>
      </c>
      <c r="D1478" s="3" t="n">
        <v>45887</v>
      </c>
      <c r="E1478" t="inlineStr">
        <is>
          <t>グリーンテック株式会社</t>
        </is>
      </c>
      <c r="F1478" t="inlineStr">
        <is>
          <t>広島県</t>
        </is>
      </c>
      <c r="G1478" t="inlineStr">
        <is>
          <t>ソフトウェア</t>
        </is>
      </c>
      <c r="H1478" t="inlineStr">
        <is>
          <t>帳票自動化ツール</t>
        </is>
      </c>
      <c r="I1478" s="4" t="n">
        <v>3</v>
      </c>
      <c r="J1478" s="4" t="n">
        <v>229300</v>
      </c>
      <c r="K1478" s="4">
        <f>I1478*J1478</f>
        <v/>
      </c>
      <c r="L1478" t="inlineStr">
        <is>
          <t>新規開拓</t>
        </is>
      </c>
    </row>
    <row r="1479">
      <c r="A1479" t="inlineStr">
        <is>
          <t>SR062</t>
        </is>
      </c>
      <c r="B1479" t="inlineStr">
        <is>
          <t>営業担当062</t>
        </is>
      </c>
      <c r="C1479" t="inlineStr">
        <is>
          <t>第2営業部</t>
        </is>
      </c>
      <c r="D1479" s="3" t="n">
        <v>45914</v>
      </c>
      <c r="E1479" t="inlineStr">
        <is>
          <t>北斗産業株式会社</t>
        </is>
      </c>
      <c r="F1479" t="inlineStr">
        <is>
          <t>愛知県</t>
        </is>
      </c>
      <c r="G1479" t="inlineStr">
        <is>
          <t>ソフトウェア</t>
        </is>
      </c>
      <c r="H1479" t="inlineStr">
        <is>
          <t>在庫管理クラウド</t>
        </is>
      </c>
      <c r="I1479" s="4" t="n">
        <v>2</v>
      </c>
      <c r="J1479" s="4" t="n">
        <v>349100</v>
      </c>
      <c r="K1479" s="4">
        <f>I1479*J1479</f>
        <v/>
      </c>
      <c r="L1479" t="inlineStr">
        <is>
          <t>値引き調整あり</t>
        </is>
      </c>
    </row>
    <row r="1480">
      <c r="A1480" t="inlineStr">
        <is>
          <t>SR062</t>
        </is>
      </c>
      <c r="B1480" t="inlineStr">
        <is>
          <t>営業担当062</t>
        </is>
      </c>
      <c r="C1480" t="inlineStr">
        <is>
          <t>第2営業部</t>
        </is>
      </c>
      <c r="D1480" s="3" t="n">
        <v>45920</v>
      </c>
      <c r="E1480" t="inlineStr">
        <is>
          <t>オーシャン製作所(株)</t>
        </is>
      </c>
      <c r="F1480" t="inlineStr">
        <is>
          <t>兵庫県</t>
        </is>
      </c>
      <c r="G1480" t="inlineStr">
        <is>
          <t>ハードウェア</t>
        </is>
      </c>
      <c r="H1480" t="inlineStr">
        <is>
          <t>産業用タブレット</t>
        </is>
      </c>
      <c r="I1480" s="4" t="n">
        <v>3</v>
      </c>
      <c r="J1480" s="4" t="n">
        <v>112400</v>
      </c>
      <c r="K1480" s="4">
        <f>I1480*J1480</f>
        <v/>
      </c>
      <c r="L1480" t="inlineStr">
        <is>
          <t>キャンペーン適用</t>
        </is>
      </c>
    </row>
    <row r="1481">
      <c r="A1481" t="inlineStr">
        <is>
          <t>SR062</t>
        </is>
      </c>
      <c r="B1481" t="inlineStr">
        <is>
          <t>営業担当062</t>
        </is>
      </c>
      <c r="C1481" t="inlineStr">
        <is>
          <t>第2営業部</t>
        </is>
      </c>
      <c r="D1481" s="3" t="n">
        <v>45949</v>
      </c>
      <c r="E1481" t="inlineStr">
        <is>
          <t>北斗産業株式会社</t>
        </is>
      </c>
      <c r="F1481" t="inlineStr">
        <is>
          <t>愛知県</t>
        </is>
      </c>
      <c r="G1481" t="inlineStr">
        <is>
          <t>ソフトウェア</t>
        </is>
      </c>
      <c r="H1481" t="inlineStr">
        <is>
          <t>在庫管理クラウド</t>
        </is>
      </c>
      <c r="I1481" s="4" t="n">
        <v>1</v>
      </c>
      <c r="J1481" s="4" t="n">
        <v>231900</v>
      </c>
      <c r="K1481" s="4">
        <f>I1481*J1481</f>
        <v/>
      </c>
      <c r="L1481" t="inlineStr">
        <is>
          <t>分納</t>
        </is>
      </c>
    </row>
    <row r="1482">
      <c r="A1482" t="inlineStr">
        <is>
          <t>SR062</t>
        </is>
      </c>
      <c r="B1482" t="inlineStr">
        <is>
          <t>営業担当062</t>
        </is>
      </c>
      <c r="C1482" t="inlineStr">
        <is>
          <t>第2営業部</t>
        </is>
      </c>
      <c r="D1482" s="3" t="n">
        <v>45956</v>
      </c>
      <c r="E1482" t="inlineStr">
        <is>
          <t>北斗産業株式会社</t>
        </is>
      </c>
      <c r="F1482" t="inlineStr">
        <is>
          <t>京都府</t>
        </is>
      </c>
      <c r="G1482" t="inlineStr">
        <is>
          <t>導入支援</t>
        </is>
      </c>
      <c r="H1482" t="inlineStr">
        <is>
          <t>操作研修パック</t>
        </is>
      </c>
      <c r="I1482" s="4" t="n">
        <v>3</v>
      </c>
      <c r="J1482" s="4" t="n">
        <v>139500</v>
      </c>
      <c r="K1482" s="4">
        <f>I1482*J1482</f>
        <v/>
      </c>
      <c r="L1482" t="inlineStr">
        <is>
          <t>分納</t>
        </is>
      </c>
    </row>
    <row r="1483">
      <c r="A1483" t="inlineStr">
        <is>
          <t>SR062</t>
        </is>
      </c>
      <c r="B1483" t="inlineStr">
        <is>
          <t>営業担当062</t>
        </is>
      </c>
      <c r="C1483" t="inlineStr">
        <is>
          <t>第2営業部</t>
        </is>
      </c>
      <c r="D1483" s="3" t="n">
        <v>45967</v>
      </c>
      <c r="E1483" t="inlineStr">
        <is>
          <t>サンライズ建設株式会社</t>
        </is>
      </c>
      <c r="F1483" t="inlineStr">
        <is>
          <t>北海道</t>
        </is>
      </c>
      <c r="G1483" t="inlineStr">
        <is>
          <t>保守サービス</t>
        </is>
      </c>
      <c r="H1483" t="inlineStr">
        <is>
          <t>ヘルプデスク契約</t>
        </is>
      </c>
      <c r="I1483" s="4" t="n">
        <v>2</v>
      </c>
      <c r="J1483" s="4" t="n">
        <v>65900</v>
      </c>
      <c r="K1483" s="4">
        <f>I1483*J1483</f>
        <v/>
      </c>
      <c r="L1483" t="inlineStr"/>
    </row>
    <row r="1484">
      <c r="A1484" t="inlineStr">
        <is>
          <t>SR062</t>
        </is>
      </c>
      <c r="B1484" t="inlineStr">
        <is>
          <t>営業担当062</t>
        </is>
      </c>
      <c r="C1484" t="inlineStr">
        <is>
          <t>第2営業部</t>
        </is>
      </c>
      <c r="D1484" s="3" t="n">
        <v>45975</v>
      </c>
      <c r="E1484" t="inlineStr">
        <is>
          <t>星和商会有限会社</t>
        </is>
      </c>
      <c r="F1484" t="inlineStr">
        <is>
          <t>兵庫県</t>
        </is>
      </c>
      <c r="G1484" t="inlineStr">
        <is>
          <t>消耗品</t>
        </is>
      </c>
      <c r="H1484" t="inlineStr">
        <is>
          <t>保守用バッテリー</t>
        </is>
      </c>
      <c r="I1484" s="4" t="n">
        <v>3</v>
      </c>
      <c r="J1484" s="4" t="n">
        <v>13600</v>
      </c>
      <c r="K1484" s="4">
        <f>I1484*J1484</f>
        <v/>
      </c>
      <c r="L1484" t="inlineStr">
        <is>
          <t>分納</t>
        </is>
      </c>
    </row>
    <row r="1485">
      <c r="A1485" t="inlineStr">
        <is>
          <t>SR062</t>
        </is>
      </c>
      <c r="B1485" t="inlineStr">
        <is>
          <t>営業担当062</t>
        </is>
      </c>
      <c r="C1485" t="inlineStr">
        <is>
          <t>第2営業部</t>
        </is>
      </c>
      <c r="D1485" s="3" t="n">
        <v>46011</v>
      </c>
      <c r="E1485" t="inlineStr">
        <is>
          <t>日新サービス(株)</t>
        </is>
      </c>
      <c r="F1485" t="inlineStr">
        <is>
          <t>大阪府</t>
        </is>
      </c>
      <c r="G1485" t="inlineStr">
        <is>
          <t>ソフトウェア</t>
        </is>
      </c>
      <c r="H1485" t="inlineStr">
        <is>
          <t>在庫管理クラウド</t>
        </is>
      </c>
      <c r="I1485" s="4" t="n">
        <v>3</v>
      </c>
      <c r="J1485" s="4" t="n">
        <v>402600</v>
      </c>
      <c r="K1485" s="4">
        <f>I1485*J1485</f>
        <v/>
      </c>
      <c r="L1485" t="inlineStr">
        <is>
          <t>大型案件</t>
        </is>
      </c>
    </row>
    <row r="1486">
      <c r="A1486" t="inlineStr">
        <is>
          <t>SR062</t>
        </is>
      </c>
      <c r="B1486" t="inlineStr">
        <is>
          <t>営業担当062</t>
        </is>
      </c>
      <c r="C1486" t="inlineStr">
        <is>
          <t>第2営業部</t>
        </is>
      </c>
      <c r="D1486" s="3" t="n">
        <v>46015</v>
      </c>
      <c r="E1486" t="inlineStr">
        <is>
          <t>桜井メディカル株式会社</t>
        </is>
      </c>
      <c r="F1486" t="inlineStr">
        <is>
          <t>東京都</t>
        </is>
      </c>
      <c r="G1486" t="inlineStr">
        <is>
          <t>保守サービス</t>
        </is>
      </c>
      <c r="H1486" t="inlineStr">
        <is>
          <t>ヘルプデスク契約</t>
        </is>
      </c>
      <c r="I1486" s="4" t="n">
        <v>3</v>
      </c>
      <c r="J1486" s="4" t="n">
        <v>44700</v>
      </c>
      <c r="K1486" s="4">
        <f>I1486*J1486</f>
        <v/>
      </c>
      <c r="L1486" t="inlineStr">
        <is>
          <t>大型案件</t>
        </is>
      </c>
    </row>
    <row r="1487">
      <c r="A1487" t="inlineStr">
        <is>
          <t>SR062</t>
        </is>
      </c>
      <c r="B1487" t="inlineStr">
        <is>
          <t>営業担当062</t>
        </is>
      </c>
      <c r="C1487" t="inlineStr">
        <is>
          <t>第2営業部</t>
        </is>
      </c>
      <c r="D1487" s="3" t="n">
        <v>46038</v>
      </c>
      <c r="E1487" t="inlineStr">
        <is>
          <t>福岡流通株式会社</t>
        </is>
      </c>
      <c r="F1487" t="inlineStr">
        <is>
          <t>広島県</t>
        </is>
      </c>
      <c r="G1487" t="inlineStr">
        <is>
          <t>保守サービス</t>
        </is>
      </c>
      <c r="H1487" t="inlineStr">
        <is>
          <t>オンサイト保守</t>
        </is>
      </c>
      <c r="I1487" s="4" t="n">
        <v>5</v>
      </c>
      <c r="J1487" s="4" t="n">
        <v>99900</v>
      </c>
      <c r="K1487" s="4">
        <f>I1487*J1487</f>
        <v/>
      </c>
      <c r="L1487" t="inlineStr">
        <is>
          <t>大型案件</t>
        </is>
      </c>
    </row>
    <row r="1488">
      <c r="A1488" t="inlineStr">
        <is>
          <t>SR062</t>
        </is>
      </c>
      <c r="B1488" t="inlineStr">
        <is>
          <t>営業担当062</t>
        </is>
      </c>
      <c r="C1488" t="inlineStr">
        <is>
          <t>第2営業部</t>
        </is>
      </c>
      <c r="D1488" s="3" t="n">
        <v>46047</v>
      </c>
      <c r="E1488" t="inlineStr">
        <is>
          <t>九州エナジー(株)</t>
        </is>
      </c>
      <c r="F1488" t="inlineStr">
        <is>
          <t>北海道</t>
        </is>
      </c>
      <c r="G1488" t="inlineStr">
        <is>
          <t>消耗品</t>
        </is>
      </c>
      <c r="H1488" t="inlineStr">
        <is>
          <t>保守用バッテリー</t>
        </is>
      </c>
      <c r="I1488" s="4" t="n">
        <v>1</v>
      </c>
      <c r="J1488" s="4" t="n">
        <v>18400</v>
      </c>
      <c r="K1488" s="4">
        <f>I1488*J1488</f>
        <v/>
      </c>
      <c r="L1488" t="inlineStr">
        <is>
          <t>リピート受注</t>
        </is>
      </c>
    </row>
    <row r="1489">
      <c r="A1489" t="inlineStr">
        <is>
          <t>SR062</t>
        </is>
      </c>
      <c r="B1489" t="inlineStr">
        <is>
          <t>営業担当062</t>
        </is>
      </c>
      <c r="C1489" t="inlineStr">
        <is>
          <t>第2営業部</t>
        </is>
      </c>
      <c r="D1489" s="3" t="n">
        <v>46065</v>
      </c>
      <c r="E1489" t="inlineStr">
        <is>
          <t>未来通信有限会社</t>
        </is>
      </c>
      <c r="F1489" t="inlineStr">
        <is>
          <t>神奈川県</t>
        </is>
      </c>
      <c r="G1489" t="inlineStr">
        <is>
          <t>消耗品</t>
        </is>
      </c>
      <c r="H1489" t="inlineStr">
        <is>
          <t>ラベルロール</t>
        </is>
      </c>
      <c r="I1489" s="4" t="n">
        <v>2</v>
      </c>
      <c r="J1489" s="4" t="n">
        <v>8480</v>
      </c>
      <c r="K1489" s="4">
        <f>I1489*J1489</f>
        <v/>
      </c>
      <c r="L1489" t="inlineStr">
        <is>
          <t>新規開拓</t>
        </is>
      </c>
    </row>
    <row r="1490">
      <c r="A1490" t="inlineStr">
        <is>
          <t>SR062</t>
        </is>
      </c>
      <c r="B1490" t="inlineStr">
        <is>
          <t>営業担当062</t>
        </is>
      </c>
      <c r="C1490" t="inlineStr">
        <is>
          <t>第2営業部</t>
        </is>
      </c>
      <c r="D1490" s="3" t="n">
        <v>46070</v>
      </c>
      <c r="E1490" t="inlineStr">
        <is>
          <t>未来通信(株)</t>
        </is>
      </c>
      <c r="F1490" t="inlineStr">
        <is>
          <t>京都府</t>
        </is>
      </c>
      <c r="G1490" t="inlineStr">
        <is>
          <t>消耗品</t>
        </is>
      </c>
      <c r="H1490" t="inlineStr">
        <is>
          <t>ラベルロール</t>
        </is>
      </c>
      <c r="I1490" s="4" t="n">
        <v>1</v>
      </c>
      <c r="J1490" s="4" t="n">
        <v>9290</v>
      </c>
      <c r="K1490" s="4">
        <f>I1490*J1490</f>
        <v/>
      </c>
      <c r="L1490" t="inlineStr">
        <is>
          <t>キャンペーン適用</t>
        </is>
      </c>
    </row>
    <row r="1491">
      <c r="A1491" t="inlineStr">
        <is>
          <t>SR062</t>
        </is>
      </c>
      <c r="B1491" t="inlineStr">
        <is>
          <t>営業担当062</t>
        </is>
      </c>
      <c r="C1491" t="inlineStr">
        <is>
          <t>第2営業部</t>
        </is>
      </c>
      <c r="D1491" s="3" t="n">
        <v>46104</v>
      </c>
      <c r="E1491" t="inlineStr">
        <is>
          <t>ライトホーム(株)</t>
        </is>
      </c>
      <c r="F1491" t="inlineStr">
        <is>
          <t>神奈川県</t>
        </is>
      </c>
      <c r="G1491" t="inlineStr">
        <is>
          <t>ソフトウェア</t>
        </is>
      </c>
      <c r="H1491" t="inlineStr">
        <is>
          <t>営業支援SaaS</t>
        </is>
      </c>
      <c r="I1491" s="4" t="n">
        <v>2</v>
      </c>
      <c r="J1491" s="4" t="n">
        <v>333300</v>
      </c>
      <c r="K1491" s="4">
        <f>I1491*J1491</f>
        <v/>
      </c>
      <c r="L1491" t="inlineStr">
        <is>
          <t>大型案件</t>
        </is>
      </c>
    </row>
    <row r="1492">
      <c r="A1492" t="inlineStr">
        <is>
          <t>SR062</t>
        </is>
      </c>
      <c r="B1492" t="inlineStr">
        <is>
          <t>営業担当062</t>
        </is>
      </c>
      <c r="C1492" t="inlineStr">
        <is>
          <t>第2営業部</t>
        </is>
      </c>
      <c r="D1492" s="3" t="n">
        <v>46108</v>
      </c>
      <c r="E1492" t="inlineStr">
        <is>
          <t>未来通信株式会社</t>
        </is>
      </c>
      <c r="F1492" t="inlineStr">
        <is>
          <t>広島県</t>
        </is>
      </c>
      <c r="G1492" t="inlineStr">
        <is>
          <t>導入支援</t>
        </is>
      </c>
      <c r="H1492" t="inlineStr">
        <is>
          <t>初期設定支援</t>
        </is>
      </c>
      <c r="I1492" s="4" t="n">
        <v>4</v>
      </c>
      <c r="J1492" s="4" t="n">
        <v>51800</v>
      </c>
      <c r="K1492" s="4">
        <f>I1492*J1492</f>
        <v/>
      </c>
      <c r="L1492" t="inlineStr">
        <is>
          <t>分納</t>
        </is>
      </c>
    </row>
    <row r="1493">
      <c r="A1493" t="inlineStr">
        <is>
          <t>SR063</t>
        </is>
      </c>
      <c r="B1493" t="inlineStr">
        <is>
          <t>営業担当063</t>
        </is>
      </c>
      <c r="C1493" t="inlineStr">
        <is>
          <t>第3営業部</t>
        </is>
      </c>
      <c r="D1493" s="3" t="n">
        <v>45749</v>
      </c>
      <c r="E1493" t="inlineStr">
        <is>
          <t>福岡流通(株)</t>
        </is>
      </c>
      <c r="F1493" t="inlineStr">
        <is>
          <t>京都府</t>
        </is>
      </c>
      <c r="G1493" t="inlineStr">
        <is>
          <t>ハードウェア</t>
        </is>
      </c>
      <c r="H1493" t="inlineStr">
        <is>
          <t>ネットワークカメラ</t>
        </is>
      </c>
      <c r="I1493" s="4" t="n">
        <v>1</v>
      </c>
      <c r="J1493" s="4" t="n">
        <v>32100</v>
      </c>
      <c r="K1493" s="4">
        <f>I1493*J1493</f>
        <v/>
      </c>
      <c r="L1493" t="inlineStr">
        <is>
          <t>リピート受注</t>
        </is>
      </c>
    </row>
    <row r="1494">
      <c r="A1494" t="inlineStr">
        <is>
          <t>SR063</t>
        </is>
      </c>
      <c r="B1494" t="inlineStr">
        <is>
          <t>営業担当063</t>
        </is>
      </c>
      <c r="C1494" t="inlineStr">
        <is>
          <t>第3営業部</t>
        </is>
      </c>
      <c r="D1494" s="3" t="n">
        <v>45771</v>
      </c>
      <c r="E1494" t="inlineStr">
        <is>
          <t>アーク電機有限会社</t>
        </is>
      </c>
      <c r="F1494" t="inlineStr">
        <is>
          <t>大阪府</t>
        </is>
      </c>
      <c r="G1494" t="inlineStr">
        <is>
          <t>消耗品</t>
        </is>
      </c>
      <c r="H1494" t="inlineStr">
        <is>
          <t>ラベルロール</t>
        </is>
      </c>
      <c r="I1494" s="4" t="n">
        <v>10</v>
      </c>
      <c r="J1494" s="4" t="n">
        <v>11870</v>
      </c>
      <c r="K1494" s="4">
        <f>I1494*J1494</f>
        <v/>
      </c>
      <c r="L1494" t="inlineStr">
        <is>
          <t>値引き調整あり</t>
        </is>
      </c>
    </row>
    <row r="1495">
      <c r="A1495" t="inlineStr">
        <is>
          <t>SR063</t>
        </is>
      </c>
      <c r="B1495" t="inlineStr">
        <is>
          <t>営業担当063</t>
        </is>
      </c>
      <c r="C1495" t="inlineStr">
        <is>
          <t>第3営業部</t>
        </is>
      </c>
      <c r="D1495" s="3" t="n">
        <v>45794</v>
      </c>
      <c r="E1495" t="inlineStr">
        <is>
          <t>白峰化学(株)</t>
        </is>
      </c>
      <c r="F1495" t="inlineStr">
        <is>
          <t>神奈川県</t>
        </is>
      </c>
      <c r="G1495" t="inlineStr">
        <is>
          <t>ハードウェア</t>
        </is>
      </c>
      <c r="H1495" t="inlineStr">
        <is>
          <t>ラベルプリンター</t>
        </is>
      </c>
      <c r="I1495" s="4" t="n">
        <v>2</v>
      </c>
      <c r="J1495" s="4" t="n">
        <v>54800</v>
      </c>
      <c r="K1495" s="4">
        <f>I1495*J1495</f>
        <v/>
      </c>
      <c r="L1495" t="inlineStr">
        <is>
          <t>大型案件</t>
        </is>
      </c>
    </row>
    <row r="1496">
      <c r="A1496" t="inlineStr">
        <is>
          <t>SR063</t>
        </is>
      </c>
      <c r="B1496" t="inlineStr">
        <is>
          <t>営業担当063</t>
        </is>
      </c>
      <c r="C1496" t="inlineStr">
        <is>
          <t>第3営業部</t>
        </is>
      </c>
      <c r="D1496" s="3" t="n">
        <v>45797</v>
      </c>
      <c r="E1496" t="inlineStr">
        <is>
          <t>九州エナジー(株)</t>
        </is>
      </c>
      <c r="F1496" t="inlineStr">
        <is>
          <t>大阪府</t>
        </is>
      </c>
      <c r="G1496" t="inlineStr">
        <is>
          <t>導入支援</t>
        </is>
      </c>
      <c r="H1496" t="inlineStr">
        <is>
          <t>初期設定支援</t>
        </is>
      </c>
      <c r="I1496" s="4" t="n">
        <v>3</v>
      </c>
      <c r="J1496" s="4" t="n">
        <v>206800</v>
      </c>
      <c r="K1496" s="4">
        <f>I1496*J1496</f>
        <v/>
      </c>
      <c r="L1496" t="inlineStr">
        <is>
          <t>リピート受注</t>
        </is>
      </c>
    </row>
    <row r="1497">
      <c r="A1497" t="inlineStr">
        <is>
          <t>SR063</t>
        </is>
      </c>
      <c r="B1497" t="inlineStr">
        <is>
          <t>営業担当063</t>
        </is>
      </c>
      <c r="C1497" t="inlineStr">
        <is>
          <t>第3営業部</t>
        </is>
      </c>
      <c r="D1497" s="3" t="n">
        <v>45817</v>
      </c>
      <c r="E1497" t="inlineStr">
        <is>
          <t>ネクストソリューション株式会社</t>
        </is>
      </c>
      <c r="F1497" t="inlineStr">
        <is>
          <t>愛知県</t>
        </is>
      </c>
      <c r="G1497" t="inlineStr">
        <is>
          <t>ハードウェア</t>
        </is>
      </c>
      <c r="H1497" t="inlineStr">
        <is>
          <t>小型ハンディ端末</t>
        </is>
      </c>
      <c r="I1497" s="4" t="n">
        <v>5</v>
      </c>
      <c r="J1497" s="4" t="n">
        <v>50000</v>
      </c>
      <c r="K1497" s="4">
        <f>I1497*J1497</f>
        <v/>
      </c>
      <c r="L1497" t="inlineStr">
        <is>
          <t>大型案件</t>
        </is>
      </c>
    </row>
    <row r="1498">
      <c r="A1498" t="inlineStr">
        <is>
          <t>SR063</t>
        </is>
      </c>
      <c r="B1498" t="inlineStr">
        <is>
          <t>営業担当063</t>
        </is>
      </c>
      <c r="C1498" t="inlineStr">
        <is>
          <t>第3営業部</t>
        </is>
      </c>
      <c r="D1498" s="3" t="n">
        <v>45834</v>
      </c>
      <c r="E1498" t="inlineStr">
        <is>
          <t>福岡流通株式会社</t>
        </is>
      </c>
      <c r="F1498" t="inlineStr">
        <is>
          <t>広島県</t>
        </is>
      </c>
      <c r="G1498" t="inlineStr">
        <is>
          <t>保守サービス</t>
        </is>
      </c>
      <c r="H1498" t="inlineStr">
        <is>
          <t>ヘルプデスク契約</t>
        </is>
      </c>
      <c r="I1498" s="4" t="n">
        <v>1</v>
      </c>
      <c r="J1498" s="4" t="n">
        <v>106900</v>
      </c>
      <c r="K1498" s="4">
        <f>I1498*J1498</f>
        <v/>
      </c>
      <c r="L1498" t="inlineStr">
        <is>
          <t>大型案件</t>
        </is>
      </c>
    </row>
    <row r="1499">
      <c r="A1499" t="inlineStr">
        <is>
          <t>SR063</t>
        </is>
      </c>
      <c r="B1499" t="inlineStr">
        <is>
          <t>営業担当063</t>
        </is>
      </c>
      <c r="C1499" t="inlineStr">
        <is>
          <t>第3営業部</t>
        </is>
      </c>
      <c r="D1499" s="3" t="n">
        <v>45842</v>
      </c>
      <c r="E1499" t="inlineStr">
        <is>
          <t>北斗産業株式会社</t>
        </is>
      </c>
      <c r="F1499" t="inlineStr">
        <is>
          <t>京都府</t>
        </is>
      </c>
      <c r="G1499" t="inlineStr">
        <is>
          <t>導入支援</t>
        </is>
      </c>
      <c r="H1499" t="inlineStr">
        <is>
          <t>操作研修パック</t>
        </is>
      </c>
      <c r="I1499" s="4" t="n">
        <v>3</v>
      </c>
      <c r="J1499" s="4" t="n">
        <v>38500</v>
      </c>
      <c r="K1499" s="4">
        <f>I1499*J1499</f>
        <v/>
      </c>
      <c r="L1499" t="inlineStr">
        <is>
          <t>値引き調整あり</t>
        </is>
      </c>
    </row>
    <row r="1500">
      <c r="A1500" t="inlineStr">
        <is>
          <t>SR063</t>
        </is>
      </c>
      <c r="B1500" t="inlineStr">
        <is>
          <t>営業担当063</t>
        </is>
      </c>
      <c r="C1500" t="inlineStr">
        <is>
          <t>第3営業部</t>
        </is>
      </c>
      <c r="D1500" s="3" t="n">
        <v>45853</v>
      </c>
      <c r="E1500" t="inlineStr">
        <is>
          <t>アーク電機(株)</t>
        </is>
      </c>
      <c r="F1500" t="inlineStr">
        <is>
          <t>大阪府</t>
        </is>
      </c>
      <c r="G1500" t="inlineStr">
        <is>
          <t>保守サービス</t>
        </is>
      </c>
      <c r="H1500" t="inlineStr">
        <is>
          <t>ヘルプデスク契約</t>
        </is>
      </c>
      <c r="I1500" s="4" t="n">
        <v>5</v>
      </c>
      <c r="J1500" s="4" t="n">
        <v>43800</v>
      </c>
      <c r="K1500" s="4">
        <f>I1500*J1500</f>
        <v/>
      </c>
      <c r="L1500" t="inlineStr">
        <is>
          <t>新規開拓</t>
        </is>
      </c>
    </row>
    <row r="1501">
      <c r="A1501" t="inlineStr">
        <is>
          <t>SR063</t>
        </is>
      </c>
      <c r="B1501" t="inlineStr">
        <is>
          <t>営業担当063</t>
        </is>
      </c>
      <c r="C1501" t="inlineStr">
        <is>
          <t>第3営業部</t>
        </is>
      </c>
      <c r="D1501" s="3" t="n">
        <v>45890</v>
      </c>
      <c r="E1501" t="inlineStr">
        <is>
          <t>ネクストソリューション有限会社</t>
        </is>
      </c>
      <c r="F1501" t="inlineStr">
        <is>
          <t>愛知県</t>
        </is>
      </c>
      <c r="G1501" t="inlineStr">
        <is>
          <t>導入支援</t>
        </is>
      </c>
      <c r="H1501" t="inlineStr">
        <is>
          <t>データ移行支援</t>
        </is>
      </c>
      <c r="I1501" s="4" t="n">
        <v>2</v>
      </c>
      <c r="J1501" s="4" t="n">
        <v>313200</v>
      </c>
      <c r="K1501" s="4">
        <f>I1501*J1501</f>
        <v/>
      </c>
      <c r="L1501" t="inlineStr"/>
    </row>
    <row r="1502">
      <c r="A1502" t="inlineStr">
        <is>
          <t>SR063</t>
        </is>
      </c>
      <c r="B1502" t="inlineStr">
        <is>
          <t>営業担当063</t>
        </is>
      </c>
      <c r="C1502" t="inlineStr">
        <is>
          <t>第3営業部</t>
        </is>
      </c>
      <c r="D1502" s="3" t="n">
        <v>45892</v>
      </c>
      <c r="E1502" t="inlineStr">
        <is>
          <t>桜井メディカル株式会社</t>
        </is>
      </c>
      <c r="F1502" t="inlineStr">
        <is>
          <t>神奈川県</t>
        </is>
      </c>
      <c r="G1502" t="inlineStr">
        <is>
          <t>保守サービス</t>
        </is>
      </c>
      <c r="H1502" t="inlineStr">
        <is>
          <t>年間保守契約</t>
        </is>
      </c>
      <c r="I1502" s="4" t="n">
        <v>3</v>
      </c>
      <c r="J1502" s="4" t="n">
        <v>281300</v>
      </c>
      <c r="K1502" s="4">
        <f>I1502*J1502</f>
        <v/>
      </c>
      <c r="L1502" t="inlineStr"/>
    </row>
    <row r="1503">
      <c r="A1503" t="inlineStr">
        <is>
          <t>SR063</t>
        </is>
      </c>
      <c r="B1503" t="inlineStr">
        <is>
          <t>営業担当063</t>
        </is>
      </c>
      <c r="C1503" t="inlineStr">
        <is>
          <t>第3営業部</t>
        </is>
      </c>
      <c r="D1503" s="3" t="n">
        <v>45918</v>
      </c>
      <c r="E1503" t="inlineStr">
        <is>
          <t>桜井メディカル(株)</t>
        </is>
      </c>
      <c r="F1503" t="inlineStr">
        <is>
          <t>兵庫県</t>
        </is>
      </c>
      <c r="G1503" t="inlineStr">
        <is>
          <t>ハードウェア</t>
        </is>
      </c>
      <c r="H1503" t="inlineStr">
        <is>
          <t>ラベルプリンター</t>
        </is>
      </c>
      <c r="I1503" s="4" t="n">
        <v>3</v>
      </c>
      <c r="J1503" s="4" t="n">
        <v>55400</v>
      </c>
      <c r="K1503" s="4">
        <f>I1503*J1503</f>
        <v/>
      </c>
      <c r="L1503" t="inlineStr">
        <is>
          <t>新規開拓</t>
        </is>
      </c>
    </row>
    <row r="1504">
      <c r="A1504" t="inlineStr">
        <is>
          <t>SR063</t>
        </is>
      </c>
      <c r="B1504" t="inlineStr">
        <is>
          <t>営業担当063</t>
        </is>
      </c>
      <c r="C1504" t="inlineStr">
        <is>
          <t>第3営業部</t>
        </is>
      </c>
      <c r="D1504" s="3" t="n">
        <v>45920</v>
      </c>
      <c r="E1504" t="inlineStr">
        <is>
          <t>桜井メディカル(株)</t>
        </is>
      </c>
      <c r="F1504" t="inlineStr">
        <is>
          <t>大阪府</t>
        </is>
      </c>
      <c r="G1504" t="inlineStr">
        <is>
          <t>ソフトウェア</t>
        </is>
      </c>
      <c r="H1504" t="inlineStr">
        <is>
          <t>AIチャットボット</t>
        </is>
      </c>
      <c r="I1504" s="4" t="n">
        <v>1</v>
      </c>
      <c r="J1504" s="4" t="n">
        <v>668600</v>
      </c>
      <c r="K1504" s="4">
        <f>I1504*J1504</f>
        <v/>
      </c>
      <c r="L1504" t="inlineStr"/>
    </row>
    <row r="1505">
      <c r="A1505" t="inlineStr">
        <is>
          <t>SR063</t>
        </is>
      </c>
      <c r="B1505" t="inlineStr">
        <is>
          <t>営業担当063</t>
        </is>
      </c>
      <c r="C1505" t="inlineStr">
        <is>
          <t>第3営業部</t>
        </is>
      </c>
      <c r="D1505" s="3" t="n">
        <v>45934</v>
      </c>
      <c r="E1505" t="inlineStr">
        <is>
          <t>みらい物流(株)</t>
        </is>
      </c>
      <c r="F1505" t="inlineStr">
        <is>
          <t>宮城県</t>
        </is>
      </c>
      <c r="G1505" t="inlineStr">
        <is>
          <t>消耗品</t>
        </is>
      </c>
      <c r="H1505" t="inlineStr">
        <is>
          <t>ラベルロール</t>
        </is>
      </c>
      <c r="I1505" s="4" t="n">
        <v>10</v>
      </c>
      <c r="J1505" s="4" t="n">
        <v>12320</v>
      </c>
      <c r="K1505" s="4">
        <f>I1505*J1505</f>
        <v/>
      </c>
      <c r="L1505" t="inlineStr">
        <is>
          <t>大型案件</t>
        </is>
      </c>
    </row>
    <row r="1506">
      <c r="A1506" t="inlineStr">
        <is>
          <t>SR063</t>
        </is>
      </c>
      <c r="B1506" t="inlineStr">
        <is>
          <t>営業担当063</t>
        </is>
      </c>
      <c r="C1506" t="inlineStr">
        <is>
          <t>第3営業部</t>
        </is>
      </c>
      <c r="D1506" s="3" t="n">
        <v>45938</v>
      </c>
      <c r="E1506" t="inlineStr">
        <is>
          <t>東洋フーズ(株)</t>
        </is>
      </c>
      <c r="F1506" t="inlineStr">
        <is>
          <t>兵庫県</t>
        </is>
      </c>
      <c r="G1506" t="inlineStr">
        <is>
          <t>保守サービス</t>
        </is>
      </c>
      <c r="H1506" t="inlineStr">
        <is>
          <t>ヘルプデスク契約</t>
        </is>
      </c>
      <c r="I1506" s="4" t="n">
        <v>4</v>
      </c>
      <c r="J1506" s="4" t="n">
        <v>43300</v>
      </c>
      <c r="K1506" s="4">
        <f>I1506*J1506</f>
        <v/>
      </c>
      <c r="L1506" t="inlineStr">
        <is>
          <t>キャンペーン適用</t>
        </is>
      </c>
    </row>
    <row r="1507">
      <c r="A1507" t="inlineStr">
        <is>
          <t>SR063</t>
        </is>
      </c>
      <c r="B1507" t="inlineStr">
        <is>
          <t>営業担当063</t>
        </is>
      </c>
      <c r="C1507" t="inlineStr">
        <is>
          <t>第3営業部</t>
        </is>
      </c>
      <c r="D1507" s="3" t="n">
        <v>45967</v>
      </c>
      <c r="E1507" t="inlineStr">
        <is>
          <t>白峰化学株式会社</t>
        </is>
      </c>
      <c r="F1507" t="inlineStr">
        <is>
          <t>福岡県</t>
        </is>
      </c>
      <c r="G1507" t="inlineStr">
        <is>
          <t>ソフトウェア</t>
        </is>
      </c>
      <c r="H1507" t="inlineStr">
        <is>
          <t>AIチャットボット</t>
        </is>
      </c>
      <c r="I1507" s="4" t="n">
        <v>3</v>
      </c>
      <c r="J1507" s="4" t="n">
        <v>877100</v>
      </c>
      <c r="K1507" s="4">
        <f>I1507*J1507</f>
        <v/>
      </c>
      <c r="L1507" t="inlineStr">
        <is>
          <t>値引き調整あり</t>
        </is>
      </c>
    </row>
    <row r="1508">
      <c r="A1508" t="inlineStr">
        <is>
          <t>SR063</t>
        </is>
      </c>
      <c r="B1508" t="inlineStr">
        <is>
          <t>営業担当063</t>
        </is>
      </c>
      <c r="C1508" t="inlineStr">
        <is>
          <t>第3営業部</t>
        </is>
      </c>
      <c r="D1508" s="3" t="n">
        <v>45971</v>
      </c>
      <c r="E1508" t="inlineStr">
        <is>
          <t>グリーンテック株式会社</t>
        </is>
      </c>
      <c r="F1508" t="inlineStr">
        <is>
          <t>北海道</t>
        </is>
      </c>
      <c r="G1508" t="inlineStr">
        <is>
          <t>消耗品</t>
        </is>
      </c>
      <c r="H1508" t="inlineStr">
        <is>
          <t>保守用バッテリー</t>
        </is>
      </c>
      <c r="I1508" s="4" t="n">
        <v>6</v>
      </c>
      <c r="J1508" s="4" t="n">
        <v>14150</v>
      </c>
      <c r="K1508" s="4">
        <f>I1508*J1508</f>
        <v/>
      </c>
      <c r="L1508" t="inlineStr">
        <is>
          <t>新規開拓</t>
        </is>
      </c>
    </row>
    <row r="1509">
      <c r="A1509" t="inlineStr">
        <is>
          <t>SR063</t>
        </is>
      </c>
      <c r="B1509" t="inlineStr">
        <is>
          <t>営業担当063</t>
        </is>
      </c>
      <c r="C1509" t="inlineStr">
        <is>
          <t>第3営業部</t>
        </is>
      </c>
      <c r="D1509" s="3" t="n">
        <v>46007</v>
      </c>
      <c r="E1509" t="inlineStr">
        <is>
          <t>サンライズ建設有限会社</t>
        </is>
      </c>
      <c r="F1509" t="inlineStr">
        <is>
          <t>東京都</t>
        </is>
      </c>
      <c r="G1509" t="inlineStr">
        <is>
          <t>ハードウェア</t>
        </is>
      </c>
      <c r="H1509" t="inlineStr">
        <is>
          <t>ラベルプリンター</t>
        </is>
      </c>
      <c r="I1509" s="4" t="n">
        <v>1</v>
      </c>
      <c r="J1509" s="4" t="n">
        <v>52800</v>
      </c>
      <c r="K1509" s="4">
        <f>I1509*J1509</f>
        <v/>
      </c>
      <c r="L1509" t="inlineStr"/>
    </row>
    <row r="1510">
      <c r="A1510" t="inlineStr">
        <is>
          <t>SR063</t>
        </is>
      </c>
      <c r="B1510" t="inlineStr">
        <is>
          <t>営業担当063</t>
        </is>
      </c>
      <c r="C1510" t="inlineStr">
        <is>
          <t>第3営業部</t>
        </is>
      </c>
      <c r="D1510" s="3" t="n">
        <v>46014</v>
      </c>
      <c r="E1510" t="inlineStr">
        <is>
          <t>ネクストソリューション有限会社</t>
        </is>
      </c>
      <c r="F1510" t="inlineStr">
        <is>
          <t>大阪府</t>
        </is>
      </c>
      <c r="G1510" t="inlineStr">
        <is>
          <t>ハードウェア</t>
        </is>
      </c>
      <c r="H1510" t="inlineStr">
        <is>
          <t>産業用タブレット</t>
        </is>
      </c>
      <c r="I1510" s="4" t="n">
        <v>4</v>
      </c>
      <c r="J1510" s="4" t="n">
        <v>70400</v>
      </c>
      <c r="K1510" s="4">
        <f>I1510*J1510</f>
        <v/>
      </c>
      <c r="L1510" t="inlineStr"/>
    </row>
    <row r="1511">
      <c r="A1511" t="inlineStr">
        <is>
          <t>SR063</t>
        </is>
      </c>
      <c r="B1511" t="inlineStr">
        <is>
          <t>営業担当063</t>
        </is>
      </c>
      <c r="C1511" t="inlineStr">
        <is>
          <t>第3営業部</t>
        </is>
      </c>
      <c r="D1511" s="3" t="n">
        <v>46025</v>
      </c>
      <c r="E1511" t="inlineStr">
        <is>
          <t>グリーンテック有限会社</t>
        </is>
      </c>
      <c r="F1511" t="inlineStr">
        <is>
          <t>京都府</t>
        </is>
      </c>
      <c r="G1511" t="inlineStr">
        <is>
          <t>導入支援</t>
        </is>
      </c>
      <c r="H1511" t="inlineStr">
        <is>
          <t>データ移行支援</t>
        </is>
      </c>
      <c r="I1511" s="4" t="n">
        <v>3</v>
      </c>
      <c r="J1511" s="4" t="n">
        <v>132200</v>
      </c>
      <c r="K1511" s="4">
        <f>I1511*J1511</f>
        <v/>
      </c>
      <c r="L1511" t="inlineStr">
        <is>
          <t>キャンペーン適用</t>
        </is>
      </c>
    </row>
    <row r="1512">
      <c r="A1512" t="inlineStr">
        <is>
          <t>SR063</t>
        </is>
      </c>
      <c r="B1512" t="inlineStr">
        <is>
          <t>営業担当063</t>
        </is>
      </c>
      <c r="C1512" t="inlineStr">
        <is>
          <t>第3営業部</t>
        </is>
      </c>
      <c r="D1512" s="3" t="n">
        <v>46041</v>
      </c>
      <c r="E1512" t="inlineStr">
        <is>
          <t>青葉商事株式会社</t>
        </is>
      </c>
      <c r="F1512" t="inlineStr">
        <is>
          <t>兵庫県</t>
        </is>
      </c>
      <c r="G1512" t="inlineStr">
        <is>
          <t>ハードウェア</t>
        </is>
      </c>
      <c r="H1512" t="inlineStr">
        <is>
          <t>ラベルプリンター</t>
        </is>
      </c>
      <c r="I1512" s="4" t="n">
        <v>5</v>
      </c>
      <c r="J1512" s="4" t="n">
        <v>74600</v>
      </c>
      <c r="K1512" s="4">
        <f>I1512*J1512</f>
        <v/>
      </c>
      <c r="L1512" t="inlineStr">
        <is>
          <t>値引き調整あり</t>
        </is>
      </c>
    </row>
    <row r="1513">
      <c r="A1513" t="inlineStr">
        <is>
          <t>SR063</t>
        </is>
      </c>
      <c r="B1513" t="inlineStr">
        <is>
          <t>営業担当063</t>
        </is>
      </c>
      <c r="C1513" t="inlineStr">
        <is>
          <t>第3営業部</t>
        </is>
      </c>
      <c r="D1513" s="3" t="n">
        <v>46076</v>
      </c>
      <c r="E1513" t="inlineStr">
        <is>
          <t>九州エナジー株式会社</t>
        </is>
      </c>
      <c r="F1513" t="inlineStr">
        <is>
          <t>神奈川県</t>
        </is>
      </c>
      <c r="G1513" t="inlineStr">
        <is>
          <t>ソフトウェア</t>
        </is>
      </c>
      <c r="H1513" t="inlineStr">
        <is>
          <t>帳票自動化ツール</t>
        </is>
      </c>
      <c r="I1513" s="4" t="n">
        <v>3</v>
      </c>
      <c r="J1513" s="4" t="n">
        <v>392200</v>
      </c>
      <c r="K1513" s="4">
        <f>I1513*J1513</f>
        <v/>
      </c>
      <c r="L1513" t="inlineStr"/>
    </row>
    <row r="1514">
      <c r="A1514" t="inlineStr">
        <is>
          <t>SR063</t>
        </is>
      </c>
      <c r="B1514" t="inlineStr">
        <is>
          <t>営業担当063</t>
        </is>
      </c>
      <c r="C1514" t="inlineStr">
        <is>
          <t>第3営業部</t>
        </is>
      </c>
      <c r="D1514" s="3" t="n">
        <v>46079</v>
      </c>
      <c r="E1514" t="inlineStr">
        <is>
          <t>星和商会有限会社</t>
        </is>
      </c>
      <c r="F1514" t="inlineStr">
        <is>
          <t>北海道</t>
        </is>
      </c>
      <c r="G1514" t="inlineStr">
        <is>
          <t>ハードウェア</t>
        </is>
      </c>
      <c r="H1514" t="inlineStr">
        <is>
          <t>ネットワークカメラ</t>
        </is>
      </c>
      <c r="I1514" s="4" t="n">
        <v>5</v>
      </c>
      <c r="J1514" s="4" t="n">
        <v>27300</v>
      </c>
      <c r="K1514" s="4">
        <f>I1514*J1514</f>
        <v/>
      </c>
      <c r="L1514" t="inlineStr"/>
    </row>
    <row r="1515">
      <c r="A1515" t="inlineStr">
        <is>
          <t>SR063</t>
        </is>
      </c>
      <c r="B1515" t="inlineStr">
        <is>
          <t>営業担当063</t>
        </is>
      </c>
      <c r="C1515" t="inlineStr">
        <is>
          <t>第3営業部</t>
        </is>
      </c>
      <c r="D1515" s="3" t="n">
        <v>46094</v>
      </c>
      <c r="E1515" t="inlineStr">
        <is>
          <t>みらい物流株式会社</t>
        </is>
      </c>
      <c r="F1515" t="inlineStr">
        <is>
          <t>愛知県</t>
        </is>
      </c>
      <c r="G1515" t="inlineStr">
        <is>
          <t>消耗品</t>
        </is>
      </c>
      <c r="H1515" t="inlineStr">
        <is>
          <t>交換用ヘッド</t>
        </is>
      </c>
      <c r="I1515" s="4" t="n">
        <v>10</v>
      </c>
      <c r="J1515" s="4" t="n">
        <v>37810</v>
      </c>
      <c r="K1515" s="4">
        <f>I1515*J1515</f>
        <v/>
      </c>
      <c r="L1515" t="inlineStr">
        <is>
          <t>値引き調整あり</t>
        </is>
      </c>
    </row>
    <row r="1516">
      <c r="A1516" t="inlineStr">
        <is>
          <t>SR063</t>
        </is>
      </c>
      <c r="B1516" t="inlineStr">
        <is>
          <t>営業担当063</t>
        </is>
      </c>
      <c r="C1516" t="inlineStr">
        <is>
          <t>第3営業部</t>
        </is>
      </c>
      <c r="D1516" s="3" t="n">
        <v>46105</v>
      </c>
      <c r="E1516" t="inlineStr">
        <is>
          <t>北斗産業株式会社</t>
        </is>
      </c>
      <c r="F1516" t="inlineStr">
        <is>
          <t>北海道</t>
        </is>
      </c>
      <c r="G1516" t="inlineStr">
        <is>
          <t>導入支援</t>
        </is>
      </c>
      <c r="H1516" t="inlineStr">
        <is>
          <t>データ移行支援</t>
        </is>
      </c>
      <c r="I1516" s="4" t="n">
        <v>4</v>
      </c>
      <c r="J1516" s="4" t="n">
        <v>258400</v>
      </c>
      <c r="K1516" s="4">
        <f>I1516*J1516</f>
        <v/>
      </c>
      <c r="L1516" t="inlineStr">
        <is>
          <t>リピート受注</t>
        </is>
      </c>
    </row>
    <row r="1517">
      <c r="A1517" t="inlineStr">
        <is>
          <t>SR064</t>
        </is>
      </c>
      <c r="B1517" t="inlineStr">
        <is>
          <t>営業担当064</t>
        </is>
      </c>
      <c r="C1517" t="inlineStr">
        <is>
          <t>パートナー営業部</t>
        </is>
      </c>
      <c r="D1517" s="3" t="n">
        <v>45756</v>
      </c>
      <c r="E1517" t="inlineStr">
        <is>
          <t>白峰化学有限会社</t>
        </is>
      </c>
      <c r="F1517" t="inlineStr">
        <is>
          <t>京都府</t>
        </is>
      </c>
      <c r="G1517" t="inlineStr">
        <is>
          <t>ソフトウェア</t>
        </is>
      </c>
      <c r="H1517" t="inlineStr">
        <is>
          <t>帳票自動化ツール</t>
        </is>
      </c>
      <c r="I1517" s="4" t="n">
        <v>1</v>
      </c>
      <c r="J1517" s="4" t="n">
        <v>327500</v>
      </c>
      <c r="K1517" s="4">
        <f>I1517*J1517</f>
        <v/>
      </c>
      <c r="L1517" t="inlineStr"/>
    </row>
    <row r="1518">
      <c r="A1518" t="inlineStr">
        <is>
          <t>SR064</t>
        </is>
      </c>
      <c r="B1518" t="inlineStr">
        <is>
          <t>営業担当064</t>
        </is>
      </c>
      <c r="C1518" t="inlineStr">
        <is>
          <t>パートナー営業部</t>
        </is>
      </c>
      <c r="D1518" s="3" t="n">
        <v>45772</v>
      </c>
      <c r="E1518" t="inlineStr">
        <is>
          <t>ネクストソリューション有限会社</t>
        </is>
      </c>
      <c r="F1518" t="inlineStr">
        <is>
          <t>福岡県</t>
        </is>
      </c>
      <c r="G1518" t="inlineStr">
        <is>
          <t>ハードウェア</t>
        </is>
      </c>
      <c r="H1518" t="inlineStr">
        <is>
          <t>産業用タブレット</t>
        </is>
      </c>
      <c r="I1518" s="4" t="n">
        <v>2</v>
      </c>
      <c r="J1518" s="4" t="n">
        <v>68700</v>
      </c>
      <c r="K1518" s="4">
        <f>I1518*J1518</f>
        <v/>
      </c>
      <c r="L1518" t="inlineStr">
        <is>
          <t>新規開拓</t>
        </is>
      </c>
    </row>
    <row r="1519">
      <c r="A1519" t="inlineStr">
        <is>
          <t>SR064</t>
        </is>
      </c>
      <c r="B1519" t="inlineStr">
        <is>
          <t>営業担当064</t>
        </is>
      </c>
      <c r="C1519" t="inlineStr">
        <is>
          <t>パートナー営業部</t>
        </is>
      </c>
      <c r="D1519" s="3" t="n">
        <v>45799</v>
      </c>
      <c r="E1519" t="inlineStr">
        <is>
          <t>白峰化学(株)</t>
        </is>
      </c>
      <c r="F1519" t="inlineStr">
        <is>
          <t>北海道</t>
        </is>
      </c>
      <c r="G1519" t="inlineStr">
        <is>
          <t>導入支援</t>
        </is>
      </c>
      <c r="H1519" t="inlineStr">
        <is>
          <t>初期設定支援</t>
        </is>
      </c>
      <c r="I1519" s="4" t="n">
        <v>5</v>
      </c>
      <c r="J1519" s="4" t="n">
        <v>197900</v>
      </c>
      <c r="K1519" s="4">
        <f>I1519*J1519</f>
        <v/>
      </c>
      <c r="L1519" t="inlineStr">
        <is>
          <t>リピート受注</t>
        </is>
      </c>
    </row>
    <row r="1520">
      <c r="A1520" t="inlineStr">
        <is>
          <t>SR064</t>
        </is>
      </c>
      <c r="B1520" t="inlineStr">
        <is>
          <t>営業担当064</t>
        </is>
      </c>
      <c r="C1520" t="inlineStr">
        <is>
          <t>パートナー営業部</t>
        </is>
      </c>
      <c r="D1520" s="3" t="n">
        <v>45800</v>
      </c>
      <c r="E1520" t="inlineStr">
        <is>
          <t>大和精機(株)</t>
        </is>
      </c>
      <c r="F1520" t="inlineStr">
        <is>
          <t>愛知県</t>
        </is>
      </c>
      <c r="G1520" t="inlineStr">
        <is>
          <t>消耗品</t>
        </is>
      </c>
      <c r="H1520" t="inlineStr">
        <is>
          <t>交換用ヘッド</t>
        </is>
      </c>
      <c r="I1520" s="4" t="n">
        <v>14</v>
      </c>
      <c r="J1520" s="4" t="n">
        <v>37640</v>
      </c>
      <c r="K1520" s="4">
        <f>I1520*J1520</f>
        <v/>
      </c>
      <c r="L1520" t="inlineStr"/>
    </row>
    <row r="1521">
      <c r="A1521" t="inlineStr">
        <is>
          <t>SR064</t>
        </is>
      </c>
      <c r="B1521" t="inlineStr">
        <is>
          <t>営業担当064</t>
        </is>
      </c>
      <c r="C1521" t="inlineStr">
        <is>
          <t>パートナー営業部</t>
        </is>
      </c>
      <c r="D1521" s="3" t="n">
        <v>45829</v>
      </c>
      <c r="E1521" t="inlineStr">
        <is>
          <t>青葉商事株式会社</t>
        </is>
      </c>
      <c r="F1521" t="inlineStr">
        <is>
          <t>福岡県</t>
        </is>
      </c>
      <c r="G1521" t="inlineStr">
        <is>
          <t>消耗品</t>
        </is>
      </c>
      <c r="H1521" t="inlineStr">
        <is>
          <t>保守用バッテリー</t>
        </is>
      </c>
      <c r="I1521" s="4" t="n">
        <v>14</v>
      </c>
      <c r="J1521" s="4" t="n">
        <v>10300</v>
      </c>
      <c r="K1521" s="4">
        <f>I1521*J1521</f>
        <v/>
      </c>
      <c r="L1521" t="inlineStr">
        <is>
          <t>大型案件</t>
        </is>
      </c>
    </row>
    <row r="1522">
      <c r="A1522" t="inlineStr">
        <is>
          <t>SR064</t>
        </is>
      </c>
      <c r="B1522" t="inlineStr">
        <is>
          <t>営業担当064</t>
        </is>
      </c>
      <c r="C1522" t="inlineStr">
        <is>
          <t>パートナー営業部</t>
        </is>
      </c>
      <c r="D1522" s="3" t="n">
        <v>45833</v>
      </c>
      <c r="E1522" t="inlineStr">
        <is>
          <t>中央設備株式会社</t>
        </is>
      </c>
      <c r="F1522" t="inlineStr">
        <is>
          <t>神奈川県</t>
        </is>
      </c>
      <c r="G1522" t="inlineStr">
        <is>
          <t>導入支援</t>
        </is>
      </c>
      <c r="H1522" t="inlineStr">
        <is>
          <t>データ移行支援</t>
        </is>
      </c>
      <c r="I1522" s="4" t="n">
        <v>1</v>
      </c>
      <c r="J1522" s="4" t="n">
        <v>311000</v>
      </c>
      <c r="K1522" s="4">
        <f>I1522*J1522</f>
        <v/>
      </c>
      <c r="L1522" t="inlineStr">
        <is>
          <t>値引き調整あり</t>
        </is>
      </c>
    </row>
    <row r="1523">
      <c r="A1523" t="inlineStr">
        <is>
          <t>SR064</t>
        </is>
      </c>
      <c r="B1523" t="inlineStr">
        <is>
          <t>営業担当064</t>
        </is>
      </c>
      <c r="C1523" t="inlineStr">
        <is>
          <t>パートナー営業部</t>
        </is>
      </c>
      <c r="D1523" s="3" t="n">
        <v>45847</v>
      </c>
      <c r="E1523" t="inlineStr">
        <is>
          <t>ネクストソリューション株式会社</t>
        </is>
      </c>
      <c r="F1523" t="inlineStr">
        <is>
          <t>広島県</t>
        </is>
      </c>
      <c r="G1523" t="inlineStr">
        <is>
          <t>ハードウェア</t>
        </is>
      </c>
      <c r="H1523" t="inlineStr">
        <is>
          <t>ネットワークカメラ</t>
        </is>
      </c>
      <c r="I1523" s="4" t="n">
        <v>3</v>
      </c>
      <c r="J1523" s="4" t="n">
        <v>37400</v>
      </c>
      <c r="K1523" s="4">
        <f>I1523*J1523</f>
        <v/>
      </c>
      <c r="L1523" t="inlineStr">
        <is>
          <t>大型案件</t>
        </is>
      </c>
    </row>
    <row r="1524">
      <c r="A1524" t="inlineStr">
        <is>
          <t>SR064</t>
        </is>
      </c>
      <c r="B1524" t="inlineStr">
        <is>
          <t>営業担当064</t>
        </is>
      </c>
      <c r="C1524" t="inlineStr">
        <is>
          <t>パートナー営業部</t>
        </is>
      </c>
      <c r="D1524" s="3" t="n">
        <v>45855</v>
      </c>
      <c r="E1524" t="inlineStr">
        <is>
          <t>星和商会有限会社</t>
        </is>
      </c>
      <c r="F1524" t="inlineStr">
        <is>
          <t>宮城県</t>
        </is>
      </c>
      <c r="G1524" t="inlineStr">
        <is>
          <t>保守サービス</t>
        </is>
      </c>
      <c r="H1524" t="inlineStr">
        <is>
          <t>オンサイト保守</t>
        </is>
      </c>
      <c r="I1524" s="4" t="n">
        <v>4</v>
      </c>
      <c r="J1524" s="4" t="n">
        <v>105200</v>
      </c>
      <c r="K1524" s="4">
        <f>I1524*J1524</f>
        <v/>
      </c>
      <c r="L1524" t="inlineStr"/>
    </row>
    <row r="1525">
      <c r="A1525" t="inlineStr">
        <is>
          <t>SR064</t>
        </is>
      </c>
      <c r="B1525" t="inlineStr">
        <is>
          <t>営業担当064</t>
        </is>
      </c>
      <c r="C1525" t="inlineStr">
        <is>
          <t>パートナー営業部</t>
        </is>
      </c>
      <c r="D1525" s="3" t="n">
        <v>45874</v>
      </c>
      <c r="E1525" t="inlineStr">
        <is>
          <t>北斗産業有限会社</t>
        </is>
      </c>
      <c r="F1525" t="inlineStr">
        <is>
          <t>愛知県</t>
        </is>
      </c>
      <c r="G1525" t="inlineStr">
        <is>
          <t>導入支援</t>
        </is>
      </c>
      <c r="H1525" t="inlineStr">
        <is>
          <t>操作研修パック</t>
        </is>
      </c>
      <c r="I1525" s="4" t="n">
        <v>3</v>
      </c>
      <c r="J1525" s="4" t="n">
        <v>147700</v>
      </c>
      <c r="K1525" s="4">
        <f>I1525*J1525</f>
        <v/>
      </c>
      <c r="L1525" t="inlineStr">
        <is>
          <t>新規開拓</t>
        </is>
      </c>
    </row>
    <row r="1526">
      <c r="A1526" t="inlineStr">
        <is>
          <t>SR064</t>
        </is>
      </c>
      <c r="B1526" t="inlineStr">
        <is>
          <t>営業担当064</t>
        </is>
      </c>
      <c r="C1526" t="inlineStr">
        <is>
          <t>パートナー営業部</t>
        </is>
      </c>
      <c r="D1526" s="3" t="n">
        <v>45890</v>
      </c>
      <c r="E1526" t="inlineStr">
        <is>
          <t>みらい物流有限会社</t>
        </is>
      </c>
      <c r="F1526" t="inlineStr">
        <is>
          <t>愛知県</t>
        </is>
      </c>
      <c r="G1526" t="inlineStr">
        <is>
          <t>ソフトウェア</t>
        </is>
      </c>
      <c r="H1526" t="inlineStr">
        <is>
          <t>AIチャットボット</t>
        </is>
      </c>
      <c r="I1526" s="4" t="n">
        <v>1</v>
      </c>
      <c r="J1526" s="4" t="n">
        <v>651900</v>
      </c>
      <c r="K1526" s="4">
        <f>I1526*J1526</f>
        <v/>
      </c>
      <c r="L1526" t="inlineStr">
        <is>
          <t>値引き調整あり</t>
        </is>
      </c>
    </row>
    <row r="1527">
      <c r="A1527" t="inlineStr">
        <is>
          <t>SR064</t>
        </is>
      </c>
      <c r="B1527" t="inlineStr">
        <is>
          <t>営業担当064</t>
        </is>
      </c>
      <c r="C1527" t="inlineStr">
        <is>
          <t>パートナー営業部</t>
        </is>
      </c>
      <c r="D1527" s="3" t="n">
        <v>45904</v>
      </c>
      <c r="E1527" t="inlineStr">
        <is>
          <t>福岡流通(株)</t>
        </is>
      </c>
      <c r="F1527" t="inlineStr">
        <is>
          <t>福岡県</t>
        </is>
      </c>
      <c r="G1527" t="inlineStr">
        <is>
          <t>ソフトウェア</t>
        </is>
      </c>
      <c r="H1527" t="inlineStr">
        <is>
          <t>帳票自動化ツール</t>
        </is>
      </c>
      <c r="I1527" s="4" t="n">
        <v>3</v>
      </c>
      <c r="J1527" s="4" t="n">
        <v>349300</v>
      </c>
      <c r="K1527" s="4">
        <f>I1527*J1527</f>
        <v/>
      </c>
      <c r="L1527" t="inlineStr">
        <is>
          <t>分納</t>
        </is>
      </c>
    </row>
    <row r="1528">
      <c r="A1528" t="inlineStr">
        <is>
          <t>SR064</t>
        </is>
      </c>
      <c r="B1528" t="inlineStr">
        <is>
          <t>営業担当064</t>
        </is>
      </c>
      <c r="C1528" t="inlineStr">
        <is>
          <t>パートナー営業部</t>
        </is>
      </c>
      <c r="D1528" s="3" t="n">
        <v>45920</v>
      </c>
      <c r="E1528" t="inlineStr">
        <is>
          <t>東洋フーズ有限会社</t>
        </is>
      </c>
      <c r="F1528" t="inlineStr">
        <is>
          <t>福岡県</t>
        </is>
      </c>
      <c r="G1528" t="inlineStr">
        <is>
          <t>ソフトウェア</t>
        </is>
      </c>
      <c r="H1528" t="inlineStr">
        <is>
          <t>AIチャットボット</t>
        </is>
      </c>
      <c r="I1528" s="4" t="n">
        <v>3</v>
      </c>
      <c r="J1528" s="4" t="n">
        <v>752400</v>
      </c>
      <c r="K1528" s="4">
        <f>I1528*J1528</f>
        <v/>
      </c>
      <c r="L1528" t="inlineStr">
        <is>
          <t>キャンペーン適用</t>
        </is>
      </c>
    </row>
    <row r="1529">
      <c r="A1529" t="inlineStr">
        <is>
          <t>SR064</t>
        </is>
      </c>
      <c r="B1529" t="inlineStr">
        <is>
          <t>営業担当064</t>
        </is>
      </c>
      <c r="C1529" t="inlineStr">
        <is>
          <t>パートナー営業部</t>
        </is>
      </c>
      <c r="D1529" s="3" t="n">
        <v>45938</v>
      </c>
      <c r="E1529" t="inlineStr">
        <is>
          <t>西日本機工(株)</t>
        </is>
      </c>
      <c r="F1529" t="inlineStr">
        <is>
          <t>神奈川県</t>
        </is>
      </c>
      <c r="G1529" t="inlineStr">
        <is>
          <t>消耗品</t>
        </is>
      </c>
      <c r="H1529" t="inlineStr">
        <is>
          <t>ラベルロール</t>
        </is>
      </c>
      <c r="I1529" s="4" t="n">
        <v>15</v>
      </c>
      <c r="J1529" s="4" t="n">
        <v>6940</v>
      </c>
      <c r="K1529" s="4">
        <f>I1529*J1529</f>
        <v/>
      </c>
      <c r="L1529" t="inlineStr">
        <is>
          <t>リピート受注</t>
        </is>
      </c>
    </row>
    <row r="1530">
      <c r="A1530" t="inlineStr">
        <is>
          <t>SR064</t>
        </is>
      </c>
      <c r="B1530" t="inlineStr">
        <is>
          <t>営業担当064</t>
        </is>
      </c>
      <c r="C1530" t="inlineStr">
        <is>
          <t>パートナー営業部</t>
        </is>
      </c>
      <c r="D1530" s="3" t="n">
        <v>45951</v>
      </c>
      <c r="E1530" t="inlineStr">
        <is>
          <t>星和商会株式会社</t>
        </is>
      </c>
      <c r="F1530" t="inlineStr">
        <is>
          <t>北海道</t>
        </is>
      </c>
      <c r="G1530" t="inlineStr">
        <is>
          <t>導入支援</t>
        </is>
      </c>
      <c r="H1530" t="inlineStr">
        <is>
          <t>操作研修パック</t>
        </is>
      </c>
      <c r="I1530" s="4" t="n">
        <v>2</v>
      </c>
      <c r="J1530" s="4" t="n">
        <v>91400</v>
      </c>
      <c r="K1530" s="4">
        <f>I1530*J1530</f>
        <v/>
      </c>
      <c r="L1530" t="inlineStr">
        <is>
          <t>大型案件</t>
        </is>
      </c>
    </row>
    <row r="1531">
      <c r="A1531" t="inlineStr">
        <is>
          <t>SR064</t>
        </is>
      </c>
      <c r="B1531" t="inlineStr">
        <is>
          <t>営業担当064</t>
        </is>
      </c>
      <c r="C1531" t="inlineStr">
        <is>
          <t>パートナー営業部</t>
        </is>
      </c>
      <c r="D1531" s="3" t="n">
        <v>45966</v>
      </c>
      <c r="E1531" t="inlineStr">
        <is>
          <t>中央設備株式会社</t>
        </is>
      </c>
      <c r="F1531" t="inlineStr">
        <is>
          <t>京都府</t>
        </is>
      </c>
      <c r="G1531" t="inlineStr">
        <is>
          <t>消耗品</t>
        </is>
      </c>
      <c r="H1531" t="inlineStr">
        <is>
          <t>ラベルロール</t>
        </is>
      </c>
      <c r="I1531" s="4" t="n">
        <v>1</v>
      </c>
      <c r="J1531" s="4" t="n">
        <v>3010</v>
      </c>
      <c r="K1531" s="4">
        <f>I1531*J1531</f>
        <v/>
      </c>
      <c r="L1531" t="inlineStr">
        <is>
          <t>値引き調整あり</t>
        </is>
      </c>
    </row>
    <row r="1532">
      <c r="A1532" t="inlineStr">
        <is>
          <t>SR064</t>
        </is>
      </c>
      <c r="B1532" t="inlineStr">
        <is>
          <t>営業担当064</t>
        </is>
      </c>
      <c r="C1532" t="inlineStr">
        <is>
          <t>パートナー営業部</t>
        </is>
      </c>
      <c r="D1532" s="3" t="n">
        <v>45971</v>
      </c>
      <c r="E1532" t="inlineStr">
        <is>
          <t>ネクストソリューション(株)</t>
        </is>
      </c>
      <c r="F1532" t="inlineStr">
        <is>
          <t>宮城県</t>
        </is>
      </c>
      <c r="G1532" t="inlineStr">
        <is>
          <t>消耗品</t>
        </is>
      </c>
      <c r="H1532" t="inlineStr">
        <is>
          <t>保守用バッテリー</t>
        </is>
      </c>
      <c r="I1532" s="4" t="n">
        <v>9</v>
      </c>
      <c r="J1532" s="4" t="n">
        <v>15650</v>
      </c>
      <c r="K1532" s="4">
        <f>I1532*J1532</f>
        <v/>
      </c>
      <c r="L1532" t="inlineStr">
        <is>
          <t>リピート受注</t>
        </is>
      </c>
    </row>
    <row r="1533">
      <c r="A1533" t="inlineStr">
        <is>
          <t>SR064</t>
        </is>
      </c>
      <c r="B1533" t="inlineStr">
        <is>
          <t>営業担当064</t>
        </is>
      </c>
      <c r="C1533" t="inlineStr">
        <is>
          <t>パートナー営業部</t>
        </is>
      </c>
      <c r="D1533" s="3" t="n">
        <v>45995</v>
      </c>
      <c r="E1533" t="inlineStr">
        <is>
          <t>桜井メディカル株式会社</t>
        </is>
      </c>
      <c r="F1533" t="inlineStr">
        <is>
          <t>神奈川県</t>
        </is>
      </c>
      <c r="G1533" t="inlineStr">
        <is>
          <t>導入支援</t>
        </is>
      </c>
      <c r="H1533" t="inlineStr">
        <is>
          <t>データ移行支援</t>
        </is>
      </c>
      <c r="I1533" s="4" t="n">
        <v>3</v>
      </c>
      <c r="J1533" s="4" t="n">
        <v>181300</v>
      </c>
      <c r="K1533" s="4">
        <f>I1533*J1533</f>
        <v/>
      </c>
      <c r="L1533" t="inlineStr">
        <is>
          <t>キャンペーン適用</t>
        </is>
      </c>
    </row>
    <row r="1534">
      <c r="A1534" t="inlineStr">
        <is>
          <t>SR064</t>
        </is>
      </c>
      <c r="B1534" t="inlineStr">
        <is>
          <t>営業担当064</t>
        </is>
      </c>
      <c r="C1534" t="inlineStr">
        <is>
          <t>パートナー営業部</t>
        </is>
      </c>
      <c r="D1534" s="3" t="n">
        <v>46009</v>
      </c>
      <c r="E1534" t="inlineStr">
        <is>
          <t>東洋フーズ株式会社</t>
        </is>
      </c>
      <c r="F1534" t="inlineStr">
        <is>
          <t>広島県</t>
        </is>
      </c>
      <c r="G1534" t="inlineStr">
        <is>
          <t>ソフトウェア</t>
        </is>
      </c>
      <c r="H1534" t="inlineStr">
        <is>
          <t>帳票自動化ツール</t>
        </is>
      </c>
      <c r="I1534" s="4" t="n">
        <v>2</v>
      </c>
      <c r="J1534" s="4" t="n">
        <v>265400</v>
      </c>
      <c r="K1534" s="4">
        <f>I1534*J1534</f>
        <v/>
      </c>
      <c r="L1534" t="inlineStr">
        <is>
          <t>キャンペーン適用</t>
        </is>
      </c>
    </row>
    <row r="1535">
      <c r="A1535" t="inlineStr">
        <is>
          <t>SR064</t>
        </is>
      </c>
      <c r="B1535" t="inlineStr">
        <is>
          <t>営業担当064</t>
        </is>
      </c>
      <c r="C1535" t="inlineStr">
        <is>
          <t>パートナー営業部</t>
        </is>
      </c>
      <c r="D1535" s="3" t="n">
        <v>46026</v>
      </c>
      <c r="E1535" t="inlineStr">
        <is>
          <t>西日本機工(株)</t>
        </is>
      </c>
      <c r="F1535" t="inlineStr">
        <is>
          <t>北海道</t>
        </is>
      </c>
      <c r="G1535" t="inlineStr">
        <is>
          <t>ソフトウェア</t>
        </is>
      </c>
      <c r="H1535" t="inlineStr">
        <is>
          <t>帳票自動化ツール</t>
        </is>
      </c>
      <c r="I1535" s="4" t="n">
        <v>4</v>
      </c>
      <c r="J1535" s="4" t="n">
        <v>202400</v>
      </c>
      <c r="K1535" s="4">
        <f>I1535*J1535</f>
        <v/>
      </c>
      <c r="L1535" t="inlineStr">
        <is>
          <t>分納</t>
        </is>
      </c>
    </row>
    <row r="1536">
      <c r="A1536" t="inlineStr">
        <is>
          <t>SR064</t>
        </is>
      </c>
      <c r="B1536" t="inlineStr">
        <is>
          <t>営業担当064</t>
        </is>
      </c>
      <c r="C1536" t="inlineStr">
        <is>
          <t>パートナー営業部</t>
        </is>
      </c>
      <c r="D1536" s="3" t="n">
        <v>46046</v>
      </c>
      <c r="E1536" t="inlineStr">
        <is>
          <t>白峰化学有限会社</t>
        </is>
      </c>
      <c r="F1536" t="inlineStr">
        <is>
          <t>福岡県</t>
        </is>
      </c>
      <c r="G1536" t="inlineStr">
        <is>
          <t>導入支援</t>
        </is>
      </c>
      <c r="H1536" t="inlineStr">
        <is>
          <t>データ移行支援</t>
        </is>
      </c>
      <c r="I1536" s="4" t="n">
        <v>1</v>
      </c>
      <c r="J1536" s="4" t="n">
        <v>129100</v>
      </c>
      <c r="K1536" s="4">
        <f>I1536*J1536</f>
        <v/>
      </c>
      <c r="L1536" t="inlineStr">
        <is>
          <t>分納</t>
        </is>
      </c>
    </row>
    <row r="1537">
      <c r="A1537" t="inlineStr">
        <is>
          <t>SR064</t>
        </is>
      </c>
      <c r="B1537" t="inlineStr">
        <is>
          <t>営業担当064</t>
        </is>
      </c>
      <c r="C1537" t="inlineStr">
        <is>
          <t>パートナー営業部</t>
        </is>
      </c>
      <c r="D1537" s="3" t="n">
        <v>46067</v>
      </c>
      <c r="E1537" t="inlineStr">
        <is>
          <t>ネクストソリューション(株)</t>
        </is>
      </c>
      <c r="F1537" t="inlineStr">
        <is>
          <t>大阪府</t>
        </is>
      </c>
      <c r="G1537" t="inlineStr">
        <is>
          <t>ハードウェア</t>
        </is>
      </c>
      <c r="H1537" t="inlineStr">
        <is>
          <t>ラベルプリンター</t>
        </is>
      </c>
      <c r="I1537" s="4" t="n">
        <v>1</v>
      </c>
      <c r="J1537" s="4" t="n">
        <v>87500</v>
      </c>
      <c r="K1537" s="4">
        <f>I1537*J1537</f>
        <v/>
      </c>
      <c r="L1537" t="inlineStr">
        <is>
          <t>新規開拓</t>
        </is>
      </c>
    </row>
    <row r="1538">
      <c r="A1538" t="inlineStr">
        <is>
          <t>SR064</t>
        </is>
      </c>
      <c r="B1538" t="inlineStr">
        <is>
          <t>営業担当064</t>
        </is>
      </c>
      <c r="C1538" t="inlineStr">
        <is>
          <t>パートナー営業部</t>
        </is>
      </c>
      <c r="D1538" s="3" t="n">
        <v>46080</v>
      </c>
      <c r="E1538" t="inlineStr">
        <is>
          <t>ネクストソリューション有限会社</t>
        </is>
      </c>
      <c r="F1538" t="inlineStr">
        <is>
          <t>宮城県</t>
        </is>
      </c>
      <c r="G1538" t="inlineStr">
        <is>
          <t>ハードウェア</t>
        </is>
      </c>
      <c r="H1538" t="inlineStr">
        <is>
          <t>産業用タブレット</t>
        </is>
      </c>
      <c r="I1538" s="4" t="n">
        <v>3</v>
      </c>
      <c r="J1538" s="4" t="n">
        <v>95400</v>
      </c>
      <c r="K1538" s="4">
        <f>I1538*J1538</f>
        <v/>
      </c>
      <c r="L1538" t="inlineStr">
        <is>
          <t>値引き調整あり</t>
        </is>
      </c>
    </row>
    <row r="1539">
      <c r="A1539" t="inlineStr">
        <is>
          <t>SR064</t>
        </is>
      </c>
      <c r="B1539" t="inlineStr">
        <is>
          <t>営業担当064</t>
        </is>
      </c>
      <c r="C1539" t="inlineStr">
        <is>
          <t>パートナー営業部</t>
        </is>
      </c>
      <c r="D1539" s="3" t="n">
        <v>46088</v>
      </c>
      <c r="E1539" t="inlineStr">
        <is>
          <t>アーク電機株式会社</t>
        </is>
      </c>
      <c r="F1539" t="inlineStr">
        <is>
          <t>京都府</t>
        </is>
      </c>
      <c r="G1539" t="inlineStr">
        <is>
          <t>保守サービス</t>
        </is>
      </c>
      <c r="H1539" t="inlineStr">
        <is>
          <t>オンサイト保守</t>
        </is>
      </c>
      <c r="I1539" s="4" t="n">
        <v>3</v>
      </c>
      <c r="J1539" s="4" t="n">
        <v>124200</v>
      </c>
      <c r="K1539" s="4">
        <f>I1539*J1539</f>
        <v/>
      </c>
      <c r="L1539" t="inlineStr">
        <is>
          <t>キャンペーン適用</t>
        </is>
      </c>
    </row>
    <row r="1540">
      <c r="A1540" t="inlineStr">
        <is>
          <t>SR064</t>
        </is>
      </c>
      <c r="B1540" t="inlineStr">
        <is>
          <t>営業担当064</t>
        </is>
      </c>
      <c r="C1540" t="inlineStr">
        <is>
          <t>パートナー営業部</t>
        </is>
      </c>
      <c r="D1540" s="3" t="n">
        <v>46107</v>
      </c>
      <c r="E1540" t="inlineStr">
        <is>
          <t>みらい物流有限会社</t>
        </is>
      </c>
      <c r="F1540" t="inlineStr">
        <is>
          <t>愛知県</t>
        </is>
      </c>
      <c r="G1540" t="inlineStr">
        <is>
          <t>ソフトウェア</t>
        </is>
      </c>
      <c r="H1540" t="inlineStr">
        <is>
          <t>帳票自動化ツール</t>
        </is>
      </c>
      <c r="I1540" s="4" t="n">
        <v>2</v>
      </c>
      <c r="J1540" s="4" t="n">
        <v>357600</v>
      </c>
      <c r="K1540" s="4">
        <f>I1540*J1540</f>
        <v/>
      </c>
      <c r="L1540" t="inlineStr">
        <is>
          <t>新規開拓</t>
        </is>
      </c>
    </row>
    <row r="1541">
      <c r="A1541" t="inlineStr">
        <is>
          <t>SR065</t>
        </is>
      </c>
      <c r="B1541" t="inlineStr">
        <is>
          <t>営業担当065</t>
        </is>
      </c>
      <c r="C1541" t="inlineStr">
        <is>
          <t>インサイドセールス部</t>
        </is>
      </c>
      <c r="D1541" s="3" t="n">
        <v>45750</v>
      </c>
      <c r="E1541" t="inlineStr">
        <is>
          <t>桜井メディカル(株)</t>
        </is>
      </c>
      <c r="F1541" t="inlineStr">
        <is>
          <t>京都府</t>
        </is>
      </c>
      <c r="G1541" t="inlineStr">
        <is>
          <t>保守サービス</t>
        </is>
      </c>
      <c r="H1541" t="inlineStr">
        <is>
          <t>オンサイト保守</t>
        </is>
      </c>
      <c r="I1541" s="4" t="n">
        <v>3</v>
      </c>
      <c r="J1541" s="4" t="n">
        <v>149200</v>
      </c>
      <c r="K1541" s="4">
        <f>I1541*J1541</f>
        <v/>
      </c>
      <c r="L1541" t="inlineStr">
        <is>
          <t>値引き調整あり</t>
        </is>
      </c>
    </row>
    <row r="1542">
      <c r="A1542" t="inlineStr">
        <is>
          <t>SR065</t>
        </is>
      </c>
      <c r="B1542" t="inlineStr">
        <is>
          <t>営業担当065</t>
        </is>
      </c>
      <c r="C1542" t="inlineStr">
        <is>
          <t>インサイドセールス部</t>
        </is>
      </c>
      <c r="D1542" s="3" t="n">
        <v>45773</v>
      </c>
      <c r="E1542" t="inlineStr">
        <is>
          <t>白峰化学(株)</t>
        </is>
      </c>
      <c r="F1542" t="inlineStr">
        <is>
          <t>宮城県</t>
        </is>
      </c>
      <c r="G1542" t="inlineStr">
        <is>
          <t>保守サービス</t>
        </is>
      </c>
      <c r="H1542" t="inlineStr">
        <is>
          <t>年間保守契約</t>
        </is>
      </c>
      <c r="I1542" s="4" t="n">
        <v>3</v>
      </c>
      <c r="J1542" s="4" t="n">
        <v>258800</v>
      </c>
      <c r="K1542" s="4">
        <f>I1542*J1542</f>
        <v/>
      </c>
      <c r="L1542" t="inlineStr">
        <is>
          <t>大型案件</t>
        </is>
      </c>
    </row>
    <row r="1543">
      <c r="A1543" t="inlineStr">
        <is>
          <t>SR065</t>
        </is>
      </c>
      <c r="B1543" t="inlineStr">
        <is>
          <t>営業担当065</t>
        </is>
      </c>
      <c r="C1543" t="inlineStr">
        <is>
          <t>インサイドセールス部</t>
        </is>
      </c>
      <c r="D1543" s="3" t="n">
        <v>45785</v>
      </c>
      <c r="E1543" t="inlineStr">
        <is>
          <t>日新サービス株式会社</t>
        </is>
      </c>
      <c r="F1543" t="inlineStr">
        <is>
          <t>広島県</t>
        </is>
      </c>
      <c r="G1543" t="inlineStr">
        <is>
          <t>導入支援</t>
        </is>
      </c>
      <c r="H1543" t="inlineStr">
        <is>
          <t>データ移行支援</t>
        </is>
      </c>
      <c r="I1543" s="4" t="n">
        <v>5</v>
      </c>
      <c r="J1543" s="4" t="n">
        <v>124300</v>
      </c>
      <c r="K1543" s="4">
        <f>I1543*J1543</f>
        <v/>
      </c>
      <c r="L1543" t="inlineStr">
        <is>
          <t>分納</t>
        </is>
      </c>
    </row>
    <row r="1544">
      <c r="A1544" t="inlineStr">
        <is>
          <t>SR065</t>
        </is>
      </c>
      <c r="B1544" t="inlineStr">
        <is>
          <t>営業担当065</t>
        </is>
      </c>
      <c r="C1544" t="inlineStr">
        <is>
          <t>インサイドセールス部</t>
        </is>
      </c>
      <c r="D1544" s="3" t="n">
        <v>45788</v>
      </c>
      <c r="E1544" t="inlineStr">
        <is>
          <t>北斗産業(株)</t>
        </is>
      </c>
      <c r="F1544" t="inlineStr">
        <is>
          <t>広島県</t>
        </is>
      </c>
      <c r="G1544" t="inlineStr">
        <is>
          <t>導入支援</t>
        </is>
      </c>
      <c r="H1544" t="inlineStr">
        <is>
          <t>初期設定支援</t>
        </is>
      </c>
      <c r="I1544" s="4" t="n">
        <v>5</v>
      </c>
      <c r="J1544" s="4" t="n">
        <v>84100</v>
      </c>
      <c r="K1544" s="4">
        <f>I1544*J1544</f>
        <v/>
      </c>
      <c r="L1544" t="inlineStr">
        <is>
          <t>値引き調整あり</t>
        </is>
      </c>
    </row>
    <row r="1545">
      <c r="A1545" t="inlineStr">
        <is>
          <t>SR065</t>
        </is>
      </c>
      <c r="B1545" t="inlineStr">
        <is>
          <t>営業担当065</t>
        </is>
      </c>
      <c r="C1545" t="inlineStr">
        <is>
          <t>インサイドセールス部</t>
        </is>
      </c>
      <c r="D1545" s="3" t="n">
        <v>45815</v>
      </c>
      <c r="E1545" t="inlineStr">
        <is>
          <t>中央設備有限会社</t>
        </is>
      </c>
      <c r="F1545" t="inlineStr">
        <is>
          <t>兵庫県</t>
        </is>
      </c>
      <c r="G1545" t="inlineStr">
        <is>
          <t>保守サービス</t>
        </is>
      </c>
      <c r="H1545" t="inlineStr">
        <is>
          <t>年間保守契約</t>
        </is>
      </c>
      <c r="I1545" s="4" t="n">
        <v>5</v>
      </c>
      <c r="J1545" s="4" t="n">
        <v>281000</v>
      </c>
      <c r="K1545" s="4">
        <f>I1545*J1545</f>
        <v/>
      </c>
      <c r="L1545" t="inlineStr"/>
    </row>
    <row r="1546">
      <c r="A1546" t="inlineStr">
        <is>
          <t>SR065</t>
        </is>
      </c>
      <c r="B1546" t="inlineStr">
        <is>
          <t>営業担当065</t>
        </is>
      </c>
      <c r="C1546" t="inlineStr">
        <is>
          <t>インサイドセールス部</t>
        </is>
      </c>
      <c r="D1546" s="3" t="n">
        <v>45816</v>
      </c>
      <c r="E1546" t="inlineStr">
        <is>
          <t>星和商会株式会社</t>
        </is>
      </c>
      <c r="F1546" t="inlineStr">
        <is>
          <t>宮城県</t>
        </is>
      </c>
      <c r="G1546" t="inlineStr">
        <is>
          <t>ハードウェア</t>
        </is>
      </c>
      <c r="H1546" t="inlineStr">
        <is>
          <t>ネットワークカメラ</t>
        </is>
      </c>
      <c r="I1546" s="4" t="n">
        <v>3</v>
      </c>
      <c r="J1546" s="4" t="n">
        <v>72800</v>
      </c>
      <c r="K1546" s="4">
        <f>I1546*J1546</f>
        <v/>
      </c>
      <c r="L1546" t="inlineStr"/>
    </row>
    <row r="1547">
      <c r="A1547" t="inlineStr">
        <is>
          <t>SR065</t>
        </is>
      </c>
      <c r="B1547" t="inlineStr">
        <is>
          <t>営業担当065</t>
        </is>
      </c>
      <c r="C1547" t="inlineStr">
        <is>
          <t>インサイドセールス部</t>
        </is>
      </c>
      <c r="D1547" s="3" t="n">
        <v>45859</v>
      </c>
      <c r="E1547" t="inlineStr">
        <is>
          <t>サンライズ建設(株)</t>
        </is>
      </c>
      <c r="F1547" t="inlineStr">
        <is>
          <t>福岡県</t>
        </is>
      </c>
      <c r="G1547" t="inlineStr">
        <is>
          <t>ソフトウェア</t>
        </is>
      </c>
      <c r="H1547" t="inlineStr">
        <is>
          <t>在庫管理クラウド</t>
        </is>
      </c>
      <c r="I1547" s="4" t="n">
        <v>5</v>
      </c>
      <c r="J1547" s="4" t="n">
        <v>249300</v>
      </c>
      <c r="K1547" s="4">
        <f>I1547*J1547</f>
        <v/>
      </c>
      <c r="L1547" t="inlineStr">
        <is>
          <t>大型案件</t>
        </is>
      </c>
    </row>
    <row r="1548">
      <c r="A1548" t="inlineStr">
        <is>
          <t>SR065</t>
        </is>
      </c>
      <c r="B1548" t="inlineStr">
        <is>
          <t>営業担当065</t>
        </is>
      </c>
      <c r="C1548" t="inlineStr">
        <is>
          <t>インサイドセールス部</t>
        </is>
      </c>
      <c r="D1548" s="3" t="n">
        <v>45862</v>
      </c>
      <c r="E1548" t="inlineStr">
        <is>
          <t>青葉商事(株)</t>
        </is>
      </c>
      <c r="F1548" t="inlineStr">
        <is>
          <t>大阪府</t>
        </is>
      </c>
      <c r="G1548" t="inlineStr">
        <is>
          <t>保守サービス</t>
        </is>
      </c>
      <c r="H1548" t="inlineStr">
        <is>
          <t>オンサイト保守</t>
        </is>
      </c>
      <c r="I1548" s="4" t="n">
        <v>5</v>
      </c>
      <c r="J1548" s="4" t="n">
        <v>52900</v>
      </c>
      <c r="K1548" s="4">
        <f>I1548*J1548</f>
        <v/>
      </c>
      <c r="L1548" t="inlineStr"/>
    </row>
    <row r="1549">
      <c r="A1549" t="inlineStr">
        <is>
          <t>SR065</t>
        </is>
      </c>
      <c r="B1549" t="inlineStr">
        <is>
          <t>営業担当065</t>
        </is>
      </c>
      <c r="C1549" t="inlineStr">
        <is>
          <t>インサイドセールス部</t>
        </is>
      </c>
      <c r="D1549" s="3" t="n">
        <v>45886</v>
      </c>
      <c r="E1549" t="inlineStr">
        <is>
          <t>東洋フーズ(株)</t>
        </is>
      </c>
      <c r="F1549" t="inlineStr">
        <is>
          <t>京都府</t>
        </is>
      </c>
      <c r="G1549" t="inlineStr">
        <is>
          <t>ハードウェア</t>
        </is>
      </c>
      <c r="H1549" t="inlineStr">
        <is>
          <t>小型ハンディ端末</t>
        </is>
      </c>
      <c r="I1549" s="4" t="n">
        <v>5</v>
      </c>
      <c r="J1549" s="4" t="n">
        <v>85500</v>
      </c>
      <c r="K1549" s="4">
        <f>I1549*J1549</f>
        <v/>
      </c>
      <c r="L1549" t="inlineStr">
        <is>
          <t>大型案件</t>
        </is>
      </c>
    </row>
    <row r="1550">
      <c r="A1550" t="inlineStr">
        <is>
          <t>SR065</t>
        </is>
      </c>
      <c r="B1550" t="inlineStr">
        <is>
          <t>営業担当065</t>
        </is>
      </c>
      <c r="C1550" t="inlineStr">
        <is>
          <t>インサイドセールス部</t>
        </is>
      </c>
      <c r="D1550" s="3" t="n">
        <v>45897</v>
      </c>
      <c r="E1550" t="inlineStr">
        <is>
          <t>ネクストソリューション有限会社</t>
        </is>
      </c>
      <c r="F1550" t="inlineStr">
        <is>
          <t>愛知県</t>
        </is>
      </c>
      <c r="G1550" t="inlineStr">
        <is>
          <t>ソフトウェア</t>
        </is>
      </c>
      <c r="H1550" t="inlineStr">
        <is>
          <t>営業支援SaaS</t>
        </is>
      </c>
      <c r="I1550" s="4" t="n">
        <v>4</v>
      </c>
      <c r="J1550" s="4" t="n">
        <v>313900</v>
      </c>
      <c r="K1550" s="4">
        <f>I1550*J1550</f>
        <v/>
      </c>
      <c r="L1550" t="inlineStr">
        <is>
          <t>値引き調整あり</t>
        </is>
      </c>
    </row>
    <row r="1551">
      <c r="A1551" t="inlineStr">
        <is>
          <t>SR065</t>
        </is>
      </c>
      <c r="B1551" t="inlineStr">
        <is>
          <t>営業担当065</t>
        </is>
      </c>
      <c r="C1551" t="inlineStr">
        <is>
          <t>インサイドセールス部</t>
        </is>
      </c>
      <c r="D1551" s="3" t="n">
        <v>45910</v>
      </c>
      <c r="E1551" t="inlineStr">
        <is>
          <t>西日本機工(株)</t>
        </is>
      </c>
      <c r="F1551" t="inlineStr">
        <is>
          <t>北海道</t>
        </is>
      </c>
      <c r="G1551" t="inlineStr">
        <is>
          <t>導入支援</t>
        </is>
      </c>
      <c r="H1551" t="inlineStr">
        <is>
          <t>初期設定支援</t>
        </is>
      </c>
      <c r="I1551" s="4" t="n">
        <v>5</v>
      </c>
      <c r="J1551" s="4" t="n">
        <v>200100</v>
      </c>
      <c r="K1551" s="4">
        <f>I1551*J1551</f>
        <v/>
      </c>
      <c r="L1551" t="inlineStr">
        <is>
          <t>大型案件</t>
        </is>
      </c>
    </row>
    <row r="1552">
      <c r="A1552" t="inlineStr">
        <is>
          <t>SR065</t>
        </is>
      </c>
      <c r="B1552" t="inlineStr">
        <is>
          <t>営業担当065</t>
        </is>
      </c>
      <c r="C1552" t="inlineStr">
        <is>
          <t>インサイドセールス部</t>
        </is>
      </c>
      <c r="D1552" s="3" t="n">
        <v>45924</v>
      </c>
      <c r="E1552" t="inlineStr">
        <is>
          <t>星和商会株式会社</t>
        </is>
      </c>
      <c r="F1552" t="inlineStr">
        <is>
          <t>東京都</t>
        </is>
      </c>
      <c r="G1552" t="inlineStr">
        <is>
          <t>導入支援</t>
        </is>
      </c>
      <c r="H1552" t="inlineStr">
        <is>
          <t>データ移行支援</t>
        </is>
      </c>
      <c r="I1552" s="4" t="n">
        <v>4</v>
      </c>
      <c r="J1552" s="4" t="n">
        <v>207500</v>
      </c>
      <c r="K1552" s="4">
        <f>I1552*J1552</f>
        <v/>
      </c>
      <c r="L1552" t="inlineStr">
        <is>
          <t>新規開拓</t>
        </is>
      </c>
    </row>
    <row r="1553">
      <c r="A1553" t="inlineStr">
        <is>
          <t>SR065</t>
        </is>
      </c>
      <c r="B1553" t="inlineStr">
        <is>
          <t>営業担当065</t>
        </is>
      </c>
      <c r="C1553" t="inlineStr">
        <is>
          <t>インサイドセールス部</t>
        </is>
      </c>
      <c r="D1553" s="3" t="n">
        <v>45931</v>
      </c>
      <c r="E1553" t="inlineStr">
        <is>
          <t>北斗産業株式会社</t>
        </is>
      </c>
      <c r="F1553" t="inlineStr">
        <is>
          <t>京都府</t>
        </is>
      </c>
      <c r="G1553" t="inlineStr">
        <is>
          <t>ソフトウェア</t>
        </is>
      </c>
      <c r="H1553" t="inlineStr">
        <is>
          <t>AIチャットボット</t>
        </is>
      </c>
      <c r="I1553" s="4" t="n">
        <v>4</v>
      </c>
      <c r="J1553" s="4" t="n">
        <v>284600</v>
      </c>
      <c r="K1553" s="4">
        <f>I1553*J1553</f>
        <v/>
      </c>
      <c r="L1553" t="inlineStr"/>
    </row>
    <row r="1554">
      <c r="A1554" t="inlineStr">
        <is>
          <t>SR065</t>
        </is>
      </c>
      <c r="B1554" t="inlineStr">
        <is>
          <t>営業担当065</t>
        </is>
      </c>
      <c r="C1554" t="inlineStr">
        <is>
          <t>インサイドセールス部</t>
        </is>
      </c>
      <c r="D1554" s="3" t="n">
        <v>45957</v>
      </c>
      <c r="E1554" t="inlineStr">
        <is>
          <t>グリーンテック株式会社</t>
        </is>
      </c>
      <c r="F1554" t="inlineStr">
        <is>
          <t>北海道</t>
        </is>
      </c>
      <c r="G1554" t="inlineStr">
        <is>
          <t>消耗品</t>
        </is>
      </c>
      <c r="H1554" t="inlineStr">
        <is>
          <t>交換用ヘッド</t>
        </is>
      </c>
      <c r="I1554" s="4" t="n">
        <v>7</v>
      </c>
      <c r="J1554" s="4" t="n">
        <v>12220</v>
      </c>
      <c r="K1554" s="4">
        <f>I1554*J1554</f>
        <v/>
      </c>
      <c r="L1554" t="inlineStr">
        <is>
          <t>リピート受注</t>
        </is>
      </c>
    </row>
    <row r="1555">
      <c r="A1555" t="inlineStr">
        <is>
          <t>SR065</t>
        </is>
      </c>
      <c r="B1555" t="inlineStr">
        <is>
          <t>営業担当065</t>
        </is>
      </c>
      <c r="C1555" t="inlineStr">
        <is>
          <t>インサイドセールス部</t>
        </is>
      </c>
      <c r="D1555" s="3" t="n">
        <v>45971</v>
      </c>
      <c r="E1555" t="inlineStr">
        <is>
          <t>サンライズ建設株式会社</t>
        </is>
      </c>
      <c r="F1555" t="inlineStr">
        <is>
          <t>愛知県</t>
        </is>
      </c>
      <c r="G1555" t="inlineStr">
        <is>
          <t>ハードウェア</t>
        </is>
      </c>
      <c r="H1555" t="inlineStr">
        <is>
          <t>産業用タブレット</t>
        </is>
      </c>
      <c r="I1555" s="4" t="n">
        <v>3</v>
      </c>
      <c r="J1555" s="4" t="n">
        <v>80600</v>
      </c>
      <c r="K1555" s="4">
        <f>I1555*J1555</f>
        <v/>
      </c>
      <c r="L1555" t="inlineStr">
        <is>
          <t>キャンペーン適用</t>
        </is>
      </c>
    </row>
    <row r="1556">
      <c r="A1556" t="inlineStr">
        <is>
          <t>SR065</t>
        </is>
      </c>
      <c r="B1556" t="inlineStr">
        <is>
          <t>営業担当065</t>
        </is>
      </c>
      <c r="C1556" t="inlineStr">
        <is>
          <t>インサイドセールス部</t>
        </is>
      </c>
      <c r="D1556" s="3" t="n">
        <v>45984</v>
      </c>
      <c r="E1556" t="inlineStr">
        <is>
          <t>東洋フーズ有限会社</t>
        </is>
      </c>
      <c r="F1556" t="inlineStr">
        <is>
          <t>広島県</t>
        </is>
      </c>
      <c r="G1556" t="inlineStr">
        <is>
          <t>消耗品</t>
        </is>
      </c>
      <c r="H1556" t="inlineStr">
        <is>
          <t>保守用バッテリー</t>
        </is>
      </c>
      <c r="I1556" s="4" t="n">
        <v>6</v>
      </c>
      <c r="J1556" s="4" t="n">
        <v>10620</v>
      </c>
      <c r="K1556" s="4">
        <f>I1556*J1556</f>
        <v/>
      </c>
      <c r="L1556" t="inlineStr">
        <is>
          <t>新規開拓</t>
        </is>
      </c>
    </row>
    <row r="1557">
      <c r="A1557" t="inlineStr">
        <is>
          <t>SR065</t>
        </is>
      </c>
      <c r="B1557" t="inlineStr">
        <is>
          <t>営業担当065</t>
        </is>
      </c>
      <c r="C1557" t="inlineStr">
        <is>
          <t>インサイドセールス部</t>
        </is>
      </c>
      <c r="D1557" s="3" t="n">
        <v>46006</v>
      </c>
      <c r="E1557" t="inlineStr">
        <is>
          <t>ネクストソリューション有限会社</t>
        </is>
      </c>
      <c r="F1557" t="inlineStr">
        <is>
          <t>京都府</t>
        </is>
      </c>
      <c r="G1557" t="inlineStr">
        <is>
          <t>ソフトウェア</t>
        </is>
      </c>
      <c r="H1557" t="inlineStr">
        <is>
          <t>在庫管理クラウド</t>
        </is>
      </c>
      <c r="I1557" s="4" t="n">
        <v>4</v>
      </c>
      <c r="J1557" s="4" t="n">
        <v>466400</v>
      </c>
      <c r="K1557" s="4">
        <f>I1557*J1557</f>
        <v/>
      </c>
      <c r="L1557" t="inlineStr"/>
    </row>
    <row r="1558">
      <c r="A1558" t="inlineStr">
        <is>
          <t>SR065</t>
        </is>
      </c>
      <c r="B1558" t="inlineStr">
        <is>
          <t>営業担当065</t>
        </is>
      </c>
      <c r="C1558" t="inlineStr">
        <is>
          <t>インサイドセールス部</t>
        </is>
      </c>
      <c r="D1558" s="3" t="n">
        <v>46012</v>
      </c>
      <c r="E1558" t="inlineStr">
        <is>
          <t>日新サービス株式会社</t>
        </is>
      </c>
      <c r="F1558" t="inlineStr">
        <is>
          <t>神奈川県</t>
        </is>
      </c>
      <c r="G1558" t="inlineStr">
        <is>
          <t>ソフトウェア</t>
        </is>
      </c>
      <c r="H1558" t="inlineStr">
        <is>
          <t>在庫管理クラウド</t>
        </is>
      </c>
      <c r="I1558" s="4" t="n">
        <v>1</v>
      </c>
      <c r="J1558" s="4" t="n">
        <v>386600</v>
      </c>
      <c r="K1558" s="4">
        <f>I1558*J1558</f>
        <v/>
      </c>
      <c r="L1558" t="inlineStr">
        <is>
          <t>キャンペーン適用</t>
        </is>
      </c>
    </row>
    <row r="1559">
      <c r="A1559" t="inlineStr">
        <is>
          <t>SR065</t>
        </is>
      </c>
      <c r="B1559" t="inlineStr">
        <is>
          <t>営業担当065</t>
        </is>
      </c>
      <c r="C1559" t="inlineStr">
        <is>
          <t>インサイドセールス部</t>
        </is>
      </c>
      <c r="D1559" s="3" t="n">
        <v>46023</v>
      </c>
      <c r="E1559" t="inlineStr">
        <is>
          <t>青葉商事有限会社</t>
        </is>
      </c>
      <c r="F1559" t="inlineStr">
        <is>
          <t>京都府</t>
        </is>
      </c>
      <c r="G1559" t="inlineStr">
        <is>
          <t>消耗品</t>
        </is>
      </c>
      <c r="H1559" t="inlineStr">
        <is>
          <t>ラベルロール</t>
        </is>
      </c>
      <c r="I1559" s="4" t="n">
        <v>2</v>
      </c>
      <c r="J1559" s="4" t="n">
        <v>10210</v>
      </c>
      <c r="K1559" s="4">
        <f>I1559*J1559</f>
        <v/>
      </c>
      <c r="L1559" t="inlineStr">
        <is>
          <t>大型案件</t>
        </is>
      </c>
    </row>
    <row r="1560">
      <c r="A1560" t="inlineStr">
        <is>
          <t>SR065</t>
        </is>
      </c>
      <c r="B1560" t="inlineStr">
        <is>
          <t>営業担当065</t>
        </is>
      </c>
      <c r="C1560" t="inlineStr">
        <is>
          <t>インサイドセールス部</t>
        </is>
      </c>
      <c r="D1560" s="3" t="n">
        <v>46035</v>
      </c>
      <c r="E1560" t="inlineStr">
        <is>
          <t>グリーンテック株式会社</t>
        </is>
      </c>
      <c r="F1560" t="inlineStr">
        <is>
          <t>福岡県</t>
        </is>
      </c>
      <c r="G1560" t="inlineStr">
        <is>
          <t>消耗品</t>
        </is>
      </c>
      <c r="H1560" t="inlineStr">
        <is>
          <t>交換用ヘッド</t>
        </is>
      </c>
      <c r="I1560" s="4" t="n">
        <v>2</v>
      </c>
      <c r="J1560" s="4" t="n">
        <v>18800</v>
      </c>
      <c r="K1560" s="4">
        <f>I1560*J1560</f>
        <v/>
      </c>
      <c r="L1560" t="inlineStr">
        <is>
          <t>大型案件</t>
        </is>
      </c>
    </row>
    <row r="1561">
      <c r="A1561" t="inlineStr">
        <is>
          <t>SR065</t>
        </is>
      </c>
      <c r="B1561" t="inlineStr">
        <is>
          <t>営業担当065</t>
        </is>
      </c>
      <c r="C1561" t="inlineStr">
        <is>
          <t>インサイドセールス部</t>
        </is>
      </c>
      <c r="D1561" s="3" t="n">
        <v>46068</v>
      </c>
      <c r="E1561" t="inlineStr">
        <is>
          <t>中央設備株式会社</t>
        </is>
      </c>
      <c r="F1561" t="inlineStr">
        <is>
          <t>宮城県</t>
        </is>
      </c>
      <c r="G1561" t="inlineStr">
        <is>
          <t>導入支援</t>
        </is>
      </c>
      <c r="H1561" t="inlineStr">
        <is>
          <t>初期設定支援</t>
        </is>
      </c>
      <c r="I1561" s="4" t="n">
        <v>5</v>
      </c>
      <c r="J1561" s="4" t="n">
        <v>149700</v>
      </c>
      <c r="K1561" s="4">
        <f>I1561*J1561</f>
        <v/>
      </c>
      <c r="L1561" t="inlineStr"/>
    </row>
    <row r="1562">
      <c r="A1562" t="inlineStr">
        <is>
          <t>SR065</t>
        </is>
      </c>
      <c r="B1562" t="inlineStr">
        <is>
          <t>営業担当065</t>
        </is>
      </c>
      <c r="C1562" t="inlineStr">
        <is>
          <t>インサイドセールス部</t>
        </is>
      </c>
      <c r="D1562" s="3" t="n">
        <v>46080</v>
      </c>
      <c r="E1562" t="inlineStr">
        <is>
          <t>ライトホーム(株)</t>
        </is>
      </c>
      <c r="F1562" t="inlineStr">
        <is>
          <t>北海道</t>
        </is>
      </c>
      <c r="G1562" t="inlineStr">
        <is>
          <t>導入支援</t>
        </is>
      </c>
      <c r="H1562" t="inlineStr">
        <is>
          <t>操作研修パック</t>
        </is>
      </c>
      <c r="I1562" s="4" t="n">
        <v>1</v>
      </c>
      <c r="J1562" s="4" t="n">
        <v>91800</v>
      </c>
      <c r="K1562" s="4">
        <f>I1562*J1562</f>
        <v/>
      </c>
      <c r="L1562" t="inlineStr">
        <is>
          <t>リピート受注</t>
        </is>
      </c>
    </row>
    <row r="1563">
      <c r="A1563" t="inlineStr">
        <is>
          <t>SR065</t>
        </is>
      </c>
      <c r="B1563" t="inlineStr">
        <is>
          <t>営業担当065</t>
        </is>
      </c>
      <c r="C1563" t="inlineStr">
        <is>
          <t>インサイドセールス部</t>
        </is>
      </c>
      <c r="D1563" s="3" t="n">
        <v>46096</v>
      </c>
      <c r="E1563" t="inlineStr">
        <is>
          <t>東洋フーズ株式会社</t>
        </is>
      </c>
      <c r="F1563" t="inlineStr">
        <is>
          <t>神奈川県</t>
        </is>
      </c>
      <c r="G1563" t="inlineStr">
        <is>
          <t>消耗品</t>
        </is>
      </c>
      <c r="H1563" t="inlineStr">
        <is>
          <t>保守用バッテリー</t>
        </is>
      </c>
      <c r="I1563" s="4" t="n">
        <v>7</v>
      </c>
      <c r="J1563" s="4" t="n">
        <v>11760</v>
      </c>
      <c r="K1563" s="4">
        <f>I1563*J1563</f>
        <v/>
      </c>
      <c r="L1563" t="inlineStr">
        <is>
          <t>キャンペーン適用</t>
        </is>
      </c>
    </row>
    <row r="1564">
      <c r="A1564" t="inlineStr">
        <is>
          <t>SR065</t>
        </is>
      </c>
      <c r="B1564" t="inlineStr">
        <is>
          <t>営業担当065</t>
        </is>
      </c>
      <c r="C1564" t="inlineStr">
        <is>
          <t>インサイドセールス部</t>
        </is>
      </c>
      <c r="D1564" s="3" t="n">
        <v>46105</v>
      </c>
      <c r="E1564" t="inlineStr">
        <is>
          <t>九州エナジー(株)</t>
        </is>
      </c>
      <c r="F1564" t="inlineStr">
        <is>
          <t>宮城県</t>
        </is>
      </c>
      <c r="G1564" t="inlineStr">
        <is>
          <t>ソフトウェア</t>
        </is>
      </c>
      <c r="H1564" t="inlineStr">
        <is>
          <t>帳票自動化ツール</t>
        </is>
      </c>
      <c r="I1564" s="4" t="n">
        <v>1</v>
      </c>
      <c r="J1564" s="4" t="n">
        <v>328300</v>
      </c>
      <c r="K1564" s="4">
        <f>I1564*J1564</f>
        <v/>
      </c>
      <c r="L1564" t="inlineStr">
        <is>
          <t>リピート受注</t>
        </is>
      </c>
    </row>
    <row r="1565">
      <c r="A1565" t="inlineStr">
        <is>
          <t>SR066</t>
        </is>
      </c>
      <c r="B1565" t="inlineStr">
        <is>
          <t>営業担当066</t>
        </is>
      </c>
      <c r="C1565" t="inlineStr">
        <is>
          <t>第1営業部</t>
        </is>
      </c>
      <c r="D1565" s="3" t="n">
        <v>45771</v>
      </c>
      <c r="E1565" t="inlineStr">
        <is>
          <t>未来通信有限会社</t>
        </is>
      </c>
      <c r="F1565" t="inlineStr">
        <is>
          <t>北海道</t>
        </is>
      </c>
      <c r="G1565" t="inlineStr">
        <is>
          <t>消耗品</t>
        </is>
      </c>
      <c r="H1565" t="inlineStr">
        <is>
          <t>保守用バッテリー</t>
        </is>
      </c>
      <c r="I1565" s="4" t="n">
        <v>10</v>
      </c>
      <c r="J1565" s="4" t="n">
        <v>9190</v>
      </c>
      <c r="K1565" s="4">
        <f>I1565*J1565</f>
        <v/>
      </c>
      <c r="L1565" t="inlineStr"/>
    </row>
    <row r="1566">
      <c r="A1566" t="inlineStr">
        <is>
          <t>SR066</t>
        </is>
      </c>
      <c r="B1566" t="inlineStr">
        <is>
          <t>営業担当066</t>
        </is>
      </c>
      <c r="C1566" t="inlineStr">
        <is>
          <t>第1営業部</t>
        </is>
      </c>
      <c r="D1566" s="3" t="n">
        <v>45772</v>
      </c>
      <c r="E1566" t="inlineStr">
        <is>
          <t>日新サービス有限会社</t>
        </is>
      </c>
      <c r="F1566" t="inlineStr">
        <is>
          <t>広島県</t>
        </is>
      </c>
      <c r="G1566" t="inlineStr">
        <is>
          <t>保守サービス</t>
        </is>
      </c>
      <c r="H1566" t="inlineStr">
        <is>
          <t>オンサイト保守</t>
        </is>
      </c>
      <c r="I1566" s="4" t="n">
        <v>5</v>
      </c>
      <c r="J1566" s="4" t="n">
        <v>104900</v>
      </c>
      <c r="K1566" s="4">
        <f>I1566*J1566</f>
        <v/>
      </c>
      <c r="L1566" t="inlineStr">
        <is>
          <t>値引き調整あり</t>
        </is>
      </c>
    </row>
    <row r="1567">
      <c r="A1567" t="inlineStr">
        <is>
          <t>SR066</t>
        </is>
      </c>
      <c r="B1567" t="inlineStr">
        <is>
          <t>営業担当066</t>
        </is>
      </c>
      <c r="C1567" t="inlineStr">
        <is>
          <t>第1営業部</t>
        </is>
      </c>
      <c r="D1567" s="3" t="n">
        <v>45780</v>
      </c>
      <c r="E1567" t="inlineStr">
        <is>
          <t>ライトホーム株式会社</t>
        </is>
      </c>
      <c r="F1567" t="inlineStr">
        <is>
          <t>福岡県</t>
        </is>
      </c>
      <c r="G1567" t="inlineStr">
        <is>
          <t>保守サービス</t>
        </is>
      </c>
      <c r="H1567" t="inlineStr">
        <is>
          <t>ヘルプデスク契約</t>
        </is>
      </c>
      <c r="I1567" s="4" t="n">
        <v>2</v>
      </c>
      <c r="J1567" s="4" t="n">
        <v>80700</v>
      </c>
      <c r="K1567" s="4">
        <f>I1567*J1567</f>
        <v/>
      </c>
      <c r="L1567" t="inlineStr">
        <is>
          <t>値引き調整あり</t>
        </is>
      </c>
    </row>
    <row r="1568">
      <c r="A1568" t="inlineStr">
        <is>
          <t>SR066</t>
        </is>
      </c>
      <c r="B1568" t="inlineStr">
        <is>
          <t>営業担当066</t>
        </is>
      </c>
      <c r="C1568" t="inlineStr">
        <is>
          <t>第1営業部</t>
        </is>
      </c>
      <c r="D1568" s="3" t="n">
        <v>45787</v>
      </c>
      <c r="E1568" t="inlineStr">
        <is>
          <t>大和精機有限会社</t>
        </is>
      </c>
      <c r="F1568" t="inlineStr">
        <is>
          <t>愛知県</t>
        </is>
      </c>
      <c r="G1568" t="inlineStr">
        <is>
          <t>消耗品</t>
        </is>
      </c>
      <c r="H1568" t="inlineStr">
        <is>
          <t>交換用ヘッド</t>
        </is>
      </c>
      <c r="I1568" s="4" t="n">
        <v>6</v>
      </c>
      <c r="J1568" s="4" t="n">
        <v>33270</v>
      </c>
      <c r="K1568" s="4">
        <f>I1568*J1568</f>
        <v/>
      </c>
      <c r="L1568" t="inlineStr">
        <is>
          <t>リピート受注</t>
        </is>
      </c>
    </row>
    <row r="1569">
      <c r="A1569" t="inlineStr">
        <is>
          <t>SR066</t>
        </is>
      </c>
      <c r="B1569" t="inlineStr">
        <is>
          <t>営業担当066</t>
        </is>
      </c>
      <c r="C1569" t="inlineStr">
        <is>
          <t>第1営業部</t>
        </is>
      </c>
      <c r="D1569" s="3" t="n">
        <v>45823</v>
      </c>
      <c r="E1569" t="inlineStr">
        <is>
          <t>ネクストソリューション有限会社</t>
        </is>
      </c>
      <c r="F1569" t="inlineStr">
        <is>
          <t>神奈川県</t>
        </is>
      </c>
      <c r="G1569" t="inlineStr">
        <is>
          <t>ソフトウェア</t>
        </is>
      </c>
      <c r="H1569" t="inlineStr">
        <is>
          <t>AIチャットボット</t>
        </is>
      </c>
      <c r="I1569" s="4" t="n">
        <v>3</v>
      </c>
      <c r="J1569" s="4" t="n">
        <v>395800</v>
      </c>
      <c r="K1569" s="4">
        <f>I1569*J1569</f>
        <v/>
      </c>
      <c r="L1569" t="inlineStr"/>
    </row>
    <row r="1570">
      <c r="A1570" t="inlineStr">
        <is>
          <t>SR066</t>
        </is>
      </c>
      <c r="B1570" t="inlineStr">
        <is>
          <t>営業担当066</t>
        </is>
      </c>
      <c r="C1570" t="inlineStr">
        <is>
          <t>第1営業部</t>
        </is>
      </c>
      <c r="D1570" s="3" t="n">
        <v>45824</v>
      </c>
      <c r="E1570" t="inlineStr">
        <is>
          <t>白峰化学株式会社</t>
        </is>
      </c>
      <c r="F1570" t="inlineStr">
        <is>
          <t>北海道</t>
        </is>
      </c>
      <c r="G1570" t="inlineStr">
        <is>
          <t>ハードウェア</t>
        </is>
      </c>
      <c r="H1570" t="inlineStr">
        <is>
          <t>小型ハンディ端末</t>
        </is>
      </c>
      <c r="I1570" s="4" t="n">
        <v>5</v>
      </c>
      <c r="J1570" s="4" t="n">
        <v>93500</v>
      </c>
      <c r="K1570" s="4">
        <f>I1570*J1570</f>
        <v/>
      </c>
      <c r="L1570" t="inlineStr"/>
    </row>
    <row r="1571">
      <c r="A1571" t="inlineStr">
        <is>
          <t>SR066</t>
        </is>
      </c>
      <c r="B1571" t="inlineStr">
        <is>
          <t>営業担当066</t>
        </is>
      </c>
      <c r="C1571" t="inlineStr">
        <is>
          <t>第1営業部</t>
        </is>
      </c>
      <c r="D1571" s="3" t="n">
        <v>45849</v>
      </c>
      <c r="E1571" t="inlineStr">
        <is>
          <t>アーク電機株式会社</t>
        </is>
      </c>
      <c r="F1571" t="inlineStr">
        <is>
          <t>福岡県</t>
        </is>
      </c>
      <c r="G1571" t="inlineStr">
        <is>
          <t>導入支援</t>
        </is>
      </c>
      <c r="H1571" t="inlineStr">
        <is>
          <t>初期設定支援</t>
        </is>
      </c>
      <c r="I1571" s="4" t="n">
        <v>1</v>
      </c>
      <c r="J1571" s="4" t="n">
        <v>113800</v>
      </c>
      <c r="K1571" s="4">
        <f>I1571*J1571</f>
        <v/>
      </c>
      <c r="L1571" t="inlineStr">
        <is>
          <t>大型案件</t>
        </is>
      </c>
    </row>
    <row r="1572">
      <c r="A1572" t="inlineStr">
        <is>
          <t>SR066</t>
        </is>
      </c>
      <c r="B1572" t="inlineStr">
        <is>
          <t>営業担当066</t>
        </is>
      </c>
      <c r="C1572" t="inlineStr">
        <is>
          <t>第1営業部</t>
        </is>
      </c>
      <c r="D1572" s="3" t="n">
        <v>45866</v>
      </c>
      <c r="E1572" t="inlineStr">
        <is>
          <t>福岡流通(株)</t>
        </is>
      </c>
      <c r="F1572" t="inlineStr">
        <is>
          <t>北海道</t>
        </is>
      </c>
      <c r="G1572" t="inlineStr">
        <is>
          <t>導入支援</t>
        </is>
      </c>
      <c r="H1572" t="inlineStr">
        <is>
          <t>初期設定支援</t>
        </is>
      </c>
      <c r="I1572" s="4" t="n">
        <v>5</v>
      </c>
      <c r="J1572" s="4" t="n">
        <v>164600</v>
      </c>
      <c r="K1572" s="4">
        <f>I1572*J1572</f>
        <v/>
      </c>
      <c r="L1572" t="inlineStr">
        <is>
          <t>大型案件</t>
        </is>
      </c>
    </row>
    <row r="1573">
      <c r="A1573" t="inlineStr">
        <is>
          <t>SR066</t>
        </is>
      </c>
      <c r="B1573" t="inlineStr">
        <is>
          <t>営業担当066</t>
        </is>
      </c>
      <c r="C1573" t="inlineStr">
        <is>
          <t>第1営業部</t>
        </is>
      </c>
      <c r="D1573" s="3" t="n">
        <v>45876</v>
      </c>
      <c r="E1573" t="inlineStr">
        <is>
          <t>中央設備有限会社</t>
        </is>
      </c>
      <c r="F1573" t="inlineStr">
        <is>
          <t>広島県</t>
        </is>
      </c>
      <c r="G1573" t="inlineStr">
        <is>
          <t>保守サービス</t>
        </is>
      </c>
      <c r="H1573" t="inlineStr">
        <is>
          <t>年間保守契約</t>
        </is>
      </c>
      <c r="I1573" s="4" t="n">
        <v>1</v>
      </c>
      <c r="J1573" s="4" t="n">
        <v>251900</v>
      </c>
      <c r="K1573" s="4">
        <f>I1573*J1573</f>
        <v/>
      </c>
      <c r="L1573" t="inlineStr"/>
    </row>
    <row r="1574">
      <c r="A1574" t="inlineStr">
        <is>
          <t>SR066</t>
        </is>
      </c>
      <c r="B1574" t="inlineStr">
        <is>
          <t>営業担当066</t>
        </is>
      </c>
      <c r="C1574" t="inlineStr">
        <is>
          <t>第1営業部</t>
        </is>
      </c>
      <c r="D1574" s="3" t="n">
        <v>45882</v>
      </c>
      <c r="E1574" t="inlineStr">
        <is>
          <t>福岡流通株式会社</t>
        </is>
      </c>
      <c r="F1574" t="inlineStr">
        <is>
          <t>東京都</t>
        </is>
      </c>
      <c r="G1574" t="inlineStr">
        <is>
          <t>ハードウェア</t>
        </is>
      </c>
      <c r="H1574" t="inlineStr">
        <is>
          <t>ネットワークカメラ</t>
        </is>
      </c>
      <c r="I1574" s="4" t="n">
        <v>3</v>
      </c>
      <c r="J1574" s="4" t="n">
        <v>43900</v>
      </c>
      <c r="K1574" s="4">
        <f>I1574*J1574</f>
        <v/>
      </c>
      <c r="L1574" t="inlineStr"/>
    </row>
    <row r="1575">
      <c r="A1575" t="inlineStr">
        <is>
          <t>SR066</t>
        </is>
      </c>
      <c r="B1575" t="inlineStr">
        <is>
          <t>営業担当066</t>
        </is>
      </c>
      <c r="C1575" t="inlineStr">
        <is>
          <t>第1営業部</t>
        </is>
      </c>
      <c r="D1575" s="3" t="n">
        <v>45903</v>
      </c>
      <c r="E1575" t="inlineStr">
        <is>
          <t>福岡流通有限会社</t>
        </is>
      </c>
      <c r="F1575" t="inlineStr">
        <is>
          <t>京都府</t>
        </is>
      </c>
      <c r="G1575" t="inlineStr">
        <is>
          <t>ハードウェア</t>
        </is>
      </c>
      <c r="H1575" t="inlineStr">
        <is>
          <t>ラベルプリンター</t>
        </is>
      </c>
      <c r="I1575" s="4" t="n">
        <v>1</v>
      </c>
      <c r="J1575" s="4" t="n">
        <v>85500</v>
      </c>
      <c r="K1575" s="4">
        <f>I1575*J1575</f>
        <v/>
      </c>
      <c r="L1575" t="inlineStr">
        <is>
          <t>大型案件</t>
        </is>
      </c>
    </row>
    <row r="1576">
      <c r="A1576" t="inlineStr">
        <is>
          <t>SR066</t>
        </is>
      </c>
      <c r="B1576" t="inlineStr">
        <is>
          <t>営業担当066</t>
        </is>
      </c>
      <c r="C1576" t="inlineStr">
        <is>
          <t>第1営業部</t>
        </is>
      </c>
      <c r="D1576" s="3" t="n">
        <v>45919</v>
      </c>
      <c r="E1576" t="inlineStr">
        <is>
          <t>サンライズ建設(株)</t>
        </is>
      </c>
      <c r="F1576" t="inlineStr">
        <is>
          <t>大阪府</t>
        </is>
      </c>
      <c r="G1576" t="inlineStr">
        <is>
          <t>保守サービス</t>
        </is>
      </c>
      <c r="H1576" t="inlineStr">
        <is>
          <t>オンサイト保守</t>
        </is>
      </c>
      <c r="I1576" s="4" t="n">
        <v>5</v>
      </c>
      <c r="J1576" s="4" t="n">
        <v>42600</v>
      </c>
      <c r="K1576" s="4">
        <f>I1576*J1576</f>
        <v/>
      </c>
      <c r="L1576" t="inlineStr">
        <is>
          <t>リピート受注</t>
        </is>
      </c>
    </row>
    <row r="1577">
      <c r="A1577" t="inlineStr">
        <is>
          <t>SR066</t>
        </is>
      </c>
      <c r="B1577" t="inlineStr">
        <is>
          <t>営業担当066</t>
        </is>
      </c>
      <c r="C1577" t="inlineStr">
        <is>
          <t>第1営業部</t>
        </is>
      </c>
      <c r="D1577" s="3" t="n">
        <v>45932</v>
      </c>
      <c r="E1577" t="inlineStr">
        <is>
          <t>未来通信有限会社</t>
        </is>
      </c>
      <c r="F1577" t="inlineStr">
        <is>
          <t>広島県</t>
        </is>
      </c>
      <c r="G1577" t="inlineStr">
        <is>
          <t>導入支援</t>
        </is>
      </c>
      <c r="H1577" t="inlineStr">
        <is>
          <t>初期設定支援</t>
        </is>
      </c>
      <c r="I1577" s="4" t="n">
        <v>3</v>
      </c>
      <c r="J1577" s="4" t="n">
        <v>106100</v>
      </c>
      <c r="K1577" s="4">
        <f>I1577*J1577</f>
        <v/>
      </c>
      <c r="L1577" t="inlineStr"/>
    </row>
    <row r="1578">
      <c r="A1578" t="inlineStr">
        <is>
          <t>SR066</t>
        </is>
      </c>
      <c r="B1578" t="inlineStr">
        <is>
          <t>営業担当066</t>
        </is>
      </c>
      <c r="C1578" t="inlineStr">
        <is>
          <t>第1営業部</t>
        </is>
      </c>
      <c r="D1578" s="3" t="n">
        <v>45939</v>
      </c>
      <c r="E1578" t="inlineStr">
        <is>
          <t>サンライズ建設(株)</t>
        </is>
      </c>
      <c r="F1578" t="inlineStr">
        <is>
          <t>兵庫県</t>
        </is>
      </c>
      <c r="G1578" t="inlineStr">
        <is>
          <t>保守サービス</t>
        </is>
      </c>
      <c r="H1578" t="inlineStr">
        <is>
          <t>オンサイト保守</t>
        </is>
      </c>
      <c r="I1578" s="4" t="n">
        <v>5</v>
      </c>
      <c r="J1578" s="4" t="n">
        <v>122500</v>
      </c>
      <c r="K1578" s="4">
        <f>I1578*J1578</f>
        <v/>
      </c>
      <c r="L1578" t="inlineStr">
        <is>
          <t>リピート受注</t>
        </is>
      </c>
    </row>
    <row r="1579">
      <c r="A1579" t="inlineStr">
        <is>
          <t>SR066</t>
        </is>
      </c>
      <c r="B1579" t="inlineStr">
        <is>
          <t>営業担当066</t>
        </is>
      </c>
      <c r="C1579" t="inlineStr">
        <is>
          <t>第1営業部</t>
        </is>
      </c>
      <c r="D1579" s="3" t="n">
        <v>45979</v>
      </c>
      <c r="E1579" t="inlineStr">
        <is>
          <t>九州エナジー有限会社</t>
        </is>
      </c>
      <c r="F1579" t="inlineStr">
        <is>
          <t>愛知県</t>
        </is>
      </c>
      <c r="G1579" t="inlineStr">
        <is>
          <t>ソフトウェア</t>
        </is>
      </c>
      <c r="H1579" t="inlineStr">
        <is>
          <t>営業支援SaaS</t>
        </is>
      </c>
      <c r="I1579" s="4" t="n">
        <v>1</v>
      </c>
      <c r="J1579" s="4" t="n">
        <v>208600</v>
      </c>
      <c r="K1579" s="4">
        <f>I1579*J1579</f>
        <v/>
      </c>
      <c r="L1579" t="inlineStr">
        <is>
          <t>リピート受注</t>
        </is>
      </c>
    </row>
    <row r="1580">
      <c r="A1580" t="inlineStr">
        <is>
          <t>SR066</t>
        </is>
      </c>
      <c r="B1580" t="inlineStr">
        <is>
          <t>営業担当066</t>
        </is>
      </c>
      <c r="C1580" t="inlineStr">
        <is>
          <t>第1営業部</t>
        </is>
      </c>
      <c r="D1580" s="3" t="n">
        <v>45980</v>
      </c>
      <c r="E1580" t="inlineStr">
        <is>
          <t>青葉商事有限会社</t>
        </is>
      </c>
      <c r="F1580" t="inlineStr">
        <is>
          <t>広島県</t>
        </is>
      </c>
      <c r="G1580" t="inlineStr">
        <is>
          <t>消耗品</t>
        </is>
      </c>
      <c r="H1580" t="inlineStr">
        <is>
          <t>交換用ヘッド</t>
        </is>
      </c>
      <c r="I1580" s="4" t="n">
        <v>8</v>
      </c>
      <c r="J1580" s="4" t="n">
        <v>32080</v>
      </c>
      <c r="K1580" s="4">
        <f>I1580*J1580</f>
        <v/>
      </c>
      <c r="L1580" t="inlineStr"/>
    </row>
    <row r="1581">
      <c r="A1581" t="inlineStr">
        <is>
          <t>SR066</t>
        </is>
      </c>
      <c r="B1581" t="inlineStr">
        <is>
          <t>営業担当066</t>
        </is>
      </c>
      <c r="C1581" t="inlineStr">
        <is>
          <t>第1営業部</t>
        </is>
      </c>
      <c r="D1581" s="3" t="n">
        <v>45997</v>
      </c>
      <c r="E1581" t="inlineStr">
        <is>
          <t>未来通信有限会社</t>
        </is>
      </c>
      <c r="F1581" t="inlineStr">
        <is>
          <t>大阪府</t>
        </is>
      </c>
      <c r="G1581" t="inlineStr">
        <is>
          <t>ハードウェア</t>
        </is>
      </c>
      <c r="H1581" t="inlineStr">
        <is>
          <t>ネットワークカメラ</t>
        </is>
      </c>
      <c r="I1581" s="4" t="n">
        <v>3</v>
      </c>
      <c r="J1581" s="4" t="n">
        <v>52300</v>
      </c>
      <c r="K1581" s="4">
        <f>I1581*J1581</f>
        <v/>
      </c>
      <c r="L1581" t="inlineStr">
        <is>
          <t>分納</t>
        </is>
      </c>
    </row>
    <row r="1582">
      <c r="A1582" t="inlineStr">
        <is>
          <t>SR066</t>
        </is>
      </c>
      <c r="B1582" t="inlineStr">
        <is>
          <t>営業担当066</t>
        </is>
      </c>
      <c r="C1582" t="inlineStr">
        <is>
          <t>第1営業部</t>
        </is>
      </c>
      <c r="D1582" s="3" t="n">
        <v>46007</v>
      </c>
      <c r="E1582" t="inlineStr">
        <is>
          <t>九州エナジー株式会社</t>
        </is>
      </c>
      <c r="F1582" t="inlineStr">
        <is>
          <t>東京都</t>
        </is>
      </c>
      <c r="G1582" t="inlineStr">
        <is>
          <t>保守サービス</t>
        </is>
      </c>
      <c r="H1582" t="inlineStr">
        <is>
          <t>年間保守契約</t>
        </is>
      </c>
      <c r="I1582" s="4" t="n">
        <v>5</v>
      </c>
      <c r="J1582" s="4" t="n">
        <v>122700</v>
      </c>
      <c r="K1582" s="4">
        <f>I1582*J1582</f>
        <v/>
      </c>
      <c r="L1582" t="inlineStr"/>
    </row>
    <row r="1583">
      <c r="A1583" t="inlineStr">
        <is>
          <t>SR066</t>
        </is>
      </c>
      <c r="B1583" t="inlineStr">
        <is>
          <t>営業担当066</t>
        </is>
      </c>
      <c r="C1583" t="inlineStr">
        <is>
          <t>第1営業部</t>
        </is>
      </c>
      <c r="D1583" s="3" t="n">
        <v>46029</v>
      </c>
      <c r="E1583" t="inlineStr">
        <is>
          <t>西日本機工株式会社</t>
        </is>
      </c>
      <c r="F1583" t="inlineStr">
        <is>
          <t>愛知県</t>
        </is>
      </c>
      <c r="G1583" t="inlineStr">
        <is>
          <t>ハードウェア</t>
        </is>
      </c>
      <c r="H1583" t="inlineStr">
        <is>
          <t>産業用タブレット</t>
        </is>
      </c>
      <c r="I1583" s="4" t="n">
        <v>5</v>
      </c>
      <c r="J1583" s="4" t="n">
        <v>83000</v>
      </c>
      <c r="K1583" s="4">
        <f>I1583*J1583</f>
        <v/>
      </c>
      <c r="L1583" t="inlineStr"/>
    </row>
    <row r="1584">
      <c r="A1584" t="inlineStr">
        <is>
          <t>SR066</t>
        </is>
      </c>
      <c r="B1584" t="inlineStr">
        <is>
          <t>営業担当066</t>
        </is>
      </c>
      <c r="C1584" t="inlineStr">
        <is>
          <t>第1営業部</t>
        </is>
      </c>
      <c r="D1584" s="3" t="n">
        <v>46050</v>
      </c>
      <c r="E1584" t="inlineStr">
        <is>
          <t>グリーンテック株式会社</t>
        </is>
      </c>
      <c r="F1584" t="inlineStr">
        <is>
          <t>宮城県</t>
        </is>
      </c>
      <c r="G1584" t="inlineStr">
        <is>
          <t>ソフトウェア</t>
        </is>
      </c>
      <c r="H1584" t="inlineStr">
        <is>
          <t>在庫管理クラウド</t>
        </is>
      </c>
      <c r="I1584" s="4" t="n">
        <v>4</v>
      </c>
      <c r="J1584" s="4" t="n">
        <v>441100</v>
      </c>
      <c r="K1584" s="4">
        <f>I1584*J1584</f>
        <v/>
      </c>
      <c r="L1584" t="inlineStr"/>
    </row>
    <row r="1585">
      <c r="A1585" t="inlineStr">
        <is>
          <t>SR066</t>
        </is>
      </c>
      <c r="B1585" t="inlineStr">
        <is>
          <t>営業担当066</t>
        </is>
      </c>
      <c r="C1585" t="inlineStr">
        <is>
          <t>第1営業部</t>
        </is>
      </c>
      <c r="D1585" s="3" t="n">
        <v>46059</v>
      </c>
      <c r="E1585" t="inlineStr">
        <is>
          <t>ネクストソリューション株式会社</t>
        </is>
      </c>
      <c r="F1585" t="inlineStr">
        <is>
          <t>北海道</t>
        </is>
      </c>
      <c r="G1585" t="inlineStr">
        <is>
          <t>ソフトウェア</t>
        </is>
      </c>
      <c r="H1585" t="inlineStr">
        <is>
          <t>在庫管理クラウド</t>
        </is>
      </c>
      <c r="I1585" s="4" t="n">
        <v>2</v>
      </c>
      <c r="J1585" s="4" t="n">
        <v>389500</v>
      </c>
      <c r="K1585" s="4">
        <f>I1585*J1585</f>
        <v/>
      </c>
      <c r="L1585" t="inlineStr">
        <is>
          <t>分納</t>
        </is>
      </c>
    </row>
    <row r="1586">
      <c r="A1586" t="inlineStr">
        <is>
          <t>SR066</t>
        </is>
      </c>
      <c r="B1586" t="inlineStr">
        <is>
          <t>営業担当066</t>
        </is>
      </c>
      <c r="C1586" t="inlineStr">
        <is>
          <t>第1営業部</t>
        </is>
      </c>
      <c r="D1586" s="3" t="n">
        <v>46064</v>
      </c>
      <c r="E1586" t="inlineStr">
        <is>
          <t>中央設備有限会社</t>
        </is>
      </c>
      <c r="F1586" t="inlineStr">
        <is>
          <t>神奈川県</t>
        </is>
      </c>
      <c r="G1586" t="inlineStr">
        <is>
          <t>ハードウェア</t>
        </is>
      </c>
      <c r="H1586" t="inlineStr">
        <is>
          <t>産業用タブレット</t>
        </is>
      </c>
      <c r="I1586" s="4" t="n">
        <v>3</v>
      </c>
      <c r="J1586" s="4" t="n">
        <v>100400</v>
      </c>
      <c r="K1586" s="4">
        <f>I1586*J1586</f>
        <v/>
      </c>
      <c r="L1586" t="inlineStr"/>
    </row>
    <row r="1587">
      <c r="A1587" t="inlineStr">
        <is>
          <t>SR066</t>
        </is>
      </c>
      <c r="B1587" t="inlineStr">
        <is>
          <t>営業担当066</t>
        </is>
      </c>
      <c r="C1587" t="inlineStr">
        <is>
          <t>第1営業部</t>
        </is>
      </c>
      <c r="D1587" s="3" t="n">
        <v>46095</v>
      </c>
      <c r="E1587" t="inlineStr">
        <is>
          <t>ネクストソリューション(株)</t>
        </is>
      </c>
      <c r="F1587" t="inlineStr">
        <is>
          <t>神奈川県</t>
        </is>
      </c>
      <c r="G1587" t="inlineStr">
        <is>
          <t>消耗品</t>
        </is>
      </c>
      <c r="H1587" t="inlineStr">
        <is>
          <t>ラベルロール</t>
        </is>
      </c>
      <c r="I1587" s="4" t="n">
        <v>4</v>
      </c>
      <c r="J1587" s="4" t="n">
        <v>10250</v>
      </c>
      <c r="K1587" s="4">
        <f>I1587*J1587</f>
        <v/>
      </c>
      <c r="L1587" t="inlineStr">
        <is>
          <t>キャンペーン適用</t>
        </is>
      </c>
    </row>
    <row r="1588">
      <c r="A1588" t="inlineStr">
        <is>
          <t>SR066</t>
        </is>
      </c>
      <c r="B1588" t="inlineStr">
        <is>
          <t>営業担当066</t>
        </is>
      </c>
      <c r="C1588" t="inlineStr">
        <is>
          <t>第1営業部</t>
        </is>
      </c>
      <c r="D1588" s="3" t="n">
        <v>46100</v>
      </c>
      <c r="E1588" t="inlineStr">
        <is>
          <t>福岡流通有限会社</t>
        </is>
      </c>
      <c r="F1588" t="inlineStr">
        <is>
          <t>東京都</t>
        </is>
      </c>
      <c r="G1588" t="inlineStr">
        <is>
          <t>導入支援</t>
        </is>
      </c>
      <c r="H1588" t="inlineStr">
        <is>
          <t>データ移行支援</t>
        </is>
      </c>
      <c r="I1588" s="4" t="n">
        <v>1</v>
      </c>
      <c r="J1588" s="4" t="n">
        <v>106600</v>
      </c>
      <c r="K1588" s="4">
        <f>I1588*J1588</f>
        <v/>
      </c>
      <c r="L1588" t="inlineStr">
        <is>
          <t>大型案件</t>
        </is>
      </c>
    </row>
    <row r="1589">
      <c r="A1589" t="inlineStr">
        <is>
          <t>SR067</t>
        </is>
      </c>
      <c r="B1589" t="inlineStr">
        <is>
          <t>営業担当067</t>
        </is>
      </c>
      <c r="C1589" t="inlineStr">
        <is>
          <t>第2営業部</t>
        </is>
      </c>
      <c r="D1589" s="3" t="n">
        <v>45769</v>
      </c>
      <c r="E1589" t="inlineStr">
        <is>
          <t>星和商会株式会社</t>
        </is>
      </c>
      <c r="F1589" t="inlineStr">
        <is>
          <t>北海道</t>
        </is>
      </c>
      <c r="G1589" t="inlineStr">
        <is>
          <t>ソフトウェア</t>
        </is>
      </c>
      <c r="H1589" t="inlineStr">
        <is>
          <t>帳票自動化ツール</t>
        </is>
      </c>
      <c r="I1589" s="4" t="n">
        <v>1</v>
      </c>
      <c r="J1589" s="4" t="n">
        <v>215000</v>
      </c>
      <c r="K1589" s="4">
        <f>I1589*J1589</f>
        <v/>
      </c>
      <c r="L1589" t="inlineStr">
        <is>
          <t>キャンペーン適用</t>
        </is>
      </c>
    </row>
    <row r="1590">
      <c r="A1590" t="inlineStr">
        <is>
          <t>SR067</t>
        </is>
      </c>
      <c r="B1590" t="inlineStr">
        <is>
          <t>営業担当067</t>
        </is>
      </c>
      <c r="C1590" t="inlineStr">
        <is>
          <t>第2営業部</t>
        </is>
      </c>
      <c r="D1590" s="3" t="n">
        <v>45774</v>
      </c>
      <c r="E1590" t="inlineStr">
        <is>
          <t>大和精機株式会社</t>
        </is>
      </c>
      <c r="F1590" t="inlineStr">
        <is>
          <t>神奈川県</t>
        </is>
      </c>
      <c r="G1590" t="inlineStr">
        <is>
          <t>ソフトウェア</t>
        </is>
      </c>
      <c r="H1590" t="inlineStr">
        <is>
          <t>営業支援SaaS</t>
        </is>
      </c>
      <c r="I1590" s="4" t="n">
        <v>4</v>
      </c>
      <c r="J1590" s="4" t="n">
        <v>138200</v>
      </c>
      <c r="K1590" s="4">
        <f>I1590*J1590</f>
        <v/>
      </c>
      <c r="L1590" t="inlineStr">
        <is>
          <t>リピート受注</t>
        </is>
      </c>
    </row>
    <row r="1591">
      <c r="A1591" t="inlineStr">
        <is>
          <t>SR067</t>
        </is>
      </c>
      <c r="B1591" t="inlineStr">
        <is>
          <t>営業担当067</t>
        </is>
      </c>
      <c r="C1591" t="inlineStr">
        <is>
          <t>第2営業部</t>
        </is>
      </c>
      <c r="D1591" s="3" t="n">
        <v>45793</v>
      </c>
      <c r="E1591" t="inlineStr">
        <is>
          <t>オーシャン製作所(株)</t>
        </is>
      </c>
      <c r="F1591" t="inlineStr">
        <is>
          <t>大阪府</t>
        </is>
      </c>
      <c r="G1591" t="inlineStr">
        <is>
          <t>ハードウェア</t>
        </is>
      </c>
      <c r="H1591" t="inlineStr">
        <is>
          <t>ラベルプリンター</t>
        </is>
      </c>
      <c r="I1591" s="4" t="n">
        <v>3</v>
      </c>
      <c r="J1591" s="4" t="n">
        <v>46300</v>
      </c>
      <c r="K1591" s="4">
        <f>I1591*J1591</f>
        <v/>
      </c>
      <c r="L1591" t="inlineStr">
        <is>
          <t>分納</t>
        </is>
      </c>
    </row>
    <row r="1592">
      <c r="A1592" t="inlineStr">
        <is>
          <t>SR067</t>
        </is>
      </c>
      <c r="B1592" t="inlineStr">
        <is>
          <t>営業担当067</t>
        </is>
      </c>
      <c r="C1592" t="inlineStr">
        <is>
          <t>第2営業部</t>
        </is>
      </c>
      <c r="D1592" s="3" t="n">
        <v>45797</v>
      </c>
      <c r="E1592" t="inlineStr">
        <is>
          <t>東洋フーズ有限会社</t>
        </is>
      </c>
      <c r="F1592" t="inlineStr">
        <is>
          <t>京都府</t>
        </is>
      </c>
      <c r="G1592" t="inlineStr">
        <is>
          <t>導入支援</t>
        </is>
      </c>
      <c r="H1592" t="inlineStr">
        <is>
          <t>初期設定支援</t>
        </is>
      </c>
      <c r="I1592" s="4" t="n">
        <v>1</v>
      </c>
      <c r="J1592" s="4" t="n">
        <v>113700</v>
      </c>
      <c r="K1592" s="4">
        <f>I1592*J1592</f>
        <v/>
      </c>
      <c r="L1592" t="inlineStr">
        <is>
          <t>リピート受注</t>
        </is>
      </c>
    </row>
    <row r="1593">
      <c r="A1593" t="inlineStr">
        <is>
          <t>SR067</t>
        </is>
      </c>
      <c r="B1593" t="inlineStr">
        <is>
          <t>営業担当067</t>
        </is>
      </c>
      <c r="C1593" t="inlineStr">
        <is>
          <t>第2営業部</t>
        </is>
      </c>
      <c r="D1593" s="3" t="n">
        <v>45826</v>
      </c>
      <c r="E1593" t="inlineStr">
        <is>
          <t>西日本機工株式会社</t>
        </is>
      </c>
      <c r="F1593" t="inlineStr">
        <is>
          <t>広島県</t>
        </is>
      </c>
      <c r="G1593" t="inlineStr">
        <is>
          <t>消耗品</t>
        </is>
      </c>
      <c r="H1593" t="inlineStr">
        <is>
          <t>保守用バッテリー</t>
        </is>
      </c>
      <c r="I1593" s="4" t="n">
        <v>10</v>
      </c>
      <c r="J1593" s="4" t="n">
        <v>17590</v>
      </c>
      <c r="K1593" s="4">
        <f>I1593*J1593</f>
        <v/>
      </c>
      <c r="L1593" t="inlineStr">
        <is>
          <t>キャンペーン適用</t>
        </is>
      </c>
    </row>
    <row r="1594">
      <c r="A1594" t="inlineStr">
        <is>
          <t>SR067</t>
        </is>
      </c>
      <c r="B1594" t="inlineStr">
        <is>
          <t>営業担当067</t>
        </is>
      </c>
      <c r="C1594" t="inlineStr">
        <is>
          <t>第2営業部</t>
        </is>
      </c>
      <c r="D1594" s="3" t="n">
        <v>45826</v>
      </c>
      <c r="E1594" t="inlineStr">
        <is>
          <t>福岡流通株式会社</t>
        </is>
      </c>
      <c r="F1594" t="inlineStr">
        <is>
          <t>北海道</t>
        </is>
      </c>
      <c r="G1594" t="inlineStr">
        <is>
          <t>導入支援</t>
        </is>
      </c>
      <c r="H1594" t="inlineStr">
        <is>
          <t>操作研修パック</t>
        </is>
      </c>
      <c r="I1594" s="4" t="n">
        <v>1</v>
      </c>
      <c r="J1594" s="4" t="n">
        <v>145900</v>
      </c>
      <c r="K1594" s="4">
        <f>I1594*J1594</f>
        <v/>
      </c>
      <c r="L1594" t="inlineStr">
        <is>
          <t>分納</t>
        </is>
      </c>
    </row>
    <row r="1595">
      <c r="A1595" t="inlineStr">
        <is>
          <t>SR067</t>
        </is>
      </c>
      <c r="B1595" t="inlineStr">
        <is>
          <t>営業担当067</t>
        </is>
      </c>
      <c r="C1595" t="inlineStr">
        <is>
          <t>第2営業部</t>
        </is>
      </c>
      <c r="D1595" s="3" t="n">
        <v>45841</v>
      </c>
      <c r="E1595" t="inlineStr">
        <is>
          <t>中央設備株式会社</t>
        </is>
      </c>
      <c r="F1595" t="inlineStr">
        <is>
          <t>福岡県</t>
        </is>
      </c>
      <c r="G1595" t="inlineStr">
        <is>
          <t>ソフトウェア</t>
        </is>
      </c>
      <c r="H1595" t="inlineStr">
        <is>
          <t>営業支援SaaS</t>
        </is>
      </c>
      <c r="I1595" s="4" t="n">
        <v>3</v>
      </c>
      <c r="J1595" s="4" t="n">
        <v>128200</v>
      </c>
      <c r="K1595" s="4">
        <f>I1595*J1595</f>
        <v/>
      </c>
      <c r="L1595" t="inlineStr"/>
    </row>
    <row r="1596">
      <c r="A1596" t="inlineStr">
        <is>
          <t>SR067</t>
        </is>
      </c>
      <c r="B1596" t="inlineStr">
        <is>
          <t>営業担当067</t>
        </is>
      </c>
      <c r="C1596" t="inlineStr">
        <is>
          <t>第2営業部</t>
        </is>
      </c>
      <c r="D1596" s="3" t="n">
        <v>45862</v>
      </c>
      <c r="E1596" t="inlineStr">
        <is>
          <t>日新サービス(株)</t>
        </is>
      </c>
      <c r="F1596" t="inlineStr">
        <is>
          <t>愛知県</t>
        </is>
      </c>
      <c r="G1596" t="inlineStr">
        <is>
          <t>保守サービス</t>
        </is>
      </c>
      <c r="H1596" t="inlineStr">
        <is>
          <t>ヘルプデスク契約</t>
        </is>
      </c>
      <c r="I1596" s="4" t="n">
        <v>3</v>
      </c>
      <c r="J1596" s="4" t="n">
        <v>97500</v>
      </c>
      <c r="K1596" s="4">
        <f>I1596*J1596</f>
        <v/>
      </c>
      <c r="L1596" t="inlineStr">
        <is>
          <t>新規開拓</t>
        </is>
      </c>
    </row>
    <row r="1597">
      <c r="A1597" t="inlineStr">
        <is>
          <t>SR067</t>
        </is>
      </c>
      <c r="B1597" t="inlineStr">
        <is>
          <t>営業担当067</t>
        </is>
      </c>
      <c r="C1597" t="inlineStr">
        <is>
          <t>第2営業部</t>
        </is>
      </c>
      <c r="D1597" s="3" t="n">
        <v>45885</v>
      </c>
      <c r="E1597" t="inlineStr">
        <is>
          <t>日新サービス(株)</t>
        </is>
      </c>
      <c r="F1597" t="inlineStr">
        <is>
          <t>東京都</t>
        </is>
      </c>
      <c r="G1597" t="inlineStr">
        <is>
          <t>ハードウェア</t>
        </is>
      </c>
      <c r="H1597" t="inlineStr">
        <is>
          <t>産業用タブレット</t>
        </is>
      </c>
      <c r="I1597" s="4" t="n">
        <v>4</v>
      </c>
      <c r="J1597" s="4" t="n">
        <v>111600</v>
      </c>
      <c r="K1597" s="4">
        <f>I1597*J1597</f>
        <v/>
      </c>
      <c r="L1597" t="inlineStr">
        <is>
          <t>リピート受注</t>
        </is>
      </c>
    </row>
    <row r="1598">
      <c r="A1598" t="inlineStr">
        <is>
          <t>SR067</t>
        </is>
      </c>
      <c r="B1598" t="inlineStr">
        <is>
          <t>営業担当067</t>
        </is>
      </c>
      <c r="C1598" t="inlineStr">
        <is>
          <t>第2営業部</t>
        </is>
      </c>
      <c r="D1598" s="3" t="n">
        <v>45895</v>
      </c>
      <c r="E1598" t="inlineStr">
        <is>
          <t>青葉商事株式会社</t>
        </is>
      </c>
      <c r="F1598" t="inlineStr">
        <is>
          <t>北海道</t>
        </is>
      </c>
      <c r="G1598" t="inlineStr">
        <is>
          <t>導入支援</t>
        </is>
      </c>
      <c r="H1598" t="inlineStr">
        <is>
          <t>初期設定支援</t>
        </is>
      </c>
      <c r="I1598" s="4" t="n">
        <v>2</v>
      </c>
      <c r="J1598" s="4" t="n">
        <v>113000</v>
      </c>
      <c r="K1598" s="4">
        <f>I1598*J1598</f>
        <v/>
      </c>
      <c r="L1598" t="inlineStr">
        <is>
          <t>大型案件</t>
        </is>
      </c>
    </row>
    <row r="1599">
      <c r="A1599" t="inlineStr">
        <is>
          <t>SR067</t>
        </is>
      </c>
      <c r="B1599" t="inlineStr">
        <is>
          <t>営業担当067</t>
        </is>
      </c>
      <c r="C1599" t="inlineStr">
        <is>
          <t>第2営業部</t>
        </is>
      </c>
      <c r="D1599" s="3" t="n">
        <v>45919</v>
      </c>
      <c r="E1599" t="inlineStr">
        <is>
          <t>日新サービス有限会社</t>
        </is>
      </c>
      <c r="F1599" t="inlineStr">
        <is>
          <t>東京都</t>
        </is>
      </c>
      <c r="G1599" t="inlineStr">
        <is>
          <t>ハードウェア</t>
        </is>
      </c>
      <c r="H1599" t="inlineStr">
        <is>
          <t>小型ハンディ端末</t>
        </is>
      </c>
      <c r="I1599" s="4" t="n">
        <v>3</v>
      </c>
      <c r="J1599" s="4" t="n">
        <v>65300</v>
      </c>
      <c r="K1599" s="4">
        <f>I1599*J1599</f>
        <v/>
      </c>
      <c r="L1599" t="inlineStr"/>
    </row>
    <row r="1600">
      <c r="A1600" t="inlineStr">
        <is>
          <t>SR067</t>
        </is>
      </c>
      <c r="B1600" t="inlineStr">
        <is>
          <t>営業担当067</t>
        </is>
      </c>
      <c r="C1600" t="inlineStr">
        <is>
          <t>第2営業部</t>
        </is>
      </c>
      <c r="D1600" s="3" t="n">
        <v>45924</v>
      </c>
      <c r="E1600" t="inlineStr">
        <is>
          <t>グリーンテック(株)</t>
        </is>
      </c>
      <c r="F1600" t="inlineStr">
        <is>
          <t>東京都</t>
        </is>
      </c>
      <c r="G1600" t="inlineStr">
        <is>
          <t>導入支援</t>
        </is>
      </c>
      <c r="H1600" t="inlineStr">
        <is>
          <t>操作研修パック</t>
        </is>
      </c>
      <c r="I1600" s="4" t="n">
        <v>3</v>
      </c>
      <c r="J1600" s="4" t="n">
        <v>66400</v>
      </c>
      <c r="K1600" s="4">
        <f>I1600*J1600</f>
        <v/>
      </c>
      <c r="L1600" t="inlineStr">
        <is>
          <t>リピート受注</t>
        </is>
      </c>
    </row>
    <row r="1601">
      <c r="A1601" t="inlineStr">
        <is>
          <t>SR067</t>
        </is>
      </c>
      <c r="B1601" t="inlineStr">
        <is>
          <t>営業担当067</t>
        </is>
      </c>
      <c r="C1601" t="inlineStr">
        <is>
          <t>第2営業部</t>
        </is>
      </c>
      <c r="D1601" s="3" t="n">
        <v>45935</v>
      </c>
      <c r="E1601" t="inlineStr">
        <is>
          <t>星和商会(株)</t>
        </is>
      </c>
      <c r="F1601" t="inlineStr">
        <is>
          <t>宮城県</t>
        </is>
      </c>
      <c r="G1601" t="inlineStr">
        <is>
          <t>ハードウェア</t>
        </is>
      </c>
      <c r="H1601" t="inlineStr">
        <is>
          <t>小型ハンディ端末</t>
        </is>
      </c>
      <c r="I1601" s="4" t="n">
        <v>3</v>
      </c>
      <c r="J1601" s="4" t="n">
        <v>65400</v>
      </c>
      <c r="K1601" s="4">
        <f>I1601*J1601</f>
        <v/>
      </c>
      <c r="L1601" t="inlineStr"/>
    </row>
    <row r="1602">
      <c r="A1602" t="inlineStr">
        <is>
          <t>SR067</t>
        </is>
      </c>
      <c r="B1602" t="inlineStr">
        <is>
          <t>営業担当067</t>
        </is>
      </c>
      <c r="C1602" t="inlineStr">
        <is>
          <t>第2営業部</t>
        </is>
      </c>
      <c r="D1602" s="3" t="n">
        <v>45935</v>
      </c>
      <c r="E1602" t="inlineStr">
        <is>
          <t>オーシャン製作所株式会社</t>
        </is>
      </c>
      <c r="F1602" t="inlineStr">
        <is>
          <t>大阪府</t>
        </is>
      </c>
      <c r="G1602" t="inlineStr">
        <is>
          <t>保守サービス</t>
        </is>
      </c>
      <c r="H1602" t="inlineStr">
        <is>
          <t>年間保守契約</t>
        </is>
      </c>
      <c r="I1602" s="4" t="n">
        <v>3</v>
      </c>
      <c r="J1602" s="4" t="n">
        <v>247800</v>
      </c>
      <c r="K1602" s="4">
        <f>I1602*J1602</f>
        <v/>
      </c>
      <c r="L1602" t="inlineStr">
        <is>
          <t>キャンペーン適用</t>
        </is>
      </c>
    </row>
    <row r="1603">
      <c r="A1603" t="inlineStr">
        <is>
          <t>SR067</t>
        </is>
      </c>
      <c r="B1603" t="inlineStr">
        <is>
          <t>営業担当067</t>
        </is>
      </c>
      <c r="C1603" t="inlineStr">
        <is>
          <t>第2営業部</t>
        </is>
      </c>
      <c r="D1603" s="3" t="n">
        <v>45967</v>
      </c>
      <c r="E1603" t="inlineStr">
        <is>
          <t>白峰化学株式会社</t>
        </is>
      </c>
      <c r="F1603" t="inlineStr">
        <is>
          <t>福岡県</t>
        </is>
      </c>
      <c r="G1603" t="inlineStr">
        <is>
          <t>ハードウェア</t>
        </is>
      </c>
      <c r="H1603" t="inlineStr">
        <is>
          <t>小型ハンディ端末</t>
        </is>
      </c>
      <c r="I1603" s="4" t="n">
        <v>3</v>
      </c>
      <c r="J1603" s="4" t="n">
        <v>76400</v>
      </c>
      <c r="K1603" s="4">
        <f>I1603*J1603</f>
        <v/>
      </c>
      <c r="L1603" t="inlineStr"/>
    </row>
    <row r="1604">
      <c r="A1604" t="inlineStr">
        <is>
          <t>SR067</t>
        </is>
      </c>
      <c r="B1604" t="inlineStr">
        <is>
          <t>営業担当067</t>
        </is>
      </c>
      <c r="C1604" t="inlineStr">
        <is>
          <t>第2営業部</t>
        </is>
      </c>
      <c r="D1604" s="3" t="n">
        <v>45971</v>
      </c>
      <c r="E1604" t="inlineStr">
        <is>
          <t>未来通信有限会社</t>
        </is>
      </c>
      <c r="F1604" t="inlineStr">
        <is>
          <t>広島県</t>
        </is>
      </c>
      <c r="G1604" t="inlineStr">
        <is>
          <t>保守サービス</t>
        </is>
      </c>
      <c r="H1604" t="inlineStr">
        <is>
          <t>年間保守契約</t>
        </is>
      </c>
      <c r="I1604" s="4" t="n">
        <v>4</v>
      </c>
      <c r="J1604" s="4" t="n">
        <v>205400</v>
      </c>
      <c r="K1604" s="4">
        <f>I1604*J1604</f>
        <v/>
      </c>
      <c r="L1604" t="inlineStr">
        <is>
          <t>新規開拓</t>
        </is>
      </c>
    </row>
    <row r="1605">
      <c r="A1605" t="inlineStr">
        <is>
          <t>SR067</t>
        </is>
      </c>
      <c r="B1605" t="inlineStr">
        <is>
          <t>営業担当067</t>
        </is>
      </c>
      <c r="C1605" t="inlineStr">
        <is>
          <t>第2営業部</t>
        </is>
      </c>
      <c r="D1605" s="3" t="n">
        <v>45997</v>
      </c>
      <c r="E1605" t="inlineStr">
        <is>
          <t>桜井メディカル株式会社</t>
        </is>
      </c>
      <c r="F1605" t="inlineStr">
        <is>
          <t>宮城県</t>
        </is>
      </c>
      <c r="G1605" t="inlineStr">
        <is>
          <t>ソフトウェア</t>
        </is>
      </c>
      <c r="H1605" t="inlineStr">
        <is>
          <t>営業支援SaaS</t>
        </is>
      </c>
      <c r="I1605" s="4" t="n">
        <v>2</v>
      </c>
      <c r="J1605" s="4" t="n">
        <v>347400</v>
      </c>
      <c r="K1605" s="4">
        <f>I1605*J1605</f>
        <v/>
      </c>
      <c r="L1605" t="inlineStr">
        <is>
          <t>新規開拓</t>
        </is>
      </c>
    </row>
    <row r="1606">
      <c r="A1606" t="inlineStr">
        <is>
          <t>SR067</t>
        </is>
      </c>
      <c r="B1606" t="inlineStr">
        <is>
          <t>営業担当067</t>
        </is>
      </c>
      <c r="C1606" t="inlineStr">
        <is>
          <t>第2営業部</t>
        </is>
      </c>
      <c r="D1606" s="3" t="n">
        <v>46003</v>
      </c>
      <c r="E1606" t="inlineStr">
        <is>
          <t>大和精機(株)</t>
        </is>
      </c>
      <c r="F1606" t="inlineStr">
        <is>
          <t>福岡県</t>
        </is>
      </c>
      <c r="G1606" t="inlineStr">
        <is>
          <t>ソフトウェア</t>
        </is>
      </c>
      <c r="H1606" t="inlineStr">
        <is>
          <t>AIチャットボット</t>
        </is>
      </c>
      <c r="I1606" s="4" t="n">
        <v>2</v>
      </c>
      <c r="J1606" s="4" t="n">
        <v>690600</v>
      </c>
      <c r="K1606" s="4">
        <f>I1606*J1606</f>
        <v/>
      </c>
      <c r="L1606" t="inlineStr">
        <is>
          <t>大型案件</t>
        </is>
      </c>
    </row>
    <row r="1607">
      <c r="A1607" t="inlineStr">
        <is>
          <t>SR067</t>
        </is>
      </c>
      <c r="B1607" t="inlineStr">
        <is>
          <t>営業担当067</t>
        </is>
      </c>
      <c r="C1607" t="inlineStr">
        <is>
          <t>第2営業部</t>
        </is>
      </c>
      <c r="D1607" s="3" t="n">
        <v>46023</v>
      </c>
      <c r="E1607" t="inlineStr">
        <is>
          <t>ネクストソリューション株式会社</t>
        </is>
      </c>
      <c r="F1607" t="inlineStr">
        <is>
          <t>北海道</t>
        </is>
      </c>
      <c r="G1607" t="inlineStr">
        <is>
          <t>ソフトウェア</t>
        </is>
      </c>
      <c r="H1607" t="inlineStr">
        <is>
          <t>AIチャットボット</t>
        </is>
      </c>
      <c r="I1607" s="4" t="n">
        <v>5</v>
      </c>
      <c r="J1607" s="4" t="n">
        <v>812600</v>
      </c>
      <c r="K1607" s="4">
        <f>I1607*J1607</f>
        <v/>
      </c>
      <c r="L1607" t="inlineStr">
        <is>
          <t>キャンペーン適用</t>
        </is>
      </c>
    </row>
    <row r="1608">
      <c r="A1608" t="inlineStr">
        <is>
          <t>SR067</t>
        </is>
      </c>
      <c r="B1608" t="inlineStr">
        <is>
          <t>営業担当067</t>
        </is>
      </c>
      <c r="C1608" t="inlineStr">
        <is>
          <t>第2営業部</t>
        </is>
      </c>
      <c r="D1608" s="3" t="n">
        <v>46045</v>
      </c>
      <c r="E1608" t="inlineStr">
        <is>
          <t>アーク電機(株)</t>
        </is>
      </c>
      <c r="F1608" t="inlineStr">
        <is>
          <t>神奈川県</t>
        </is>
      </c>
      <c r="G1608" t="inlineStr">
        <is>
          <t>ハードウェア</t>
        </is>
      </c>
      <c r="H1608" t="inlineStr">
        <is>
          <t>ラベルプリンター</t>
        </is>
      </c>
      <c r="I1608" s="4" t="n">
        <v>5</v>
      </c>
      <c r="J1608" s="4" t="n">
        <v>66200</v>
      </c>
      <c r="K1608" s="4">
        <f>I1608*J1608</f>
        <v/>
      </c>
      <c r="L1608" t="inlineStr">
        <is>
          <t>リピート受注</t>
        </is>
      </c>
    </row>
    <row r="1609">
      <c r="A1609" t="inlineStr">
        <is>
          <t>SR067</t>
        </is>
      </c>
      <c r="B1609" t="inlineStr">
        <is>
          <t>営業担当067</t>
        </is>
      </c>
      <c r="C1609" t="inlineStr">
        <is>
          <t>第2営業部</t>
        </is>
      </c>
      <c r="D1609" s="3" t="n">
        <v>46056</v>
      </c>
      <c r="E1609" t="inlineStr">
        <is>
          <t>大和精機株式会社</t>
        </is>
      </c>
      <c r="F1609" t="inlineStr">
        <is>
          <t>神奈川県</t>
        </is>
      </c>
      <c r="G1609" t="inlineStr">
        <is>
          <t>ハードウェア</t>
        </is>
      </c>
      <c r="H1609" t="inlineStr">
        <is>
          <t>ネットワークカメラ</t>
        </is>
      </c>
      <c r="I1609" s="4" t="n">
        <v>3</v>
      </c>
      <c r="J1609" s="4" t="n">
        <v>27200</v>
      </c>
      <c r="K1609" s="4">
        <f>I1609*J1609</f>
        <v/>
      </c>
      <c r="L1609" t="inlineStr"/>
    </row>
    <row r="1610">
      <c r="A1610" t="inlineStr">
        <is>
          <t>SR067</t>
        </is>
      </c>
      <c r="B1610" t="inlineStr">
        <is>
          <t>営業担当067</t>
        </is>
      </c>
      <c r="C1610" t="inlineStr">
        <is>
          <t>第2営業部</t>
        </is>
      </c>
      <c r="D1610" s="3" t="n">
        <v>46076</v>
      </c>
      <c r="E1610" t="inlineStr">
        <is>
          <t>東洋フーズ(株)</t>
        </is>
      </c>
      <c r="F1610" t="inlineStr">
        <is>
          <t>宮城県</t>
        </is>
      </c>
      <c r="G1610" t="inlineStr">
        <is>
          <t>導入支援</t>
        </is>
      </c>
      <c r="H1610" t="inlineStr">
        <is>
          <t>操作研修パック</t>
        </is>
      </c>
      <c r="I1610" s="4" t="n">
        <v>2</v>
      </c>
      <c r="J1610" s="4" t="n">
        <v>49600</v>
      </c>
      <c r="K1610" s="4">
        <f>I1610*J1610</f>
        <v/>
      </c>
      <c r="L1610" t="inlineStr">
        <is>
          <t>キャンペーン適用</t>
        </is>
      </c>
    </row>
    <row r="1611">
      <c r="A1611" t="inlineStr">
        <is>
          <t>SR067</t>
        </is>
      </c>
      <c r="B1611" t="inlineStr">
        <is>
          <t>営業担当067</t>
        </is>
      </c>
      <c r="C1611" t="inlineStr">
        <is>
          <t>第2営業部</t>
        </is>
      </c>
      <c r="D1611" s="3" t="n">
        <v>46086</v>
      </c>
      <c r="E1611" t="inlineStr">
        <is>
          <t>オーシャン製作所株式会社</t>
        </is>
      </c>
      <c r="F1611" t="inlineStr">
        <is>
          <t>宮城県</t>
        </is>
      </c>
      <c r="G1611" t="inlineStr">
        <is>
          <t>保守サービス</t>
        </is>
      </c>
      <c r="H1611" t="inlineStr">
        <is>
          <t>オンサイト保守</t>
        </is>
      </c>
      <c r="I1611" s="4" t="n">
        <v>4</v>
      </c>
      <c r="J1611" s="4" t="n">
        <v>162200</v>
      </c>
      <c r="K1611" s="4">
        <f>I1611*J1611</f>
        <v/>
      </c>
      <c r="L1611" t="inlineStr">
        <is>
          <t>キャンペーン適用</t>
        </is>
      </c>
    </row>
    <row r="1612">
      <c r="A1612" t="inlineStr">
        <is>
          <t>SR067</t>
        </is>
      </c>
      <c r="B1612" t="inlineStr">
        <is>
          <t>営業担当067</t>
        </is>
      </c>
      <c r="C1612" t="inlineStr">
        <is>
          <t>第2営業部</t>
        </is>
      </c>
      <c r="D1612" s="3" t="n">
        <v>46098</v>
      </c>
      <c r="E1612" t="inlineStr">
        <is>
          <t>西日本機工(株)</t>
        </is>
      </c>
      <c r="F1612" t="inlineStr">
        <is>
          <t>福岡県</t>
        </is>
      </c>
      <c r="G1612" t="inlineStr">
        <is>
          <t>導入支援</t>
        </is>
      </c>
      <c r="H1612" t="inlineStr">
        <is>
          <t>操作研修パック</t>
        </is>
      </c>
      <c r="I1612" s="4" t="n">
        <v>3</v>
      </c>
      <c r="J1612" s="4" t="n">
        <v>106200</v>
      </c>
      <c r="K1612" s="4">
        <f>I1612*J1612</f>
        <v/>
      </c>
      <c r="L1612" t="inlineStr">
        <is>
          <t>キャンペーン適用</t>
        </is>
      </c>
    </row>
    <row r="1613">
      <c r="A1613" t="inlineStr">
        <is>
          <t>SR068</t>
        </is>
      </c>
      <c r="B1613" t="inlineStr">
        <is>
          <t>営業担当068</t>
        </is>
      </c>
      <c r="C1613" t="inlineStr">
        <is>
          <t>第3営業部</t>
        </is>
      </c>
      <c r="D1613" s="3" t="n">
        <v>45765</v>
      </c>
      <c r="E1613" t="inlineStr">
        <is>
          <t>みらい物流(株)</t>
        </is>
      </c>
      <c r="F1613" t="inlineStr">
        <is>
          <t>広島県</t>
        </is>
      </c>
      <c r="G1613" t="inlineStr">
        <is>
          <t>消耗品</t>
        </is>
      </c>
      <c r="H1613" t="inlineStr">
        <is>
          <t>ラベルロール</t>
        </is>
      </c>
      <c r="I1613" s="4" t="n">
        <v>4</v>
      </c>
      <c r="J1613" s="4" t="n">
        <v>5840</v>
      </c>
      <c r="K1613" s="4">
        <f>I1613*J1613</f>
        <v/>
      </c>
      <c r="L1613" t="inlineStr">
        <is>
          <t>大型案件</t>
        </is>
      </c>
    </row>
    <row r="1614">
      <c r="A1614" t="inlineStr">
        <is>
          <t>SR068</t>
        </is>
      </c>
      <c r="B1614" t="inlineStr">
        <is>
          <t>営業担当068</t>
        </is>
      </c>
      <c r="C1614" t="inlineStr">
        <is>
          <t>第3営業部</t>
        </is>
      </c>
      <c r="D1614" s="3" t="n">
        <v>45769</v>
      </c>
      <c r="E1614" t="inlineStr">
        <is>
          <t>サンライズ建設株式会社</t>
        </is>
      </c>
      <c r="F1614" t="inlineStr">
        <is>
          <t>京都府</t>
        </is>
      </c>
      <c r="G1614" t="inlineStr">
        <is>
          <t>保守サービス</t>
        </is>
      </c>
      <c r="H1614" t="inlineStr">
        <is>
          <t>年間保守契約</t>
        </is>
      </c>
      <c r="I1614" s="4" t="n">
        <v>3</v>
      </c>
      <c r="J1614" s="4" t="n">
        <v>206100</v>
      </c>
      <c r="K1614" s="4">
        <f>I1614*J1614</f>
        <v/>
      </c>
      <c r="L1614" t="inlineStr">
        <is>
          <t>キャンペーン適用</t>
        </is>
      </c>
    </row>
    <row r="1615">
      <c r="A1615" t="inlineStr">
        <is>
          <t>SR068</t>
        </is>
      </c>
      <c r="B1615" t="inlineStr">
        <is>
          <t>営業担当068</t>
        </is>
      </c>
      <c r="C1615" t="inlineStr">
        <is>
          <t>第3営業部</t>
        </is>
      </c>
      <c r="D1615" s="3" t="n">
        <v>45778</v>
      </c>
      <c r="E1615" t="inlineStr">
        <is>
          <t>白峰化学(株)</t>
        </is>
      </c>
      <c r="F1615" t="inlineStr">
        <is>
          <t>神奈川県</t>
        </is>
      </c>
      <c r="G1615" t="inlineStr">
        <is>
          <t>ソフトウェア</t>
        </is>
      </c>
      <c r="H1615" t="inlineStr">
        <is>
          <t>在庫管理クラウド</t>
        </is>
      </c>
      <c r="I1615" s="4" t="n">
        <v>3</v>
      </c>
      <c r="J1615" s="4" t="n">
        <v>479700</v>
      </c>
      <c r="K1615" s="4">
        <f>I1615*J1615</f>
        <v/>
      </c>
      <c r="L1615" t="inlineStr"/>
    </row>
    <row r="1616">
      <c r="A1616" t="inlineStr">
        <is>
          <t>SR068</t>
        </is>
      </c>
      <c r="B1616" t="inlineStr">
        <is>
          <t>営業担当068</t>
        </is>
      </c>
      <c r="C1616" t="inlineStr">
        <is>
          <t>第3営業部</t>
        </is>
      </c>
      <c r="D1616" s="3" t="n">
        <v>45789</v>
      </c>
      <c r="E1616" t="inlineStr">
        <is>
          <t>福岡流通(株)</t>
        </is>
      </c>
      <c r="F1616" t="inlineStr">
        <is>
          <t>京都府</t>
        </is>
      </c>
      <c r="G1616" t="inlineStr">
        <is>
          <t>ソフトウェア</t>
        </is>
      </c>
      <c r="H1616" t="inlineStr">
        <is>
          <t>AIチャットボット</t>
        </is>
      </c>
      <c r="I1616" s="4" t="n">
        <v>1</v>
      </c>
      <c r="J1616" s="4" t="n">
        <v>778800</v>
      </c>
      <c r="K1616" s="4">
        <f>I1616*J1616</f>
        <v/>
      </c>
      <c r="L1616" t="inlineStr">
        <is>
          <t>大型案件</t>
        </is>
      </c>
    </row>
    <row r="1617">
      <c r="A1617" t="inlineStr">
        <is>
          <t>SR068</t>
        </is>
      </c>
      <c r="B1617" t="inlineStr">
        <is>
          <t>営業担当068</t>
        </is>
      </c>
      <c r="C1617" t="inlineStr">
        <is>
          <t>第3営業部</t>
        </is>
      </c>
      <c r="D1617" s="3" t="n">
        <v>45813</v>
      </c>
      <c r="E1617" t="inlineStr">
        <is>
          <t>ネクストソリューション株式会社</t>
        </is>
      </c>
      <c r="F1617" t="inlineStr">
        <is>
          <t>東京都</t>
        </is>
      </c>
      <c r="G1617" t="inlineStr">
        <is>
          <t>ハードウェア</t>
        </is>
      </c>
      <c r="H1617" t="inlineStr">
        <is>
          <t>ラベルプリンター</t>
        </is>
      </c>
      <c r="I1617" s="4" t="n">
        <v>4</v>
      </c>
      <c r="J1617" s="4" t="n">
        <v>42700</v>
      </c>
      <c r="K1617" s="4">
        <f>I1617*J1617</f>
        <v/>
      </c>
      <c r="L1617" t="inlineStr">
        <is>
          <t>新規開拓</t>
        </is>
      </c>
    </row>
    <row r="1618">
      <c r="A1618" t="inlineStr">
        <is>
          <t>SR068</t>
        </is>
      </c>
      <c r="B1618" t="inlineStr">
        <is>
          <t>営業担当068</t>
        </is>
      </c>
      <c r="C1618" t="inlineStr">
        <is>
          <t>第3営業部</t>
        </is>
      </c>
      <c r="D1618" s="3" t="n">
        <v>45826</v>
      </c>
      <c r="E1618" t="inlineStr">
        <is>
          <t>日新サービス株式会社</t>
        </is>
      </c>
      <c r="F1618" t="inlineStr">
        <is>
          <t>福岡県</t>
        </is>
      </c>
      <c r="G1618" t="inlineStr">
        <is>
          <t>ソフトウェア</t>
        </is>
      </c>
      <c r="H1618" t="inlineStr">
        <is>
          <t>在庫管理クラウド</t>
        </is>
      </c>
      <c r="I1618" s="4" t="n">
        <v>2</v>
      </c>
      <c r="J1618" s="4" t="n">
        <v>477600</v>
      </c>
      <c r="K1618" s="4">
        <f>I1618*J1618</f>
        <v/>
      </c>
      <c r="L1618" t="inlineStr"/>
    </row>
    <row r="1619">
      <c r="A1619" t="inlineStr">
        <is>
          <t>SR068</t>
        </is>
      </c>
      <c r="B1619" t="inlineStr">
        <is>
          <t>営業担当068</t>
        </is>
      </c>
      <c r="C1619" t="inlineStr">
        <is>
          <t>第3営業部</t>
        </is>
      </c>
      <c r="D1619" s="3" t="n">
        <v>45851</v>
      </c>
      <c r="E1619" t="inlineStr">
        <is>
          <t>西日本機工(株)</t>
        </is>
      </c>
      <c r="F1619" t="inlineStr">
        <is>
          <t>福岡県</t>
        </is>
      </c>
      <c r="G1619" t="inlineStr">
        <is>
          <t>保守サービス</t>
        </is>
      </c>
      <c r="H1619" t="inlineStr">
        <is>
          <t>オンサイト保守</t>
        </is>
      </c>
      <c r="I1619" s="4" t="n">
        <v>4</v>
      </c>
      <c r="J1619" s="4" t="n">
        <v>178200</v>
      </c>
      <c r="K1619" s="4">
        <f>I1619*J1619</f>
        <v/>
      </c>
      <c r="L1619" t="inlineStr">
        <is>
          <t>分納</t>
        </is>
      </c>
    </row>
    <row r="1620">
      <c r="A1620" t="inlineStr">
        <is>
          <t>SR068</t>
        </is>
      </c>
      <c r="B1620" t="inlineStr">
        <is>
          <t>営業担当068</t>
        </is>
      </c>
      <c r="C1620" t="inlineStr">
        <is>
          <t>第3営業部</t>
        </is>
      </c>
      <c r="D1620" s="3" t="n">
        <v>45859</v>
      </c>
      <c r="E1620" t="inlineStr">
        <is>
          <t>ネクストソリューション(株)</t>
        </is>
      </c>
      <c r="F1620" t="inlineStr">
        <is>
          <t>神奈川県</t>
        </is>
      </c>
      <c r="G1620" t="inlineStr">
        <is>
          <t>保守サービス</t>
        </is>
      </c>
      <c r="H1620" t="inlineStr">
        <is>
          <t>オンサイト保守</t>
        </is>
      </c>
      <c r="I1620" s="4" t="n">
        <v>5</v>
      </c>
      <c r="J1620" s="4" t="n">
        <v>89900</v>
      </c>
      <c r="K1620" s="4">
        <f>I1620*J1620</f>
        <v/>
      </c>
      <c r="L1620" t="inlineStr">
        <is>
          <t>値引き調整あり</t>
        </is>
      </c>
    </row>
    <row r="1621">
      <c r="A1621" t="inlineStr">
        <is>
          <t>SR068</t>
        </is>
      </c>
      <c r="B1621" t="inlineStr">
        <is>
          <t>営業担当068</t>
        </is>
      </c>
      <c r="C1621" t="inlineStr">
        <is>
          <t>第3営業部</t>
        </is>
      </c>
      <c r="D1621" s="3" t="n">
        <v>45871</v>
      </c>
      <c r="E1621" t="inlineStr">
        <is>
          <t>未来通信(株)</t>
        </is>
      </c>
      <c r="F1621" t="inlineStr">
        <is>
          <t>福岡県</t>
        </is>
      </c>
      <c r="G1621" t="inlineStr">
        <is>
          <t>ハードウェア</t>
        </is>
      </c>
      <c r="H1621" t="inlineStr">
        <is>
          <t>ネットワークカメラ</t>
        </is>
      </c>
      <c r="I1621" s="4" t="n">
        <v>5</v>
      </c>
      <c r="J1621" s="4" t="n">
        <v>34800</v>
      </c>
      <c r="K1621" s="4">
        <f>I1621*J1621</f>
        <v/>
      </c>
      <c r="L1621" t="inlineStr">
        <is>
          <t>分納</t>
        </is>
      </c>
    </row>
    <row r="1622">
      <c r="A1622" t="inlineStr">
        <is>
          <t>SR068</t>
        </is>
      </c>
      <c r="B1622" t="inlineStr">
        <is>
          <t>営業担当068</t>
        </is>
      </c>
      <c r="C1622" t="inlineStr">
        <is>
          <t>第3営業部</t>
        </is>
      </c>
      <c r="D1622" s="3" t="n">
        <v>45888</v>
      </c>
      <c r="E1622" t="inlineStr">
        <is>
          <t>白峰化学株式会社</t>
        </is>
      </c>
      <c r="F1622" t="inlineStr">
        <is>
          <t>大阪府</t>
        </is>
      </c>
      <c r="G1622" t="inlineStr">
        <is>
          <t>保守サービス</t>
        </is>
      </c>
      <c r="H1622" t="inlineStr">
        <is>
          <t>オンサイト保守</t>
        </is>
      </c>
      <c r="I1622" s="4" t="n">
        <v>1</v>
      </c>
      <c r="J1622" s="4" t="n">
        <v>70000</v>
      </c>
      <c r="K1622" s="4">
        <f>I1622*J1622</f>
        <v/>
      </c>
      <c r="L1622" t="inlineStr"/>
    </row>
    <row r="1623">
      <c r="A1623" t="inlineStr">
        <is>
          <t>SR068</t>
        </is>
      </c>
      <c r="B1623" t="inlineStr">
        <is>
          <t>営業担当068</t>
        </is>
      </c>
      <c r="C1623" t="inlineStr">
        <is>
          <t>第3営業部</t>
        </is>
      </c>
      <c r="D1623" s="3" t="n">
        <v>45913</v>
      </c>
      <c r="E1623" t="inlineStr">
        <is>
          <t>大和精機有限会社</t>
        </is>
      </c>
      <c r="F1623" t="inlineStr">
        <is>
          <t>大阪府</t>
        </is>
      </c>
      <c r="G1623" t="inlineStr">
        <is>
          <t>保守サービス</t>
        </is>
      </c>
      <c r="H1623" t="inlineStr">
        <is>
          <t>ヘルプデスク契約</t>
        </is>
      </c>
      <c r="I1623" s="4" t="n">
        <v>3</v>
      </c>
      <c r="J1623" s="4" t="n">
        <v>79200</v>
      </c>
      <c r="K1623" s="4">
        <f>I1623*J1623</f>
        <v/>
      </c>
      <c r="L1623" t="inlineStr">
        <is>
          <t>キャンペーン適用</t>
        </is>
      </c>
    </row>
    <row r="1624">
      <c r="A1624" t="inlineStr">
        <is>
          <t>SR068</t>
        </is>
      </c>
      <c r="B1624" t="inlineStr">
        <is>
          <t>営業担当068</t>
        </is>
      </c>
      <c r="C1624" t="inlineStr">
        <is>
          <t>第3営業部</t>
        </is>
      </c>
      <c r="D1624" s="3" t="n">
        <v>45926</v>
      </c>
      <c r="E1624" t="inlineStr">
        <is>
          <t>みらい物流(株)</t>
        </is>
      </c>
      <c r="F1624" t="inlineStr">
        <is>
          <t>大阪府</t>
        </is>
      </c>
      <c r="G1624" t="inlineStr">
        <is>
          <t>導入支援</t>
        </is>
      </c>
      <c r="H1624" t="inlineStr">
        <is>
          <t>初期設定支援</t>
        </is>
      </c>
      <c r="I1624" s="4" t="n">
        <v>2</v>
      </c>
      <c r="J1624" s="4" t="n">
        <v>115300</v>
      </c>
      <c r="K1624" s="4">
        <f>I1624*J1624</f>
        <v/>
      </c>
      <c r="L1624" t="inlineStr"/>
    </row>
    <row r="1625">
      <c r="A1625" t="inlineStr">
        <is>
          <t>SR068</t>
        </is>
      </c>
      <c r="B1625" t="inlineStr">
        <is>
          <t>営業担当068</t>
        </is>
      </c>
      <c r="C1625" t="inlineStr">
        <is>
          <t>第3営業部</t>
        </is>
      </c>
      <c r="D1625" s="3" t="n">
        <v>45931</v>
      </c>
      <c r="E1625" t="inlineStr">
        <is>
          <t>西日本機工有限会社</t>
        </is>
      </c>
      <c r="F1625" t="inlineStr">
        <is>
          <t>神奈川県</t>
        </is>
      </c>
      <c r="G1625" t="inlineStr">
        <is>
          <t>ソフトウェア</t>
        </is>
      </c>
      <c r="H1625" t="inlineStr">
        <is>
          <t>AIチャットボット</t>
        </is>
      </c>
      <c r="I1625" s="4" t="n">
        <v>1</v>
      </c>
      <c r="J1625" s="4" t="n">
        <v>406900</v>
      </c>
      <c r="K1625" s="4">
        <f>I1625*J1625</f>
        <v/>
      </c>
      <c r="L1625" t="inlineStr">
        <is>
          <t>リピート受注</t>
        </is>
      </c>
    </row>
    <row r="1626">
      <c r="A1626" t="inlineStr">
        <is>
          <t>SR068</t>
        </is>
      </c>
      <c r="B1626" t="inlineStr">
        <is>
          <t>営業担当068</t>
        </is>
      </c>
      <c r="C1626" t="inlineStr">
        <is>
          <t>第3営業部</t>
        </is>
      </c>
      <c r="D1626" s="3" t="n">
        <v>45949</v>
      </c>
      <c r="E1626" t="inlineStr">
        <is>
          <t>大和精機(株)</t>
        </is>
      </c>
      <c r="F1626" t="inlineStr">
        <is>
          <t>広島県</t>
        </is>
      </c>
      <c r="G1626" t="inlineStr">
        <is>
          <t>ソフトウェア</t>
        </is>
      </c>
      <c r="H1626" t="inlineStr">
        <is>
          <t>AIチャットボット</t>
        </is>
      </c>
      <c r="I1626" s="4" t="n">
        <v>4</v>
      </c>
      <c r="J1626" s="4" t="n">
        <v>596000</v>
      </c>
      <c r="K1626" s="4">
        <f>I1626*J1626</f>
        <v/>
      </c>
      <c r="L1626" t="inlineStr"/>
    </row>
    <row r="1627">
      <c r="A1627" t="inlineStr">
        <is>
          <t>SR068</t>
        </is>
      </c>
      <c r="B1627" t="inlineStr">
        <is>
          <t>営業担当068</t>
        </is>
      </c>
      <c r="C1627" t="inlineStr">
        <is>
          <t>第3営業部</t>
        </is>
      </c>
      <c r="D1627" s="3" t="n">
        <v>45971</v>
      </c>
      <c r="E1627" t="inlineStr">
        <is>
          <t>アーク電機(株)</t>
        </is>
      </c>
      <c r="F1627" t="inlineStr">
        <is>
          <t>大阪府</t>
        </is>
      </c>
      <c r="G1627" t="inlineStr">
        <is>
          <t>消耗品</t>
        </is>
      </c>
      <c r="H1627" t="inlineStr">
        <is>
          <t>保守用バッテリー</t>
        </is>
      </c>
      <c r="I1627" s="4" t="n">
        <v>9</v>
      </c>
      <c r="J1627" s="4" t="n">
        <v>13430</v>
      </c>
      <c r="K1627" s="4">
        <f>I1627*J1627</f>
        <v/>
      </c>
      <c r="L1627" t="inlineStr">
        <is>
          <t>分納</t>
        </is>
      </c>
    </row>
    <row r="1628">
      <c r="A1628" t="inlineStr">
        <is>
          <t>SR068</t>
        </is>
      </c>
      <c r="B1628" t="inlineStr">
        <is>
          <t>営業担当068</t>
        </is>
      </c>
      <c r="C1628" t="inlineStr">
        <is>
          <t>第3営業部</t>
        </is>
      </c>
      <c r="D1628" s="3" t="n">
        <v>45971</v>
      </c>
      <c r="E1628" t="inlineStr">
        <is>
          <t>ライトホーム有限会社</t>
        </is>
      </c>
      <c r="F1628" t="inlineStr">
        <is>
          <t>京都府</t>
        </is>
      </c>
      <c r="G1628" t="inlineStr">
        <is>
          <t>ハードウェア</t>
        </is>
      </c>
      <c r="H1628" t="inlineStr">
        <is>
          <t>産業用タブレット</t>
        </is>
      </c>
      <c r="I1628" s="4" t="n">
        <v>3</v>
      </c>
      <c r="J1628" s="4" t="n">
        <v>126700</v>
      </c>
      <c r="K1628" s="4">
        <f>I1628*J1628</f>
        <v/>
      </c>
      <c r="L1628" t="inlineStr">
        <is>
          <t>分納</t>
        </is>
      </c>
    </row>
    <row r="1629">
      <c r="A1629" t="inlineStr">
        <is>
          <t>SR068</t>
        </is>
      </c>
      <c r="B1629" t="inlineStr">
        <is>
          <t>営業担当068</t>
        </is>
      </c>
      <c r="C1629" t="inlineStr">
        <is>
          <t>第3営業部</t>
        </is>
      </c>
      <c r="D1629" s="3" t="n">
        <v>45998</v>
      </c>
      <c r="E1629" t="inlineStr">
        <is>
          <t>アーク電機(株)</t>
        </is>
      </c>
      <c r="F1629" t="inlineStr">
        <is>
          <t>福岡県</t>
        </is>
      </c>
      <c r="G1629" t="inlineStr">
        <is>
          <t>保守サービス</t>
        </is>
      </c>
      <c r="H1629" t="inlineStr">
        <is>
          <t>ヘルプデスク契約</t>
        </is>
      </c>
      <c r="I1629" s="4" t="n">
        <v>1</v>
      </c>
      <c r="J1629" s="4" t="n">
        <v>97900</v>
      </c>
      <c r="K1629" s="4">
        <f>I1629*J1629</f>
        <v/>
      </c>
      <c r="L1629" t="inlineStr">
        <is>
          <t>キャンペーン適用</t>
        </is>
      </c>
    </row>
    <row r="1630">
      <c r="A1630" t="inlineStr">
        <is>
          <t>SR068</t>
        </is>
      </c>
      <c r="B1630" t="inlineStr">
        <is>
          <t>営業担当068</t>
        </is>
      </c>
      <c r="C1630" t="inlineStr">
        <is>
          <t>第3営業部</t>
        </is>
      </c>
      <c r="D1630" s="3" t="n">
        <v>46014</v>
      </c>
      <c r="E1630" t="inlineStr">
        <is>
          <t>オーシャン製作所有限会社</t>
        </is>
      </c>
      <c r="F1630" t="inlineStr">
        <is>
          <t>北海道</t>
        </is>
      </c>
      <c r="G1630" t="inlineStr">
        <is>
          <t>ソフトウェア</t>
        </is>
      </c>
      <c r="H1630" t="inlineStr">
        <is>
          <t>営業支援SaaS</t>
        </is>
      </c>
      <c r="I1630" s="4" t="n">
        <v>4</v>
      </c>
      <c r="J1630" s="4" t="n">
        <v>337700</v>
      </c>
      <c r="K1630" s="4">
        <f>I1630*J1630</f>
        <v/>
      </c>
      <c r="L1630" t="inlineStr">
        <is>
          <t>キャンペーン適用</t>
        </is>
      </c>
    </row>
    <row r="1631">
      <c r="A1631" t="inlineStr">
        <is>
          <t>SR068</t>
        </is>
      </c>
      <c r="B1631" t="inlineStr">
        <is>
          <t>営業担当068</t>
        </is>
      </c>
      <c r="C1631" t="inlineStr">
        <is>
          <t>第3営業部</t>
        </is>
      </c>
      <c r="D1631" s="3" t="n">
        <v>46028</v>
      </c>
      <c r="E1631" t="inlineStr">
        <is>
          <t>サンライズ建設(株)</t>
        </is>
      </c>
      <c r="F1631" t="inlineStr">
        <is>
          <t>東京都</t>
        </is>
      </c>
      <c r="G1631" t="inlineStr">
        <is>
          <t>導入支援</t>
        </is>
      </c>
      <c r="H1631" t="inlineStr">
        <is>
          <t>初期設定支援</t>
        </is>
      </c>
      <c r="I1631" s="4" t="n">
        <v>1</v>
      </c>
      <c r="J1631" s="4" t="n">
        <v>210100</v>
      </c>
      <c r="K1631" s="4">
        <f>I1631*J1631</f>
        <v/>
      </c>
      <c r="L1631" t="inlineStr">
        <is>
          <t>キャンペーン適用</t>
        </is>
      </c>
    </row>
    <row r="1632">
      <c r="A1632" t="inlineStr">
        <is>
          <t>SR068</t>
        </is>
      </c>
      <c r="B1632" t="inlineStr">
        <is>
          <t>営業担当068</t>
        </is>
      </c>
      <c r="C1632" t="inlineStr">
        <is>
          <t>第3営業部</t>
        </is>
      </c>
      <c r="D1632" s="3" t="n">
        <v>46050</v>
      </c>
      <c r="E1632" t="inlineStr">
        <is>
          <t>みらい物流株式会社</t>
        </is>
      </c>
      <c r="F1632" t="inlineStr">
        <is>
          <t>東京都</t>
        </is>
      </c>
      <c r="G1632" t="inlineStr">
        <is>
          <t>保守サービス</t>
        </is>
      </c>
      <c r="H1632" t="inlineStr">
        <is>
          <t>ヘルプデスク契約</t>
        </is>
      </c>
      <c r="I1632" s="4" t="n">
        <v>5</v>
      </c>
      <c r="J1632" s="4" t="n">
        <v>62400</v>
      </c>
      <c r="K1632" s="4">
        <f>I1632*J1632</f>
        <v/>
      </c>
      <c r="L1632" t="inlineStr">
        <is>
          <t>大型案件</t>
        </is>
      </c>
    </row>
    <row r="1633">
      <c r="A1633" t="inlineStr">
        <is>
          <t>SR068</t>
        </is>
      </c>
      <c r="B1633" t="inlineStr">
        <is>
          <t>営業担当068</t>
        </is>
      </c>
      <c r="C1633" t="inlineStr">
        <is>
          <t>第3営業部</t>
        </is>
      </c>
      <c r="D1633" s="3" t="n">
        <v>46070</v>
      </c>
      <c r="E1633" t="inlineStr">
        <is>
          <t>ライトホーム有限会社</t>
        </is>
      </c>
      <c r="F1633" t="inlineStr">
        <is>
          <t>広島県</t>
        </is>
      </c>
      <c r="G1633" t="inlineStr">
        <is>
          <t>導入支援</t>
        </is>
      </c>
      <c r="H1633" t="inlineStr">
        <is>
          <t>初期設定支援</t>
        </is>
      </c>
      <c r="I1633" s="4" t="n">
        <v>4</v>
      </c>
      <c r="J1633" s="4" t="n">
        <v>107600</v>
      </c>
      <c r="K1633" s="4">
        <f>I1633*J1633</f>
        <v/>
      </c>
      <c r="L1633" t="inlineStr"/>
    </row>
    <row r="1634">
      <c r="A1634" t="inlineStr">
        <is>
          <t>SR068</t>
        </is>
      </c>
      <c r="B1634" t="inlineStr">
        <is>
          <t>営業担当068</t>
        </is>
      </c>
      <c r="C1634" t="inlineStr">
        <is>
          <t>第3営業部</t>
        </is>
      </c>
      <c r="D1634" s="3" t="n">
        <v>46075</v>
      </c>
      <c r="E1634" t="inlineStr">
        <is>
          <t>グリーンテック(株)</t>
        </is>
      </c>
      <c r="F1634" t="inlineStr">
        <is>
          <t>神奈川県</t>
        </is>
      </c>
      <c r="G1634" t="inlineStr">
        <is>
          <t>導入支援</t>
        </is>
      </c>
      <c r="H1634" t="inlineStr">
        <is>
          <t>操作研修パック</t>
        </is>
      </c>
      <c r="I1634" s="4" t="n">
        <v>3</v>
      </c>
      <c r="J1634" s="4" t="n">
        <v>49800</v>
      </c>
      <c r="K1634" s="4">
        <f>I1634*J1634</f>
        <v/>
      </c>
      <c r="L1634" t="inlineStr">
        <is>
          <t>大型案件</t>
        </is>
      </c>
    </row>
    <row r="1635">
      <c r="A1635" t="inlineStr">
        <is>
          <t>SR068</t>
        </is>
      </c>
      <c r="B1635" t="inlineStr">
        <is>
          <t>営業担当068</t>
        </is>
      </c>
      <c r="C1635" t="inlineStr">
        <is>
          <t>第3営業部</t>
        </is>
      </c>
      <c r="D1635" s="3" t="n">
        <v>46085</v>
      </c>
      <c r="E1635" t="inlineStr">
        <is>
          <t>ネクストソリューション(株)</t>
        </is>
      </c>
      <c r="F1635" t="inlineStr">
        <is>
          <t>北海道</t>
        </is>
      </c>
      <c r="G1635" t="inlineStr">
        <is>
          <t>ソフトウェア</t>
        </is>
      </c>
      <c r="H1635" t="inlineStr">
        <is>
          <t>帳票自動化ツール</t>
        </is>
      </c>
      <c r="I1635" s="4" t="n">
        <v>3</v>
      </c>
      <c r="J1635" s="4" t="n">
        <v>324300</v>
      </c>
      <c r="K1635" s="4">
        <f>I1635*J1635</f>
        <v/>
      </c>
      <c r="L1635" t="inlineStr">
        <is>
          <t>新規開拓</t>
        </is>
      </c>
    </row>
    <row r="1636">
      <c r="A1636" t="inlineStr">
        <is>
          <t>SR068</t>
        </is>
      </c>
      <c r="B1636" t="inlineStr">
        <is>
          <t>営業担当068</t>
        </is>
      </c>
      <c r="C1636" t="inlineStr">
        <is>
          <t>第3営業部</t>
        </is>
      </c>
      <c r="D1636" s="3" t="n">
        <v>46089</v>
      </c>
      <c r="E1636" t="inlineStr">
        <is>
          <t>青葉商事有限会社</t>
        </is>
      </c>
      <c r="F1636" t="inlineStr">
        <is>
          <t>北海道</t>
        </is>
      </c>
      <c r="G1636" t="inlineStr">
        <is>
          <t>ハードウェア</t>
        </is>
      </c>
      <c r="H1636" t="inlineStr">
        <is>
          <t>産業用タブレット</t>
        </is>
      </c>
      <c r="I1636" s="4" t="n">
        <v>5</v>
      </c>
      <c r="J1636" s="4" t="n">
        <v>97400</v>
      </c>
      <c r="K1636" s="4">
        <f>I1636*J1636</f>
        <v/>
      </c>
      <c r="L1636" t="inlineStr">
        <is>
          <t>分納</t>
        </is>
      </c>
    </row>
    <row r="1637">
      <c r="A1637" t="inlineStr">
        <is>
          <t>SR069</t>
        </is>
      </c>
      <c r="B1637" t="inlineStr">
        <is>
          <t>営業担当069</t>
        </is>
      </c>
      <c r="C1637" t="inlineStr">
        <is>
          <t>パートナー営業部</t>
        </is>
      </c>
      <c r="D1637" s="3" t="n">
        <v>45761</v>
      </c>
      <c r="E1637" t="inlineStr">
        <is>
          <t>アーク電機株式会社</t>
        </is>
      </c>
      <c r="F1637" t="inlineStr">
        <is>
          <t>東京都</t>
        </is>
      </c>
      <c r="G1637" t="inlineStr">
        <is>
          <t>消耗品</t>
        </is>
      </c>
      <c r="H1637" t="inlineStr">
        <is>
          <t>ラベルロール</t>
        </is>
      </c>
      <c r="I1637" s="4" t="n">
        <v>3</v>
      </c>
      <c r="J1637" s="4" t="n">
        <v>12500</v>
      </c>
      <c r="K1637" s="4">
        <f>I1637*J1637</f>
        <v/>
      </c>
      <c r="L1637" t="inlineStr"/>
    </row>
    <row r="1638">
      <c r="A1638" t="inlineStr">
        <is>
          <t>SR069</t>
        </is>
      </c>
      <c r="B1638" t="inlineStr">
        <is>
          <t>営業担当069</t>
        </is>
      </c>
      <c r="C1638" t="inlineStr">
        <is>
          <t>パートナー営業部</t>
        </is>
      </c>
      <c r="D1638" s="3" t="n">
        <v>45766</v>
      </c>
      <c r="E1638" t="inlineStr">
        <is>
          <t>アーク電機有限会社</t>
        </is>
      </c>
      <c r="F1638" t="inlineStr">
        <is>
          <t>兵庫県</t>
        </is>
      </c>
      <c r="G1638" t="inlineStr">
        <is>
          <t>保守サービス</t>
        </is>
      </c>
      <c r="H1638" t="inlineStr">
        <is>
          <t>ヘルプデスク契約</t>
        </is>
      </c>
      <c r="I1638" s="4" t="n">
        <v>4</v>
      </c>
      <c r="J1638" s="4" t="n">
        <v>84700</v>
      </c>
      <c r="K1638" s="4">
        <f>I1638*J1638</f>
        <v/>
      </c>
      <c r="L1638" t="inlineStr">
        <is>
          <t>値引き調整あり</t>
        </is>
      </c>
    </row>
    <row r="1639">
      <c r="A1639" t="inlineStr">
        <is>
          <t>SR069</t>
        </is>
      </c>
      <c r="B1639" t="inlineStr">
        <is>
          <t>営業担当069</t>
        </is>
      </c>
      <c r="C1639" t="inlineStr">
        <is>
          <t>パートナー営業部</t>
        </is>
      </c>
      <c r="D1639" s="3" t="n">
        <v>45778</v>
      </c>
      <c r="E1639" t="inlineStr">
        <is>
          <t>オーシャン製作所(株)</t>
        </is>
      </c>
      <c r="F1639" t="inlineStr">
        <is>
          <t>北海道</t>
        </is>
      </c>
      <c r="G1639" t="inlineStr">
        <is>
          <t>保守サービス</t>
        </is>
      </c>
      <c r="H1639" t="inlineStr">
        <is>
          <t>オンサイト保守</t>
        </is>
      </c>
      <c r="I1639" s="4" t="n">
        <v>2</v>
      </c>
      <c r="J1639" s="4" t="n">
        <v>134600</v>
      </c>
      <c r="K1639" s="4">
        <f>I1639*J1639</f>
        <v/>
      </c>
      <c r="L1639" t="inlineStr">
        <is>
          <t>分納</t>
        </is>
      </c>
    </row>
    <row r="1640">
      <c r="A1640" t="inlineStr">
        <is>
          <t>SR069</t>
        </is>
      </c>
      <c r="B1640" t="inlineStr">
        <is>
          <t>営業担当069</t>
        </is>
      </c>
      <c r="C1640" t="inlineStr">
        <is>
          <t>パートナー営業部</t>
        </is>
      </c>
      <c r="D1640" s="3" t="n">
        <v>45797</v>
      </c>
      <c r="E1640" t="inlineStr">
        <is>
          <t>星和商会有限会社</t>
        </is>
      </c>
      <c r="F1640" t="inlineStr">
        <is>
          <t>宮城県</t>
        </is>
      </c>
      <c r="G1640" t="inlineStr">
        <is>
          <t>ソフトウェア</t>
        </is>
      </c>
      <c r="H1640" t="inlineStr">
        <is>
          <t>帳票自動化ツール</t>
        </is>
      </c>
      <c r="I1640" s="4" t="n">
        <v>5</v>
      </c>
      <c r="J1640" s="4" t="n">
        <v>252300</v>
      </c>
      <c r="K1640" s="4">
        <f>I1640*J1640</f>
        <v/>
      </c>
      <c r="L1640" t="inlineStr"/>
    </row>
    <row r="1641">
      <c r="A1641" t="inlineStr">
        <is>
          <t>SR069</t>
        </is>
      </c>
      <c r="B1641" t="inlineStr">
        <is>
          <t>営業担当069</t>
        </is>
      </c>
      <c r="C1641" t="inlineStr">
        <is>
          <t>パートナー営業部</t>
        </is>
      </c>
      <c r="D1641" s="3" t="n">
        <v>45815</v>
      </c>
      <c r="E1641" t="inlineStr">
        <is>
          <t>九州エナジー有限会社</t>
        </is>
      </c>
      <c r="F1641" t="inlineStr">
        <is>
          <t>福岡県</t>
        </is>
      </c>
      <c r="G1641" t="inlineStr">
        <is>
          <t>導入支援</t>
        </is>
      </c>
      <c r="H1641" t="inlineStr">
        <is>
          <t>データ移行支援</t>
        </is>
      </c>
      <c r="I1641" s="4" t="n">
        <v>4</v>
      </c>
      <c r="J1641" s="4" t="n">
        <v>93200</v>
      </c>
      <c r="K1641" s="4">
        <f>I1641*J1641</f>
        <v/>
      </c>
      <c r="L1641" t="inlineStr"/>
    </row>
    <row r="1642">
      <c r="A1642" t="inlineStr">
        <is>
          <t>SR069</t>
        </is>
      </c>
      <c r="B1642" t="inlineStr">
        <is>
          <t>営業担当069</t>
        </is>
      </c>
      <c r="C1642" t="inlineStr">
        <is>
          <t>パートナー営業部</t>
        </is>
      </c>
      <c r="D1642" s="3" t="n">
        <v>45827</v>
      </c>
      <c r="E1642" t="inlineStr">
        <is>
          <t>ネクストソリューション有限会社</t>
        </is>
      </c>
      <c r="F1642" t="inlineStr">
        <is>
          <t>大阪府</t>
        </is>
      </c>
      <c r="G1642" t="inlineStr">
        <is>
          <t>保守サービス</t>
        </is>
      </c>
      <c r="H1642" t="inlineStr">
        <is>
          <t>年間保守契約</t>
        </is>
      </c>
      <c r="I1642" s="4" t="n">
        <v>5</v>
      </c>
      <c r="J1642" s="4" t="n">
        <v>219400</v>
      </c>
      <c r="K1642" s="4">
        <f>I1642*J1642</f>
        <v/>
      </c>
      <c r="L1642" t="inlineStr">
        <is>
          <t>値引き調整あり</t>
        </is>
      </c>
    </row>
    <row r="1643">
      <c r="A1643" t="inlineStr">
        <is>
          <t>SR069</t>
        </is>
      </c>
      <c r="B1643" t="inlineStr">
        <is>
          <t>営業担当069</t>
        </is>
      </c>
      <c r="C1643" t="inlineStr">
        <is>
          <t>パートナー営業部</t>
        </is>
      </c>
      <c r="D1643" s="3" t="n">
        <v>45855</v>
      </c>
      <c r="E1643" t="inlineStr">
        <is>
          <t>東洋フーズ株式会社</t>
        </is>
      </c>
      <c r="F1643" t="inlineStr">
        <is>
          <t>広島県</t>
        </is>
      </c>
      <c r="G1643" t="inlineStr">
        <is>
          <t>保守サービス</t>
        </is>
      </c>
      <c r="H1643" t="inlineStr">
        <is>
          <t>ヘルプデスク契約</t>
        </is>
      </c>
      <c r="I1643" s="4" t="n">
        <v>2</v>
      </c>
      <c r="J1643" s="4" t="n">
        <v>53900</v>
      </c>
      <c r="K1643" s="4">
        <f>I1643*J1643</f>
        <v/>
      </c>
      <c r="L1643" t="inlineStr">
        <is>
          <t>分納</t>
        </is>
      </c>
    </row>
    <row r="1644">
      <c r="A1644" t="inlineStr">
        <is>
          <t>SR069</t>
        </is>
      </c>
      <c r="B1644" t="inlineStr">
        <is>
          <t>営業担当069</t>
        </is>
      </c>
      <c r="C1644" t="inlineStr">
        <is>
          <t>パートナー営業部</t>
        </is>
      </c>
      <c r="D1644" s="3" t="n">
        <v>45859</v>
      </c>
      <c r="E1644" t="inlineStr">
        <is>
          <t>ネクストソリューション有限会社</t>
        </is>
      </c>
      <c r="F1644" t="inlineStr">
        <is>
          <t>北海道</t>
        </is>
      </c>
      <c r="G1644" t="inlineStr">
        <is>
          <t>ソフトウェア</t>
        </is>
      </c>
      <c r="H1644" t="inlineStr">
        <is>
          <t>営業支援SaaS</t>
        </is>
      </c>
      <c r="I1644" s="4" t="n">
        <v>5</v>
      </c>
      <c r="J1644" s="4" t="n">
        <v>271200</v>
      </c>
      <c r="K1644" s="4">
        <f>I1644*J1644</f>
        <v/>
      </c>
      <c r="L1644" t="inlineStr">
        <is>
          <t>リピート受注</t>
        </is>
      </c>
    </row>
    <row r="1645">
      <c r="A1645" t="inlineStr">
        <is>
          <t>SR069</t>
        </is>
      </c>
      <c r="B1645" t="inlineStr">
        <is>
          <t>営業担当069</t>
        </is>
      </c>
      <c r="C1645" t="inlineStr">
        <is>
          <t>パートナー営業部</t>
        </is>
      </c>
      <c r="D1645" s="3" t="n">
        <v>45879</v>
      </c>
      <c r="E1645" t="inlineStr">
        <is>
          <t>オーシャン製作所(株)</t>
        </is>
      </c>
      <c r="F1645" t="inlineStr">
        <is>
          <t>広島県</t>
        </is>
      </c>
      <c r="G1645" t="inlineStr">
        <is>
          <t>ソフトウェア</t>
        </is>
      </c>
      <c r="H1645" t="inlineStr">
        <is>
          <t>営業支援SaaS</t>
        </is>
      </c>
      <c r="I1645" s="4" t="n">
        <v>5</v>
      </c>
      <c r="J1645" s="4" t="n">
        <v>359500</v>
      </c>
      <c r="K1645" s="4">
        <f>I1645*J1645</f>
        <v/>
      </c>
      <c r="L1645" t="inlineStr"/>
    </row>
    <row r="1646">
      <c r="A1646" t="inlineStr">
        <is>
          <t>SR069</t>
        </is>
      </c>
      <c r="B1646" t="inlineStr">
        <is>
          <t>営業担当069</t>
        </is>
      </c>
      <c r="C1646" t="inlineStr">
        <is>
          <t>パートナー営業部</t>
        </is>
      </c>
      <c r="D1646" s="3" t="n">
        <v>45892</v>
      </c>
      <c r="E1646" t="inlineStr">
        <is>
          <t>東洋フーズ(株)</t>
        </is>
      </c>
      <c r="F1646" t="inlineStr">
        <is>
          <t>福岡県</t>
        </is>
      </c>
      <c r="G1646" t="inlineStr">
        <is>
          <t>保守サービス</t>
        </is>
      </c>
      <c r="H1646" t="inlineStr">
        <is>
          <t>年間保守契約</t>
        </is>
      </c>
      <c r="I1646" s="4" t="n">
        <v>1</v>
      </c>
      <c r="J1646" s="4" t="n">
        <v>144700</v>
      </c>
      <c r="K1646" s="4">
        <f>I1646*J1646</f>
        <v/>
      </c>
      <c r="L1646" t="inlineStr">
        <is>
          <t>分納</t>
        </is>
      </c>
    </row>
    <row r="1647">
      <c r="A1647" t="inlineStr">
        <is>
          <t>SR069</t>
        </is>
      </c>
      <c r="B1647" t="inlineStr">
        <is>
          <t>営業担当069</t>
        </is>
      </c>
      <c r="C1647" t="inlineStr">
        <is>
          <t>パートナー営業部</t>
        </is>
      </c>
      <c r="D1647" s="3" t="n">
        <v>45915</v>
      </c>
      <c r="E1647" t="inlineStr">
        <is>
          <t>桜井メディカル有限会社</t>
        </is>
      </c>
      <c r="F1647" t="inlineStr">
        <is>
          <t>兵庫県</t>
        </is>
      </c>
      <c r="G1647" t="inlineStr">
        <is>
          <t>導入支援</t>
        </is>
      </c>
      <c r="H1647" t="inlineStr">
        <is>
          <t>初期設定支援</t>
        </is>
      </c>
      <c r="I1647" s="4" t="n">
        <v>2</v>
      </c>
      <c r="J1647" s="4" t="n">
        <v>144400</v>
      </c>
      <c r="K1647" s="4">
        <f>I1647*J1647</f>
        <v/>
      </c>
      <c r="L1647" t="inlineStr">
        <is>
          <t>値引き調整あり</t>
        </is>
      </c>
    </row>
    <row r="1648">
      <c r="A1648" t="inlineStr">
        <is>
          <t>SR069</t>
        </is>
      </c>
      <c r="B1648" t="inlineStr">
        <is>
          <t>営業担当069</t>
        </is>
      </c>
      <c r="C1648" t="inlineStr">
        <is>
          <t>パートナー営業部</t>
        </is>
      </c>
      <c r="D1648" s="3" t="n">
        <v>45920</v>
      </c>
      <c r="E1648" t="inlineStr">
        <is>
          <t>福岡流通有限会社</t>
        </is>
      </c>
      <c r="F1648" t="inlineStr">
        <is>
          <t>宮城県</t>
        </is>
      </c>
      <c r="G1648" t="inlineStr">
        <is>
          <t>導入支援</t>
        </is>
      </c>
      <c r="H1648" t="inlineStr">
        <is>
          <t>初期設定支援</t>
        </is>
      </c>
      <c r="I1648" s="4" t="n">
        <v>3</v>
      </c>
      <c r="J1648" s="4" t="n">
        <v>163900</v>
      </c>
      <c r="K1648" s="4">
        <f>I1648*J1648</f>
        <v/>
      </c>
      <c r="L1648" t="inlineStr">
        <is>
          <t>分納</t>
        </is>
      </c>
    </row>
    <row r="1649">
      <c r="A1649" t="inlineStr">
        <is>
          <t>SR069</t>
        </is>
      </c>
      <c r="B1649" t="inlineStr">
        <is>
          <t>営業担当069</t>
        </is>
      </c>
      <c r="C1649" t="inlineStr">
        <is>
          <t>パートナー営業部</t>
        </is>
      </c>
      <c r="D1649" s="3" t="n">
        <v>45938</v>
      </c>
      <c r="E1649" t="inlineStr">
        <is>
          <t>日新サービス有限会社</t>
        </is>
      </c>
      <c r="F1649" t="inlineStr">
        <is>
          <t>福岡県</t>
        </is>
      </c>
      <c r="G1649" t="inlineStr">
        <is>
          <t>導入支援</t>
        </is>
      </c>
      <c r="H1649" t="inlineStr">
        <is>
          <t>操作研修パック</t>
        </is>
      </c>
      <c r="I1649" s="4" t="n">
        <v>1</v>
      </c>
      <c r="J1649" s="4" t="n">
        <v>49800</v>
      </c>
      <c r="K1649" s="4">
        <f>I1649*J1649</f>
        <v/>
      </c>
      <c r="L1649" t="inlineStr">
        <is>
          <t>キャンペーン適用</t>
        </is>
      </c>
    </row>
    <row r="1650">
      <c r="A1650" t="inlineStr">
        <is>
          <t>SR069</t>
        </is>
      </c>
      <c r="B1650" t="inlineStr">
        <is>
          <t>営業担当069</t>
        </is>
      </c>
      <c r="C1650" t="inlineStr">
        <is>
          <t>パートナー営業部</t>
        </is>
      </c>
      <c r="D1650" s="3" t="n">
        <v>45951</v>
      </c>
      <c r="E1650" t="inlineStr">
        <is>
          <t>中央設備有限会社</t>
        </is>
      </c>
      <c r="F1650" t="inlineStr">
        <is>
          <t>北海道</t>
        </is>
      </c>
      <c r="G1650" t="inlineStr">
        <is>
          <t>ハードウェア</t>
        </is>
      </c>
      <c r="H1650" t="inlineStr">
        <is>
          <t>小型ハンディ端末</t>
        </is>
      </c>
      <c r="I1650" s="4" t="n">
        <v>4</v>
      </c>
      <c r="J1650" s="4" t="n">
        <v>52100</v>
      </c>
      <c r="K1650" s="4">
        <f>I1650*J1650</f>
        <v/>
      </c>
      <c r="L1650" t="inlineStr"/>
    </row>
    <row r="1651">
      <c r="A1651" t="inlineStr">
        <is>
          <t>SR069</t>
        </is>
      </c>
      <c r="B1651" t="inlineStr">
        <is>
          <t>営業担当069</t>
        </is>
      </c>
      <c r="C1651" t="inlineStr">
        <is>
          <t>パートナー営業部</t>
        </is>
      </c>
      <c r="D1651" s="3" t="n">
        <v>45968</v>
      </c>
      <c r="E1651" t="inlineStr">
        <is>
          <t>東洋フーズ株式会社</t>
        </is>
      </c>
      <c r="F1651" t="inlineStr">
        <is>
          <t>兵庫県</t>
        </is>
      </c>
      <c r="G1651" t="inlineStr">
        <is>
          <t>保守サービス</t>
        </is>
      </c>
      <c r="H1651" t="inlineStr">
        <is>
          <t>年間保守契約</t>
        </is>
      </c>
      <c r="I1651" s="4" t="n">
        <v>2</v>
      </c>
      <c r="J1651" s="4" t="n">
        <v>224200</v>
      </c>
      <c r="K1651" s="4">
        <f>I1651*J1651</f>
        <v/>
      </c>
      <c r="L1651" t="inlineStr">
        <is>
          <t>値引き調整あり</t>
        </is>
      </c>
    </row>
    <row r="1652">
      <c r="A1652" t="inlineStr">
        <is>
          <t>SR069</t>
        </is>
      </c>
      <c r="B1652" t="inlineStr">
        <is>
          <t>営業担当069</t>
        </is>
      </c>
      <c r="C1652" t="inlineStr">
        <is>
          <t>パートナー営業部</t>
        </is>
      </c>
      <c r="D1652" s="3" t="n">
        <v>45985</v>
      </c>
      <c r="E1652" t="inlineStr">
        <is>
          <t>北斗産業有限会社</t>
        </is>
      </c>
      <c r="F1652" t="inlineStr">
        <is>
          <t>宮城県</t>
        </is>
      </c>
      <c r="G1652" t="inlineStr">
        <is>
          <t>消耗品</t>
        </is>
      </c>
      <c r="H1652" t="inlineStr">
        <is>
          <t>保守用バッテリー</t>
        </is>
      </c>
      <c r="I1652" s="4" t="n">
        <v>14</v>
      </c>
      <c r="J1652" s="4" t="n">
        <v>13690</v>
      </c>
      <c r="K1652" s="4">
        <f>I1652*J1652</f>
        <v/>
      </c>
      <c r="L1652" t="inlineStr"/>
    </row>
    <row r="1653">
      <c r="A1653" t="inlineStr">
        <is>
          <t>SR069</t>
        </is>
      </c>
      <c r="B1653" t="inlineStr">
        <is>
          <t>営業担当069</t>
        </is>
      </c>
      <c r="C1653" t="inlineStr">
        <is>
          <t>パートナー営業部</t>
        </is>
      </c>
      <c r="D1653" s="3" t="n">
        <v>46005</v>
      </c>
      <c r="E1653" t="inlineStr">
        <is>
          <t>福岡流通株式会社</t>
        </is>
      </c>
      <c r="F1653" t="inlineStr">
        <is>
          <t>宮城県</t>
        </is>
      </c>
      <c r="G1653" t="inlineStr">
        <is>
          <t>消耗品</t>
        </is>
      </c>
      <c r="H1653" t="inlineStr">
        <is>
          <t>保守用バッテリー</t>
        </is>
      </c>
      <c r="I1653" s="4" t="n">
        <v>6</v>
      </c>
      <c r="J1653" s="4" t="n">
        <v>13230</v>
      </c>
      <c r="K1653" s="4">
        <f>I1653*J1653</f>
        <v/>
      </c>
      <c r="L1653" t="inlineStr"/>
    </row>
    <row r="1654">
      <c r="A1654" t="inlineStr">
        <is>
          <t>SR069</t>
        </is>
      </c>
      <c r="B1654" t="inlineStr">
        <is>
          <t>営業担当069</t>
        </is>
      </c>
      <c r="C1654" t="inlineStr">
        <is>
          <t>パートナー営業部</t>
        </is>
      </c>
      <c r="D1654" s="3" t="n">
        <v>46017</v>
      </c>
      <c r="E1654" t="inlineStr">
        <is>
          <t>アーク電機(株)</t>
        </is>
      </c>
      <c r="F1654" t="inlineStr">
        <is>
          <t>京都府</t>
        </is>
      </c>
      <c r="G1654" t="inlineStr">
        <is>
          <t>ソフトウェア</t>
        </is>
      </c>
      <c r="H1654" t="inlineStr">
        <is>
          <t>在庫管理クラウド</t>
        </is>
      </c>
      <c r="I1654" s="4" t="n">
        <v>4</v>
      </c>
      <c r="J1654" s="4" t="n">
        <v>376900</v>
      </c>
      <c r="K1654" s="4">
        <f>I1654*J1654</f>
        <v/>
      </c>
      <c r="L1654" t="inlineStr"/>
    </row>
    <row r="1655">
      <c r="A1655" t="inlineStr">
        <is>
          <t>SR069</t>
        </is>
      </c>
      <c r="B1655" t="inlineStr">
        <is>
          <t>営業担当069</t>
        </is>
      </c>
      <c r="C1655" t="inlineStr">
        <is>
          <t>パートナー営業部</t>
        </is>
      </c>
      <c r="D1655" s="3" t="n">
        <v>46032</v>
      </c>
      <c r="E1655" t="inlineStr">
        <is>
          <t>日新サービス有限会社</t>
        </is>
      </c>
      <c r="F1655" t="inlineStr">
        <is>
          <t>東京都</t>
        </is>
      </c>
      <c r="G1655" t="inlineStr">
        <is>
          <t>保守サービス</t>
        </is>
      </c>
      <c r="H1655" t="inlineStr">
        <is>
          <t>オンサイト保守</t>
        </is>
      </c>
      <c r="I1655" s="4" t="n">
        <v>5</v>
      </c>
      <c r="J1655" s="4" t="n">
        <v>168800</v>
      </c>
      <c r="K1655" s="4">
        <f>I1655*J1655</f>
        <v/>
      </c>
      <c r="L1655" t="inlineStr">
        <is>
          <t>分納</t>
        </is>
      </c>
    </row>
    <row r="1656">
      <c r="A1656" t="inlineStr">
        <is>
          <t>SR069</t>
        </is>
      </c>
      <c r="B1656" t="inlineStr">
        <is>
          <t>営業担当069</t>
        </is>
      </c>
      <c r="C1656" t="inlineStr">
        <is>
          <t>パートナー営業部</t>
        </is>
      </c>
      <c r="D1656" s="3" t="n">
        <v>46044</v>
      </c>
      <c r="E1656" t="inlineStr">
        <is>
          <t>オーシャン製作所有限会社</t>
        </is>
      </c>
      <c r="F1656" t="inlineStr">
        <is>
          <t>京都府</t>
        </is>
      </c>
      <c r="G1656" t="inlineStr">
        <is>
          <t>消耗品</t>
        </is>
      </c>
      <c r="H1656" t="inlineStr">
        <is>
          <t>保守用バッテリー</t>
        </is>
      </c>
      <c r="I1656" s="4" t="n">
        <v>4</v>
      </c>
      <c r="J1656" s="4" t="n">
        <v>14070</v>
      </c>
      <c r="K1656" s="4">
        <f>I1656*J1656</f>
        <v/>
      </c>
      <c r="L1656" t="inlineStr">
        <is>
          <t>分納</t>
        </is>
      </c>
    </row>
    <row r="1657">
      <c r="A1657" t="inlineStr">
        <is>
          <t>SR069</t>
        </is>
      </c>
      <c r="B1657" t="inlineStr">
        <is>
          <t>営業担当069</t>
        </is>
      </c>
      <c r="C1657" t="inlineStr">
        <is>
          <t>パートナー営業部</t>
        </is>
      </c>
      <c r="D1657" s="3" t="n">
        <v>46067</v>
      </c>
      <c r="E1657" t="inlineStr">
        <is>
          <t>中央設備株式会社</t>
        </is>
      </c>
      <c r="F1657" t="inlineStr">
        <is>
          <t>福岡県</t>
        </is>
      </c>
      <c r="G1657" t="inlineStr">
        <is>
          <t>保守サービス</t>
        </is>
      </c>
      <c r="H1657" t="inlineStr">
        <is>
          <t>ヘルプデスク契約</t>
        </is>
      </c>
      <c r="I1657" s="4" t="n">
        <v>1</v>
      </c>
      <c r="J1657" s="4" t="n">
        <v>109900</v>
      </c>
      <c r="K1657" s="4">
        <f>I1657*J1657</f>
        <v/>
      </c>
      <c r="L1657" t="inlineStr"/>
    </row>
    <row r="1658">
      <c r="A1658" t="inlineStr">
        <is>
          <t>SR069</t>
        </is>
      </c>
      <c r="B1658" t="inlineStr">
        <is>
          <t>営業担当069</t>
        </is>
      </c>
      <c r="C1658" t="inlineStr">
        <is>
          <t>パートナー営業部</t>
        </is>
      </c>
      <c r="D1658" s="3" t="n">
        <v>46078</v>
      </c>
      <c r="E1658" t="inlineStr">
        <is>
          <t>白峰化学(株)</t>
        </is>
      </c>
      <c r="F1658" t="inlineStr">
        <is>
          <t>広島県</t>
        </is>
      </c>
      <c r="G1658" t="inlineStr">
        <is>
          <t>ハードウェア</t>
        </is>
      </c>
      <c r="H1658" t="inlineStr">
        <is>
          <t>小型ハンディ端末</t>
        </is>
      </c>
      <c r="I1658" s="4" t="n">
        <v>4</v>
      </c>
      <c r="J1658" s="4" t="n">
        <v>74500</v>
      </c>
      <c r="K1658" s="4">
        <f>I1658*J1658</f>
        <v/>
      </c>
      <c r="L1658" t="inlineStr"/>
    </row>
    <row r="1659">
      <c r="A1659" t="inlineStr">
        <is>
          <t>SR069</t>
        </is>
      </c>
      <c r="B1659" t="inlineStr">
        <is>
          <t>営業担当069</t>
        </is>
      </c>
      <c r="C1659" t="inlineStr">
        <is>
          <t>パートナー営業部</t>
        </is>
      </c>
      <c r="D1659" s="3" t="n">
        <v>46093</v>
      </c>
      <c r="E1659" t="inlineStr">
        <is>
          <t>アーク電機有限会社</t>
        </is>
      </c>
      <c r="F1659" t="inlineStr">
        <is>
          <t>北海道</t>
        </is>
      </c>
      <c r="G1659" t="inlineStr">
        <is>
          <t>ハードウェア</t>
        </is>
      </c>
      <c r="H1659" t="inlineStr">
        <is>
          <t>小型ハンディ端末</t>
        </is>
      </c>
      <c r="I1659" s="4" t="n">
        <v>4</v>
      </c>
      <c r="J1659" s="4" t="n">
        <v>66500</v>
      </c>
      <c r="K1659" s="4">
        <f>I1659*J1659</f>
        <v/>
      </c>
      <c r="L1659" t="inlineStr">
        <is>
          <t>リピート受注</t>
        </is>
      </c>
    </row>
    <row r="1660">
      <c r="A1660" t="inlineStr">
        <is>
          <t>SR069</t>
        </is>
      </c>
      <c r="B1660" t="inlineStr">
        <is>
          <t>営業担当069</t>
        </is>
      </c>
      <c r="C1660" t="inlineStr">
        <is>
          <t>パートナー営業部</t>
        </is>
      </c>
      <c r="D1660" s="3" t="n">
        <v>46099</v>
      </c>
      <c r="E1660" t="inlineStr">
        <is>
          <t>オーシャン製作所(株)</t>
        </is>
      </c>
      <c r="F1660" t="inlineStr">
        <is>
          <t>福岡県</t>
        </is>
      </c>
      <c r="G1660" t="inlineStr">
        <is>
          <t>ソフトウェア</t>
        </is>
      </c>
      <c r="H1660" t="inlineStr">
        <is>
          <t>AIチャットボット</t>
        </is>
      </c>
      <c r="I1660" s="4" t="n">
        <v>5</v>
      </c>
      <c r="J1660" s="4" t="n">
        <v>785000</v>
      </c>
      <c r="K1660" s="4">
        <f>I1660*J1660</f>
        <v/>
      </c>
      <c r="L1660" t="inlineStr">
        <is>
          <t>キャンペーン適用</t>
        </is>
      </c>
    </row>
    <row r="1661">
      <c r="A1661" t="inlineStr">
        <is>
          <t>SR070</t>
        </is>
      </c>
      <c r="B1661" t="inlineStr">
        <is>
          <t>営業担当070</t>
        </is>
      </c>
      <c r="C1661" t="inlineStr">
        <is>
          <t>インサイドセールス部</t>
        </is>
      </c>
      <c r="D1661" s="3" t="n">
        <v>45751</v>
      </c>
      <c r="E1661" t="inlineStr">
        <is>
          <t>オーシャン製作所有限会社</t>
        </is>
      </c>
      <c r="F1661" t="inlineStr">
        <is>
          <t>大阪府</t>
        </is>
      </c>
      <c r="G1661" t="inlineStr">
        <is>
          <t>導入支援</t>
        </is>
      </c>
      <c r="H1661" t="inlineStr">
        <is>
          <t>操作研修パック</t>
        </is>
      </c>
      <c r="I1661" s="4" t="n">
        <v>4</v>
      </c>
      <c r="J1661" s="4" t="n">
        <v>80100</v>
      </c>
      <c r="K1661" s="4">
        <f>I1661*J1661</f>
        <v/>
      </c>
      <c r="L1661" t="inlineStr">
        <is>
          <t>リピート受注</t>
        </is>
      </c>
    </row>
    <row r="1662">
      <c r="A1662" t="inlineStr">
        <is>
          <t>SR070</t>
        </is>
      </c>
      <c r="B1662" t="inlineStr">
        <is>
          <t>営業担当070</t>
        </is>
      </c>
      <c r="C1662" t="inlineStr">
        <is>
          <t>インサイドセールス部</t>
        </is>
      </c>
      <c r="D1662" s="3" t="n">
        <v>45775</v>
      </c>
      <c r="E1662" t="inlineStr">
        <is>
          <t>みらい物流株式会社</t>
        </is>
      </c>
      <c r="F1662" t="inlineStr">
        <is>
          <t>広島県</t>
        </is>
      </c>
      <c r="G1662" t="inlineStr">
        <is>
          <t>消耗品</t>
        </is>
      </c>
      <c r="H1662" t="inlineStr">
        <is>
          <t>交換用ヘッド</t>
        </is>
      </c>
      <c r="I1662" s="4" t="n">
        <v>4</v>
      </c>
      <c r="J1662" s="4" t="n">
        <v>22020</v>
      </c>
      <c r="K1662" s="4">
        <f>I1662*J1662</f>
        <v/>
      </c>
      <c r="L1662" t="inlineStr">
        <is>
          <t>リピート受注</t>
        </is>
      </c>
    </row>
    <row r="1663">
      <c r="A1663" t="inlineStr">
        <is>
          <t>SR070</t>
        </is>
      </c>
      <c r="B1663" t="inlineStr">
        <is>
          <t>営業担当070</t>
        </is>
      </c>
      <c r="C1663" t="inlineStr">
        <is>
          <t>インサイドセールス部</t>
        </is>
      </c>
      <c r="D1663" s="3" t="n">
        <v>45788</v>
      </c>
      <c r="E1663" t="inlineStr">
        <is>
          <t>サンライズ建設有限会社</t>
        </is>
      </c>
      <c r="F1663" t="inlineStr">
        <is>
          <t>広島県</t>
        </is>
      </c>
      <c r="G1663" t="inlineStr">
        <is>
          <t>保守サービス</t>
        </is>
      </c>
      <c r="H1663" t="inlineStr">
        <is>
          <t>オンサイト保守</t>
        </is>
      </c>
      <c r="I1663" s="4" t="n">
        <v>3</v>
      </c>
      <c r="J1663" s="4" t="n">
        <v>156300</v>
      </c>
      <c r="K1663" s="4">
        <f>I1663*J1663</f>
        <v/>
      </c>
      <c r="L1663" t="inlineStr">
        <is>
          <t>リピート受注</t>
        </is>
      </c>
    </row>
    <row r="1664">
      <c r="A1664" t="inlineStr">
        <is>
          <t>SR070</t>
        </is>
      </c>
      <c r="B1664" t="inlineStr">
        <is>
          <t>営業担当070</t>
        </is>
      </c>
      <c r="C1664" t="inlineStr">
        <is>
          <t>インサイドセールス部</t>
        </is>
      </c>
      <c r="D1664" s="3" t="n">
        <v>45803</v>
      </c>
      <c r="E1664" t="inlineStr">
        <is>
          <t>西日本機工有限会社</t>
        </is>
      </c>
      <c r="F1664" t="inlineStr">
        <is>
          <t>愛知県</t>
        </is>
      </c>
      <c r="G1664" t="inlineStr">
        <is>
          <t>ハードウェア</t>
        </is>
      </c>
      <c r="H1664" t="inlineStr">
        <is>
          <t>ネットワークカメラ</t>
        </is>
      </c>
      <c r="I1664" s="4" t="n">
        <v>2</v>
      </c>
      <c r="J1664" s="4" t="n">
        <v>28100</v>
      </c>
      <c r="K1664" s="4">
        <f>I1664*J1664</f>
        <v/>
      </c>
      <c r="L1664" t="inlineStr">
        <is>
          <t>リピート受注</t>
        </is>
      </c>
    </row>
    <row r="1665">
      <c r="A1665" t="inlineStr">
        <is>
          <t>SR070</t>
        </is>
      </c>
      <c r="B1665" t="inlineStr">
        <is>
          <t>営業担当070</t>
        </is>
      </c>
      <c r="C1665" t="inlineStr">
        <is>
          <t>インサイドセールス部</t>
        </is>
      </c>
      <c r="D1665" s="3" t="n">
        <v>45826</v>
      </c>
      <c r="E1665" t="inlineStr">
        <is>
          <t>未来通信株式会社</t>
        </is>
      </c>
      <c r="F1665" t="inlineStr">
        <is>
          <t>愛知県</t>
        </is>
      </c>
      <c r="G1665" t="inlineStr">
        <is>
          <t>ソフトウェア</t>
        </is>
      </c>
      <c r="H1665" t="inlineStr">
        <is>
          <t>営業支援SaaS</t>
        </is>
      </c>
      <c r="I1665" s="4" t="n">
        <v>5</v>
      </c>
      <c r="J1665" s="4" t="n">
        <v>244000</v>
      </c>
      <c r="K1665" s="4">
        <f>I1665*J1665</f>
        <v/>
      </c>
      <c r="L1665" t="inlineStr"/>
    </row>
    <row r="1666">
      <c r="A1666" t="inlineStr">
        <is>
          <t>SR070</t>
        </is>
      </c>
      <c r="B1666" t="inlineStr">
        <is>
          <t>営業担当070</t>
        </is>
      </c>
      <c r="C1666" t="inlineStr">
        <is>
          <t>インサイドセールス部</t>
        </is>
      </c>
      <c r="D1666" s="3" t="n">
        <v>45828</v>
      </c>
      <c r="E1666" t="inlineStr">
        <is>
          <t>北斗産業株式会社</t>
        </is>
      </c>
      <c r="F1666" t="inlineStr">
        <is>
          <t>福岡県</t>
        </is>
      </c>
      <c r="G1666" t="inlineStr">
        <is>
          <t>消耗品</t>
        </is>
      </c>
      <c r="H1666" t="inlineStr">
        <is>
          <t>保守用バッテリー</t>
        </is>
      </c>
      <c r="I1666" s="4" t="n">
        <v>1</v>
      </c>
      <c r="J1666" s="4" t="n">
        <v>10320</v>
      </c>
      <c r="K1666" s="4">
        <f>I1666*J1666</f>
        <v/>
      </c>
      <c r="L1666" t="inlineStr">
        <is>
          <t>新規開拓</t>
        </is>
      </c>
    </row>
    <row r="1667">
      <c r="A1667" t="inlineStr">
        <is>
          <t>SR070</t>
        </is>
      </c>
      <c r="B1667" t="inlineStr">
        <is>
          <t>営業担当070</t>
        </is>
      </c>
      <c r="C1667" t="inlineStr">
        <is>
          <t>インサイドセールス部</t>
        </is>
      </c>
      <c r="D1667" s="3" t="n">
        <v>45845</v>
      </c>
      <c r="E1667" t="inlineStr">
        <is>
          <t>桜井メディカル株式会社</t>
        </is>
      </c>
      <c r="F1667" t="inlineStr">
        <is>
          <t>兵庫県</t>
        </is>
      </c>
      <c r="G1667" t="inlineStr">
        <is>
          <t>消耗品</t>
        </is>
      </c>
      <c r="H1667" t="inlineStr">
        <is>
          <t>保守用バッテリー</t>
        </is>
      </c>
      <c r="I1667" s="4" t="n">
        <v>8</v>
      </c>
      <c r="J1667" s="4" t="n">
        <v>7810</v>
      </c>
      <c r="K1667" s="4">
        <f>I1667*J1667</f>
        <v/>
      </c>
      <c r="L1667" t="inlineStr">
        <is>
          <t>値引き調整あり</t>
        </is>
      </c>
    </row>
    <row r="1668">
      <c r="A1668" t="inlineStr">
        <is>
          <t>SR070</t>
        </is>
      </c>
      <c r="B1668" t="inlineStr">
        <is>
          <t>営業担当070</t>
        </is>
      </c>
      <c r="C1668" t="inlineStr">
        <is>
          <t>インサイドセールス部</t>
        </is>
      </c>
      <c r="D1668" s="3" t="n">
        <v>45857</v>
      </c>
      <c r="E1668" t="inlineStr">
        <is>
          <t>福岡流通有限会社</t>
        </is>
      </c>
      <c r="F1668" t="inlineStr">
        <is>
          <t>神奈川県</t>
        </is>
      </c>
      <c r="G1668" t="inlineStr">
        <is>
          <t>保守サービス</t>
        </is>
      </c>
      <c r="H1668" t="inlineStr">
        <is>
          <t>ヘルプデスク契約</t>
        </is>
      </c>
      <c r="I1668" s="4" t="n">
        <v>2</v>
      </c>
      <c r="J1668" s="4" t="n">
        <v>94100</v>
      </c>
      <c r="K1668" s="4">
        <f>I1668*J1668</f>
        <v/>
      </c>
      <c r="L1668" t="inlineStr">
        <is>
          <t>リピート受注</t>
        </is>
      </c>
    </row>
    <row r="1669">
      <c r="A1669" t="inlineStr">
        <is>
          <t>SR070</t>
        </is>
      </c>
      <c r="B1669" t="inlineStr">
        <is>
          <t>営業担当070</t>
        </is>
      </c>
      <c r="C1669" t="inlineStr">
        <is>
          <t>インサイドセールス部</t>
        </is>
      </c>
      <c r="D1669" s="3" t="n">
        <v>45885</v>
      </c>
      <c r="E1669" t="inlineStr">
        <is>
          <t>白峰化学有限会社</t>
        </is>
      </c>
      <c r="F1669" t="inlineStr">
        <is>
          <t>神奈川県</t>
        </is>
      </c>
      <c r="G1669" t="inlineStr">
        <is>
          <t>ハードウェア</t>
        </is>
      </c>
      <c r="H1669" t="inlineStr">
        <is>
          <t>小型ハンディ端末</t>
        </is>
      </c>
      <c r="I1669" s="4" t="n">
        <v>2</v>
      </c>
      <c r="J1669" s="4" t="n">
        <v>74900</v>
      </c>
      <c r="K1669" s="4">
        <f>I1669*J1669</f>
        <v/>
      </c>
      <c r="L1669" t="inlineStr">
        <is>
          <t>キャンペーン適用</t>
        </is>
      </c>
    </row>
    <row r="1670">
      <c r="A1670" t="inlineStr">
        <is>
          <t>SR070</t>
        </is>
      </c>
      <c r="B1670" t="inlineStr">
        <is>
          <t>営業担当070</t>
        </is>
      </c>
      <c r="C1670" t="inlineStr">
        <is>
          <t>インサイドセールス部</t>
        </is>
      </c>
      <c r="D1670" s="3" t="n">
        <v>45895</v>
      </c>
      <c r="E1670" t="inlineStr">
        <is>
          <t>北斗産業(株)</t>
        </is>
      </c>
      <c r="F1670" t="inlineStr">
        <is>
          <t>大阪府</t>
        </is>
      </c>
      <c r="G1670" t="inlineStr">
        <is>
          <t>ハードウェア</t>
        </is>
      </c>
      <c r="H1670" t="inlineStr">
        <is>
          <t>ネットワークカメラ</t>
        </is>
      </c>
      <c r="I1670" s="4" t="n">
        <v>1</v>
      </c>
      <c r="J1670" s="4" t="n">
        <v>69200</v>
      </c>
      <c r="K1670" s="4">
        <f>I1670*J1670</f>
        <v/>
      </c>
      <c r="L1670" t="inlineStr"/>
    </row>
    <row r="1671">
      <c r="A1671" t="inlineStr">
        <is>
          <t>SR070</t>
        </is>
      </c>
      <c r="B1671" t="inlineStr">
        <is>
          <t>営業担当070</t>
        </is>
      </c>
      <c r="C1671" t="inlineStr">
        <is>
          <t>インサイドセールス部</t>
        </is>
      </c>
      <c r="D1671" s="3" t="n">
        <v>45909</v>
      </c>
      <c r="E1671" t="inlineStr">
        <is>
          <t>桜井メディカル株式会社</t>
        </is>
      </c>
      <c r="F1671" t="inlineStr">
        <is>
          <t>愛知県</t>
        </is>
      </c>
      <c r="G1671" t="inlineStr">
        <is>
          <t>消耗品</t>
        </is>
      </c>
      <c r="H1671" t="inlineStr">
        <is>
          <t>保守用バッテリー</t>
        </is>
      </c>
      <c r="I1671" s="4" t="n">
        <v>3</v>
      </c>
      <c r="J1671" s="4" t="n">
        <v>17760</v>
      </c>
      <c r="K1671" s="4">
        <f>I1671*J1671</f>
        <v/>
      </c>
      <c r="L1671" t="inlineStr"/>
    </row>
    <row r="1672">
      <c r="A1672" t="inlineStr">
        <is>
          <t>SR070</t>
        </is>
      </c>
      <c r="B1672" t="inlineStr">
        <is>
          <t>営業担当070</t>
        </is>
      </c>
      <c r="C1672" t="inlineStr">
        <is>
          <t>インサイドセールス部</t>
        </is>
      </c>
      <c r="D1672" s="3" t="n">
        <v>45916</v>
      </c>
      <c r="E1672" t="inlineStr">
        <is>
          <t>東洋フーズ株式会社</t>
        </is>
      </c>
      <c r="F1672" t="inlineStr">
        <is>
          <t>京都府</t>
        </is>
      </c>
      <c r="G1672" t="inlineStr">
        <is>
          <t>消耗品</t>
        </is>
      </c>
      <c r="H1672" t="inlineStr">
        <is>
          <t>ラベルロール</t>
        </is>
      </c>
      <c r="I1672" s="4" t="n">
        <v>10</v>
      </c>
      <c r="J1672" s="4" t="n">
        <v>12170</v>
      </c>
      <c r="K1672" s="4">
        <f>I1672*J1672</f>
        <v/>
      </c>
      <c r="L1672" t="inlineStr">
        <is>
          <t>リピート受注</t>
        </is>
      </c>
    </row>
    <row r="1673">
      <c r="A1673" t="inlineStr">
        <is>
          <t>SR070</t>
        </is>
      </c>
      <c r="B1673" t="inlineStr">
        <is>
          <t>営業担当070</t>
        </is>
      </c>
      <c r="C1673" t="inlineStr">
        <is>
          <t>インサイドセールス部</t>
        </is>
      </c>
      <c r="D1673" s="3" t="n">
        <v>45939</v>
      </c>
      <c r="E1673" t="inlineStr">
        <is>
          <t>福岡流通有限会社</t>
        </is>
      </c>
      <c r="F1673" t="inlineStr">
        <is>
          <t>京都府</t>
        </is>
      </c>
      <c r="G1673" t="inlineStr">
        <is>
          <t>消耗品</t>
        </is>
      </c>
      <c r="H1673" t="inlineStr">
        <is>
          <t>保守用バッテリー</t>
        </is>
      </c>
      <c r="I1673" s="4" t="n">
        <v>8</v>
      </c>
      <c r="J1673" s="4" t="n">
        <v>18460</v>
      </c>
      <c r="K1673" s="4">
        <f>I1673*J1673</f>
        <v/>
      </c>
      <c r="L1673" t="inlineStr"/>
    </row>
    <row r="1674">
      <c r="A1674" t="inlineStr">
        <is>
          <t>SR070</t>
        </is>
      </c>
      <c r="B1674" t="inlineStr">
        <is>
          <t>営業担当070</t>
        </is>
      </c>
      <c r="C1674" t="inlineStr">
        <is>
          <t>インサイドセールス部</t>
        </is>
      </c>
      <c r="D1674" s="3" t="n">
        <v>45949</v>
      </c>
      <c r="E1674" t="inlineStr">
        <is>
          <t>青葉商事有限会社</t>
        </is>
      </c>
      <c r="F1674" t="inlineStr">
        <is>
          <t>宮城県</t>
        </is>
      </c>
      <c r="G1674" t="inlineStr">
        <is>
          <t>ソフトウェア</t>
        </is>
      </c>
      <c r="H1674" t="inlineStr">
        <is>
          <t>AIチャットボット</t>
        </is>
      </c>
      <c r="I1674" s="4" t="n">
        <v>2</v>
      </c>
      <c r="J1674" s="4" t="n">
        <v>732400</v>
      </c>
      <c r="K1674" s="4">
        <f>I1674*J1674</f>
        <v/>
      </c>
      <c r="L1674" t="inlineStr">
        <is>
          <t>分納</t>
        </is>
      </c>
    </row>
    <row r="1675">
      <c r="A1675" t="inlineStr">
        <is>
          <t>SR070</t>
        </is>
      </c>
      <c r="B1675" t="inlineStr">
        <is>
          <t>営業担当070</t>
        </is>
      </c>
      <c r="C1675" t="inlineStr">
        <is>
          <t>インサイドセールス部</t>
        </is>
      </c>
      <c r="D1675" s="3" t="n">
        <v>45962</v>
      </c>
      <c r="E1675" t="inlineStr">
        <is>
          <t>未来通信(株)</t>
        </is>
      </c>
      <c r="F1675" t="inlineStr">
        <is>
          <t>兵庫県</t>
        </is>
      </c>
      <c r="G1675" t="inlineStr">
        <is>
          <t>保守サービス</t>
        </is>
      </c>
      <c r="H1675" t="inlineStr">
        <is>
          <t>オンサイト保守</t>
        </is>
      </c>
      <c r="I1675" s="4" t="n">
        <v>2</v>
      </c>
      <c r="J1675" s="4" t="n">
        <v>107300</v>
      </c>
      <c r="K1675" s="4">
        <f>I1675*J1675</f>
        <v/>
      </c>
      <c r="L1675" t="inlineStr">
        <is>
          <t>値引き調整あり</t>
        </is>
      </c>
    </row>
    <row r="1676">
      <c r="A1676" t="inlineStr">
        <is>
          <t>SR070</t>
        </is>
      </c>
      <c r="B1676" t="inlineStr">
        <is>
          <t>営業担当070</t>
        </is>
      </c>
      <c r="C1676" t="inlineStr">
        <is>
          <t>インサイドセールス部</t>
        </is>
      </c>
      <c r="D1676" s="3" t="n">
        <v>45973</v>
      </c>
      <c r="E1676" t="inlineStr">
        <is>
          <t>グリーンテック有限会社</t>
        </is>
      </c>
      <c r="F1676" t="inlineStr">
        <is>
          <t>京都府</t>
        </is>
      </c>
      <c r="G1676" t="inlineStr">
        <is>
          <t>保守サービス</t>
        </is>
      </c>
      <c r="H1676" t="inlineStr">
        <is>
          <t>ヘルプデスク契約</t>
        </is>
      </c>
      <c r="I1676" s="4" t="n">
        <v>3</v>
      </c>
      <c r="J1676" s="4" t="n">
        <v>74700</v>
      </c>
      <c r="K1676" s="4">
        <f>I1676*J1676</f>
        <v/>
      </c>
      <c r="L1676" t="inlineStr">
        <is>
          <t>分納</t>
        </is>
      </c>
    </row>
    <row r="1677">
      <c r="A1677" t="inlineStr">
        <is>
          <t>SR070</t>
        </is>
      </c>
      <c r="B1677" t="inlineStr">
        <is>
          <t>営業担当070</t>
        </is>
      </c>
      <c r="C1677" t="inlineStr">
        <is>
          <t>インサイドセールス部</t>
        </is>
      </c>
      <c r="D1677" s="3" t="n">
        <v>46007</v>
      </c>
      <c r="E1677" t="inlineStr">
        <is>
          <t>大和精機(株)</t>
        </is>
      </c>
      <c r="F1677" t="inlineStr">
        <is>
          <t>神奈川県</t>
        </is>
      </c>
      <c r="G1677" t="inlineStr">
        <is>
          <t>保守サービス</t>
        </is>
      </c>
      <c r="H1677" t="inlineStr">
        <is>
          <t>ヘルプデスク契約</t>
        </is>
      </c>
      <c r="I1677" s="4" t="n">
        <v>2</v>
      </c>
      <c r="J1677" s="4" t="n">
        <v>70900</v>
      </c>
      <c r="K1677" s="4">
        <f>I1677*J1677</f>
        <v/>
      </c>
      <c r="L1677" t="inlineStr">
        <is>
          <t>リピート受注</t>
        </is>
      </c>
    </row>
    <row r="1678">
      <c r="A1678" t="inlineStr">
        <is>
          <t>SR070</t>
        </is>
      </c>
      <c r="B1678" t="inlineStr">
        <is>
          <t>営業担当070</t>
        </is>
      </c>
      <c r="C1678" t="inlineStr">
        <is>
          <t>インサイドセールス部</t>
        </is>
      </c>
      <c r="D1678" s="3" t="n">
        <v>46012</v>
      </c>
      <c r="E1678" t="inlineStr">
        <is>
          <t>西日本機工有限会社</t>
        </is>
      </c>
      <c r="F1678" t="inlineStr">
        <is>
          <t>広島県</t>
        </is>
      </c>
      <c r="G1678" t="inlineStr">
        <is>
          <t>ハードウェア</t>
        </is>
      </c>
      <c r="H1678" t="inlineStr">
        <is>
          <t>ネットワークカメラ</t>
        </is>
      </c>
      <c r="I1678" s="4" t="n">
        <v>4</v>
      </c>
      <c r="J1678" s="4" t="n">
        <v>25400</v>
      </c>
      <c r="K1678" s="4">
        <f>I1678*J1678</f>
        <v/>
      </c>
      <c r="L1678" t="inlineStr"/>
    </row>
    <row r="1679">
      <c r="A1679" t="inlineStr">
        <is>
          <t>SR070</t>
        </is>
      </c>
      <c r="B1679" t="inlineStr">
        <is>
          <t>営業担当070</t>
        </is>
      </c>
      <c r="C1679" t="inlineStr">
        <is>
          <t>インサイドセールス部</t>
        </is>
      </c>
      <c r="D1679" s="3" t="n">
        <v>46033</v>
      </c>
      <c r="E1679" t="inlineStr">
        <is>
          <t>桜井メディカル(株)</t>
        </is>
      </c>
      <c r="F1679" t="inlineStr">
        <is>
          <t>愛知県</t>
        </is>
      </c>
      <c r="G1679" t="inlineStr">
        <is>
          <t>ハードウェア</t>
        </is>
      </c>
      <c r="H1679" t="inlineStr">
        <is>
          <t>小型ハンディ端末</t>
        </is>
      </c>
      <c r="I1679" s="4" t="n">
        <v>3</v>
      </c>
      <c r="J1679" s="4" t="n">
        <v>57200</v>
      </c>
      <c r="K1679" s="4">
        <f>I1679*J1679</f>
        <v/>
      </c>
      <c r="L1679" t="inlineStr">
        <is>
          <t>大型案件</t>
        </is>
      </c>
    </row>
    <row r="1680">
      <c r="A1680" t="inlineStr">
        <is>
          <t>SR070</t>
        </is>
      </c>
      <c r="B1680" t="inlineStr">
        <is>
          <t>営業担当070</t>
        </is>
      </c>
      <c r="C1680" t="inlineStr">
        <is>
          <t>インサイドセールス部</t>
        </is>
      </c>
      <c r="D1680" s="3" t="n">
        <v>46044</v>
      </c>
      <c r="E1680" t="inlineStr">
        <is>
          <t>九州エナジー有限会社</t>
        </is>
      </c>
      <c r="F1680" t="inlineStr">
        <is>
          <t>神奈川県</t>
        </is>
      </c>
      <c r="G1680" t="inlineStr">
        <is>
          <t>導入支援</t>
        </is>
      </c>
      <c r="H1680" t="inlineStr">
        <is>
          <t>初期設定支援</t>
        </is>
      </c>
      <c r="I1680" s="4" t="n">
        <v>2</v>
      </c>
      <c r="J1680" s="4" t="n">
        <v>149800</v>
      </c>
      <c r="K1680" s="4">
        <f>I1680*J1680</f>
        <v/>
      </c>
      <c r="L1680" t="inlineStr"/>
    </row>
    <row r="1681">
      <c r="A1681" t="inlineStr">
        <is>
          <t>SR070</t>
        </is>
      </c>
      <c r="B1681" t="inlineStr">
        <is>
          <t>営業担当070</t>
        </is>
      </c>
      <c r="C1681" t="inlineStr">
        <is>
          <t>インサイドセールス部</t>
        </is>
      </c>
      <c r="D1681" s="3" t="n">
        <v>46064</v>
      </c>
      <c r="E1681" t="inlineStr">
        <is>
          <t>大和精機(株)</t>
        </is>
      </c>
      <c r="F1681" t="inlineStr">
        <is>
          <t>広島県</t>
        </is>
      </c>
      <c r="G1681" t="inlineStr">
        <is>
          <t>ハードウェア</t>
        </is>
      </c>
      <c r="H1681" t="inlineStr">
        <is>
          <t>小型ハンディ端末</t>
        </is>
      </c>
      <c r="I1681" s="4" t="n">
        <v>1</v>
      </c>
      <c r="J1681" s="4" t="n">
        <v>89200</v>
      </c>
      <c r="K1681" s="4">
        <f>I1681*J1681</f>
        <v/>
      </c>
      <c r="L1681" t="inlineStr">
        <is>
          <t>リピート受注</t>
        </is>
      </c>
    </row>
    <row r="1682">
      <c r="A1682" t="inlineStr">
        <is>
          <t>SR070</t>
        </is>
      </c>
      <c r="B1682" t="inlineStr">
        <is>
          <t>営業担当070</t>
        </is>
      </c>
      <c r="C1682" t="inlineStr">
        <is>
          <t>インサイドセールス部</t>
        </is>
      </c>
      <c r="D1682" s="3" t="n">
        <v>46065</v>
      </c>
      <c r="E1682" t="inlineStr">
        <is>
          <t>ネクストソリューション(株)</t>
        </is>
      </c>
      <c r="F1682" t="inlineStr">
        <is>
          <t>兵庫県</t>
        </is>
      </c>
      <c r="G1682" t="inlineStr">
        <is>
          <t>ソフトウェア</t>
        </is>
      </c>
      <c r="H1682" t="inlineStr">
        <is>
          <t>営業支援SaaS</t>
        </is>
      </c>
      <c r="I1682" s="4" t="n">
        <v>2</v>
      </c>
      <c r="J1682" s="4" t="n">
        <v>268900</v>
      </c>
      <c r="K1682" s="4">
        <f>I1682*J1682</f>
        <v/>
      </c>
      <c r="L1682" t="inlineStr"/>
    </row>
    <row r="1683">
      <c r="A1683" t="inlineStr">
        <is>
          <t>SR070</t>
        </is>
      </c>
      <c r="B1683" t="inlineStr">
        <is>
          <t>営業担当070</t>
        </is>
      </c>
      <c r="C1683" t="inlineStr">
        <is>
          <t>インサイドセールス部</t>
        </is>
      </c>
      <c r="D1683" s="3" t="n">
        <v>46085</v>
      </c>
      <c r="E1683" t="inlineStr">
        <is>
          <t>白峰化学(株)</t>
        </is>
      </c>
      <c r="F1683" t="inlineStr">
        <is>
          <t>京都府</t>
        </is>
      </c>
      <c r="G1683" t="inlineStr">
        <is>
          <t>ハードウェア</t>
        </is>
      </c>
      <c r="H1683" t="inlineStr">
        <is>
          <t>小型ハンディ端末</t>
        </is>
      </c>
      <c r="I1683" s="4" t="n">
        <v>1</v>
      </c>
      <c r="J1683" s="4" t="n">
        <v>68700</v>
      </c>
      <c r="K1683" s="4">
        <f>I1683*J1683</f>
        <v/>
      </c>
      <c r="L1683" t="inlineStr">
        <is>
          <t>大型案件</t>
        </is>
      </c>
    </row>
    <row r="1684">
      <c r="A1684" t="inlineStr">
        <is>
          <t>SR070</t>
        </is>
      </c>
      <c r="B1684" t="inlineStr">
        <is>
          <t>営業担当070</t>
        </is>
      </c>
      <c r="C1684" t="inlineStr">
        <is>
          <t>インサイドセールス部</t>
        </is>
      </c>
      <c r="D1684" s="3" t="n">
        <v>46094</v>
      </c>
      <c r="E1684" t="inlineStr">
        <is>
          <t>中央設備(株)</t>
        </is>
      </c>
      <c r="F1684" t="inlineStr">
        <is>
          <t>京都府</t>
        </is>
      </c>
      <c r="G1684" t="inlineStr">
        <is>
          <t>ソフトウェア</t>
        </is>
      </c>
      <c r="H1684" t="inlineStr">
        <is>
          <t>帳票自動化ツール</t>
        </is>
      </c>
      <c r="I1684" s="4" t="n">
        <v>5</v>
      </c>
      <c r="J1684" s="4" t="n">
        <v>369000</v>
      </c>
      <c r="K1684" s="4">
        <f>I1684*J1684</f>
        <v/>
      </c>
      <c r="L1684" t="inlineStr">
        <is>
          <t>値引き調整あり</t>
        </is>
      </c>
    </row>
    <row r="1685">
      <c r="A1685" t="inlineStr">
        <is>
          <t>SR071</t>
        </is>
      </c>
      <c r="B1685" t="inlineStr">
        <is>
          <t>営業担当071</t>
        </is>
      </c>
      <c r="C1685" t="inlineStr">
        <is>
          <t>第1営業部</t>
        </is>
      </c>
      <c r="D1685" s="3" t="n">
        <v>45757</v>
      </c>
      <c r="E1685" t="inlineStr">
        <is>
          <t>大和精機(株)</t>
        </is>
      </c>
      <c r="F1685" t="inlineStr">
        <is>
          <t>北海道</t>
        </is>
      </c>
      <c r="G1685" t="inlineStr">
        <is>
          <t>消耗品</t>
        </is>
      </c>
      <c r="H1685" t="inlineStr">
        <is>
          <t>保守用バッテリー</t>
        </is>
      </c>
      <c r="I1685" s="4" t="n">
        <v>2</v>
      </c>
      <c r="J1685" s="4" t="n">
        <v>11940</v>
      </c>
      <c r="K1685" s="4">
        <f>I1685*J1685</f>
        <v/>
      </c>
      <c r="L1685" t="inlineStr">
        <is>
          <t>大型案件</t>
        </is>
      </c>
    </row>
    <row r="1686">
      <c r="A1686" t="inlineStr">
        <is>
          <t>SR071</t>
        </is>
      </c>
      <c r="B1686" t="inlineStr">
        <is>
          <t>営業担当071</t>
        </is>
      </c>
      <c r="C1686" t="inlineStr">
        <is>
          <t>第1営業部</t>
        </is>
      </c>
      <c r="D1686" s="3" t="n">
        <v>45766</v>
      </c>
      <c r="E1686" t="inlineStr">
        <is>
          <t>サンライズ建設有限会社</t>
        </is>
      </c>
      <c r="F1686" t="inlineStr">
        <is>
          <t>愛知県</t>
        </is>
      </c>
      <c r="G1686" t="inlineStr">
        <is>
          <t>消耗品</t>
        </is>
      </c>
      <c r="H1686" t="inlineStr">
        <is>
          <t>ラベルロール</t>
        </is>
      </c>
      <c r="I1686" s="4" t="n">
        <v>8</v>
      </c>
      <c r="J1686" s="4" t="n">
        <v>7220</v>
      </c>
      <c r="K1686" s="4">
        <f>I1686*J1686</f>
        <v/>
      </c>
      <c r="L1686" t="inlineStr">
        <is>
          <t>新規開拓</t>
        </is>
      </c>
    </row>
    <row r="1687">
      <c r="A1687" t="inlineStr">
        <is>
          <t>SR071</t>
        </is>
      </c>
      <c r="B1687" t="inlineStr">
        <is>
          <t>営業担当071</t>
        </is>
      </c>
      <c r="C1687" t="inlineStr">
        <is>
          <t>第1営業部</t>
        </is>
      </c>
      <c r="D1687" s="3" t="n">
        <v>45796</v>
      </c>
      <c r="E1687" t="inlineStr">
        <is>
          <t>グリーンテック(株)</t>
        </is>
      </c>
      <c r="F1687" t="inlineStr">
        <is>
          <t>福岡県</t>
        </is>
      </c>
      <c r="G1687" t="inlineStr">
        <is>
          <t>ハードウェア</t>
        </is>
      </c>
      <c r="H1687" t="inlineStr">
        <is>
          <t>ネットワークカメラ</t>
        </is>
      </c>
      <c r="I1687" s="4" t="n">
        <v>2</v>
      </c>
      <c r="J1687" s="4" t="n">
        <v>40100</v>
      </c>
      <c r="K1687" s="4">
        <f>I1687*J1687</f>
        <v/>
      </c>
      <c r="L1687" t="inlineStr"/>
    </row>
    <row r="1688">
      <c r="A1688" t="inlineStr">
        <is>
          <t>SR071</t>
        </is>
      </c>
      <c r="B1688" t="inlineStr">
        <is>
          <t>営業担当071</t>
        </is>
      </c>
      <c r="C1688" t="inlineStr">
        <is>
          <t>第1営業部</t>
        </is>
      </c>
      <c r="D1688" s="3" t="n">
        <v>45796</v>
      </c>
      <c r="E1688" t="inlineStr">
        <is>
          <t>九州エナジー有限会社</t>
        </is>
      </c>
      <c r="F1688" t="inlineStr">
        <is>
          <t>神奈川県</t>
        </is>
      </c>
      <c r="G1688" t="inlineStr">
        <is>
          <t>消耗品</t>
        </is>
      </c>
      <c r="H1688" t="inlineStr">
        <is>
          <t>交換用ヘッド</t>
        </is>
      </c>
      <c r="I1688" s="4" t="n">
        <v>14</v>
      </c>
      <c r="J1688" s="4" t="n">
        <v>23930</v>
      </c>
      <c r="K1688" s="4">
        <f>I1688*J1688</f>
        <v/>
      </c>
      <c r="L1688" t="inlineStr"/>
    </row>
    <row r="1689">
      <c r="A1689" t="inlineStr">
        <is>
          <t>SR071</t>
        </is>
      </c>
      <c r="B1689" t="inlineStr">
        <is>
          <t>営業担当071</t>
        </is>
      </c>
      <c r="C1689" t="inlineStr">
        <is>
          <t>第1営業部</t>
        </is>
      </c>
      <c r="D1689" s="3" t="n">
        <v>45813</v>
      </c>
      <c r="E1689" t="inlineStr">
        <is>
          <t>みらい物流有限会社</t>
        </is>
      </c>
      <c r="F1689" t="inlineStr">
        <is>
          <t>北海道</t>
        </is>
      </c>
      <c r="G1689" t="inlineStr">
        <is>
          <t>保守サービス</t>
        </is>
      </c>
      <c r="H1689" t="inlineStr">
        <is>
          <t>オンサイト保守</t>
        </is>
      </c>
      <c r="I1689" s="4" t="n">
        <v>2</v>
      </c>
      <c r="J1689" s="4" t="n">
        <v>77700</v>
      </c>
      <c r="K1689" s="4">
        <f>I1689*J1689</f>
        <v/>
      </c>
      <c r="L1689" t="inlineStr">
        <is>
          <t>新規開拓</t>
        </is>
      </c>
    </row>
    <row r="1690">
      <c r="A1690" t="inlineStr">
        <is>
          <t>SR071</t>
        </is>
      </c>
      <c r="B1690" t="inlineStr">
        <is>
          <t>営業担当071</t>
        </is>
      </c>
      <c r="C1690" t="inlineStr">
        <is>
          <t>第1営業部</t>
        </is>
      </c>
      <c r="D1690" s="3" t="n">
        <v>45819</v>
      </c>
      <c r="E1690" t="inlineStr">
        <is>
          <t>大和精機(株)</t>
        </is>
      </c>
      <c r="F1690" t="inlineStr">
        <is>
          <t>兵庫県</t>
        </is>
      </c>
      <c r="G1690" t="inlineStr">
        <is>
          <t>導入支援</t>
        </is>
      </c>
      <c r="H1690" t="inlineStr">
        <is>
          <t>操作研修パック</t>
        </is>
      </c>
      <c r="I1690" s="4" t="n">
        <v>3</v>
      </c>
      <c r="J1690" s="4" t="n">
        <v>76800</v>
      </c>
      <c r="K1690" s="4">
        <f>I1690*J1690</f>
        <v/>
      </c>
      <c r="L1690" t="inlineStr">
        <is>
          <t>リピート受注</t>
        </is>
      </c>
    </row>
    <row r="1691">
      <c r="A1691" t="inlineStr">
        <is>
          <t>SR071</t>
        </is>
      </c>
      <c r="B1691" t="inlineStr">
        <is>
          <t>営業担当071</t>
        </is>
      </c>
      <c r="C1691" t="inlineStr">
        <is>
          <t>第1営業部</t>
        </is>
      </c>
      <c r="D1691" s="3" t="n">
        <v>45853</v>
      </c>
      <c r="E1691" t="inlineStr">
        <is>
          <t>桜井メディカル(株)</t>
        </is>
      </c>
      <c r="F1691" t="inlineStr">
        <is>
          <t>北海道</t>
        </is>
      </c>
      <c r="G1691" t="inlineStr">
        <is>
          <t>保守サービス</t>
        </is>
      </c>
      <c r="H1691" t="inlineStr">
        <is>
          <t>年間保守契約</t>
        </is>
      </c>
      <c r="I1691" s="4" t="n">
        <v>3</v>
      </c>
      <c r="J1691" s="4" t="n">
        <v>164500</v>
      </c>
      <c r="K1691" s="4">
        <f>I1691*J1691</f>
        <v/>
      </c>
      <c r="L1691" t="inlineStr"/>
    </row>
    <row r="1692">
      <c r="A1692" t="inlineStr">
        <is>
          <t>SR071</t>
        </is>
      </c>
      <c r="B1692" t="inlineStr">
        <is>
          <t>営業担当071</t>
        </is>
      </c>
      <c r="C1692" t="inlineStr">
        <is>
          <t>第1営業部</t>
        </is>
      </c>
      <c r="D1692" s="3" t="n">
        <v>45854</v>
      </c>
      <c r="E1692" t="inlineStr">
        <is>
          <t>サンライズ建設(株)</t>
        </is>
      </c>
      <c r="F1692" t="inlineStr">
        <is>
          <t>福岡県</t>
        </is>
      </c>
      <c r="G1692" t="inlineStr">
        <is>
          <t>保守サービス</t>
        </is>
      </c>
      <c r="H1692" t="inlineStr">
        <is>
          <t>オンサイト保守</t>
        </is>
      </c>
      <c r="I1692" s="4" t="n">
        <v>3</v>
      </c>
      <c r="J1692" s="4" t="n">
        <v>104500</v>
      </c>
      <c r="K1692" s="4">
        <f>I1692*J1692</f>
        <v/>
      </c>
      <c r="L1692" t="inlineStr">
        <is>
          <t>分納</t>
        </is>
      </c>
    </row>
    <row r="1693">
      <c r="A1693" t="inlineStr">
        <is>
          <t>SR071</t>
        </is>
      </c>
      <c r="B1693" t="inlineStr">
        <is>
          <t>営業担当071</t>
        </is>
      </c>
      <c r="C1693" t="inlineStr">
        <is>
          <t>第1営業部</t>
        </is>
      </c>
      <c r="D1693" s="3" t="n">
        <v>45874</v>
      </c>
      <c r="E1693" t="inlineStr">
        <is>
          <t>中央設備有限会社</t>
        </is>
      </c>
      <c r="F1693" t="inlineStr">
        <is>
          <t>宮城県</t>
        </is>
      </c>
      <c r="G1693" t="inlineStr">
        <is>
          <t>導入支援</t>
        </is>
      </c>
      <c r="H1693" t="inlineStr">
        <is>
          <t>データ移行支援</t>
        </is>
      </c>
      <c r="I1693" s="4" t="n">
        <v>4</v>
      </c>
      <c r="J1693" s="4" t="n">
        <v>99600</v>
      </c>
      <c r="K1693" s="4">
        <f>I1693*J1693</f>
        <v/>
      </c>
      <c r="L1693" t="inlineStr">
        <is>
          <t>値引き調整あり</t>
        </is>
      </c>
    </row>
    <row r="1694">
      <c r="A1694" t="inlineStr">
        <is>
          <t>SR071</t>
        </is>
      </c>
      <c r="B1694" t="inlineStr">
        <is>
          <t>営業担当071</t>
        </is>
      </c>
      <c r="C1694" t="inlineStr">
        <is>
          <t>第1営業部</t>
        </is>
      </c>
      <c r="D1694" s="3" t="n">
        <v>45879</v>
      </c>
      <c r="E1694" t="inlineStr">
        <is>
          <t>アーク電機有限会社</t>
        </is>
      </c>
      <c r="F1694" t="inlineStr">
        <is>
          <t>宮城県</t>
        </is>
      </c>
      <c r="G1694" t="inlineStr">
        <is>
          <t>導入支援</t>
        </is>
      </c>
      <c r="H1694" t="inlineStr">
        <is>
          <t>初期設定支援</t>
        </is>
      </c>
      <c r="I1694" s="4" t="n">
        <v>4</v>
      </c>
      <c r="J1694" s="4" t="n">
        <v>61300</v>
      </c>
      <c r="K1694" s="4">
        <f>I1694*J1694</f>
        <v/>
      </c>
      <c r="L1694" t="inlineStr">
        <is>
          <t>キャンペーン適用</t>
        </is>
      </c>
    </row>
    <row r="1695">
      <c r="A1695" t="inlineStr">
        <is>
          <t>SR071</t>
        </is>
      </c>
      <c r="B1695" t="inlineStr">
        <is>
          <t>営業担当071</t>
        </is>
      </c>
      <c r="C1695" t="inlineStr">
        <is>
          <t>第1営業部</t>
        </is>
      </c>
      <c r="D1695" s="3" t="n">
        <v>45902</v>
      </c>
      <c r="E1695" t="inlineStr">
        <is>
          <t>大和精機(株)</t>
        </is>
      </c>
      <c r="F1695" t="inlineStr">
        <is>
          <t>東京都</t>
        </is>
      </c>
      <c r="G1695" t="inlineStr">
        <is>
          <t>消耗品</t>
        </is>
      </c>
      <c r="H1695" t="inlineStr">
        <is>
          <t>保守用バッテリー</t>
        </is>
      </c>
      <c r="I1695" s="4" t="n">
        <v>1</v>
      </c>
      <c r="J1695" s="4" t="n">
        <v>16120</v>
      </c>
      <c r="K1695" s="4">
        <f>I1695*J1695</f>
        <v/>
      </c>
      <c r="L1695" t="inlineStr">
        <is>
          <t>新規開拓</t>
        </is>
      </c>
    </row>
    <row r="1696">
      <c r="A1696" t="inlineStr">
        <is>
          <t>SR071</t>
        </is>
      </c>
      <c r="B1696" t="inlineStr">
        <is>
          <t>営業担当071</t>
        </is>
      </c>
      <c r="C1696" t="inlineStr">
        <is>
          <t>第1営業部</t>
        </is>
      </c>
      <c r="D1696" s="3" t="n">
        <v>45912</v>
      </c>
      <c r="E1696" t="inlineStr">
        <is>
          <t>グリーンテック(株)</t>
        </is>
      </c>
      <c r="F1696" t="inlineStr">
        <is>
          <t>神奈川県</t>
        </is>
      </c>
      <c r="G1696" t="inlineStr">
        <is>
          <t>ソフトウェア</t>
        </is>
      </c>
      <c r="H1696" t="inlineStr">
        <is>
          <t>営業支援SaaS</t>
        </is>
      </c>
      <c r="I1696" s="4" t="n">
        <v>2</v>
      </c>
      <c r="J1696" s="4" t="n">
        <v>224800</v>
      </c>
      <c r="K1696" s="4">
        <f>I1696*J1696</f>
        <v/>
      </c>
      <c r="L1696" t="inlineStr">
        <is>
          <t>リピート受注</t>
        </is>
      </c>
    </row>
    <row r="1697">
      <c r="A1697" t="inlineStr">
        <is>
          <t>SR071</t>
        </is>
      </c>
      <c r="B1697" t="inlineStr">
        <is>
          <t>営業担当071</t>
        </is>
      </c>
      <c r="C1697" t="inlineStr">
        <is>
          <t>第1営業部</t>
        </is>
      </c>
      <c r="D1697" s="3" t="n">
        <v>45956</v>
      </c>
      <c r="E1697" t="inlineStr">
        <is>
          <t>九州エナジー(株)</t>
        </is>
      </c>
      <c r="F1697" t="inlineStr">
        <is>
          <t>神奈川県</t>
        </is>
      </c>
      <c r="G1697" t="inlineStr">
        <is>
          <t>消耗品</t>
        </is>
      </c>
      <c r="H1697" t="inlineStr">
        <is>
          <t>保守用バッテリー</t>
        </is>
      </c>
      <c r="I1697" s="4" t="n">
        <v>11</v>
      </c>
      <c r="J1697" s="4" t="n">
        <v>7170</v>
      </c>
      <c r="K1697" s="4">
        <f>I1697*J1697</f>
        <v/>
      </c>
      <c r="L1697" t="inlineStr"/>
    </row>
    <row r="1698">
      <c r="A1698" t="inlineStr">
        <is>
          <t>SR071</t>
        </is>
      </c>
      <c r="B1698" t="inlineStr">
        <is>
          <t>営業担当071</t>
        </is>
      </c>
      <c r="C1698" t="inlineStr">
        <is>
          <t>第1営業部</t>
        </is>
      </c>
      <c r="D1698" s="3" t="n">
        <v>45957</v>
      </c>
      <c r="E1698" t="inlineStr">
        <is>
          <t>福岡流通株式会社</t>
        </is>
      </c>
      <c r="F1698" t="inlineStr">
        <is>
          <t>北海道</t>
        </is>
      </c>
      <c r="G1698" t="inlineStr">
        <is>
          <t>導入支援</t>
        </is>
      </c>
      <c r="H1698" t="inlineStr">
        <is>
          <t>データ移行支援</t>
        </is>
      </c>
      <c r="I1698" s="4" t="n">
        <v>3</v>
      </c>
      <c r="J1698" s="4" t="n">
        <v>308500</v>
      </c>
      <c r="K1698" s="4">
        <f>I1698*J1698</f>
        <v/>
      </c>
      <c r="L1698" t="inlineStr">
        <is>
          <t>値引き調整あり</t>
        </is>
      </c>
    </row>
    <row r="1699">
      <c r="A1699" t="inlineStr">
        <is>
          <t>SR071</t>
        </is>
      </c>
      <c r="B1699" t="inlineStr">
        <is>
          <t>営業担当071</t>
        </is>
      </c>
      <c r="C1699" t="inlineStr">
        <is>
          <t>第1営業部</t>
        </is>
      </c>
      <c r="D1699" s="3" t="n">
        <v>45980</v>
      </c>
      <c r="E1699" t="inlineStr">
        <is>
          <t>みらい物流有限会社</t>
        </is>
      </c>
      <c r="F1699" t="inlineStr">
        <is>
          <t>大阪府</t>
        </is>
      </c>
      <c r="G1699" t="inlineStr">
        <is>
          <t>消耗品</t>
        </is>
      </c>
      <c r="H1699" t="inlineStr">
        <is>
          <t>ラベルロール</t>
        </is>
      </c>
      <c r="I1699" s="4" t="n">
        <v>13</v>
      </c>
      <c r="J1699" s="4" t="n">
        <v>12710</v>
      </c>
      <c r="K1699" s="4">
        <f>I1699*J1699</f>
        <v/>
      </c>
      <c r="L1699" t="inlineStr"/>
    </row>
    <row r="1700">
      <c r="A1700" t="inlineStr">
        <is>
          <t>SR071</t>
        </is>
      </c>
      <c r="B1700" t="inlineStr">
        <is>
          <t>営業担当071</t>
        </is>
      </c>
      <c r="C1700" t="inlineStr">
        <is>
          <t>第1営業部</t>
        </is>
      </c>
      <c r="D1700" s="3" t="n">
        <v>45985</v>
      </c>
      <c r="E1700" t="inlineStr">
        <is>
          <t>東洋フーズ株式会社</t>
        </is>
      </c>
      <c r="F1700" t="inlineStr">
        <is>
          <t>兵庫県</t>
        </is>
      </c>
      <c r="G1700" t="inlineStr">
        <is>
          <t>消耗品</t>
        </is>
      </c>
      <c r="H1700" t="inlineStr">
        <is>
          <t>保守用バッテリー</t>
        </is>
      </c>
      <c r="I1700" s="4" t="n">
        <v>14</v>
      </c>
      <c r="J1700" s="4" t="n">
        <v>11410</v>
      </c>
      <c r="K1700" s="4">
        <f>I1700*J1700</f>
        <v/>
      </c>
      <c r="L1700" t="inlineStr"/>
    </row>
    <row r="1701">
      <c r="A1701" t="inlineStr">
        <is>
          <t>SR071</t>
        </is>
      </c>
      <c r="B1701" t="inlineStr">
        <is>
          <t>営業担当071</t>
        </is>
      </c>
      <c r="C1701" t="inlineStr">
        <is>
          <t>第1営業部</t>
        </is>
      </c>
      <c r="D1701" s="3" t="n">
        <v>45994</v>
      </c>
      <c r="E1701" t="inlineStr">
        <is>
          <t>桜井メディカル株式会社</t>
        </is>
      </c>
      <c r="F1701" t="inlineStr">
        <is>
          <t>北海道</t>
        </is>
      </c>
      <c r="G1701" t="inlineStr">
        <is>
          <t>導入支援</t>
        </is>
      </c>
      <c r="H1701" t="inlineStr">
        <is>
          <t>操作研修パック</t>
        </is>
      </c>
      <c r="I1701" s="4" t="n">
        <v>5</v>
      </c>
      <c r="J1701" s="4" t="n">
        <v>126200</v>
      </c>
      <c r="K1701" s="4">
        <f>I1701*J1701</f>
        <v/>
      </c>
      <c r="L1701" t="inlineStr"/>
    </row>
    <row r="1702">
      <c r="A1702" t="inlineStr">
        <is>
          <t>SR071</t>
        </is>
      </c>
      <c r="B1702" t="inlineStr">
        <is>
          <t>営業担当071</t>
        </is>
      </c>
      <c r="C1702" t="inlineStr">
        <is>
          <t>第1営業部</t>
        </is>
      </c>
      <c r="D1702" s="3" t="n">
        <v>46010</v>
      </c>
      <c r="E1702" t="inlineStr">
        <is>
          <t>白峰化学有限会社</t>
        </is>
      </c>
      <c r="F1702" t="inlineStr">
        <is>
          <t>愛知県</t>
        </is>
      </c>
      <c r="G1702" t="inlineStr">
        <is>
          <t>ソフトウェア</t>
        </is>
      </c>
      <c r="H1702" t="inlineStr">
        <is>
          <t>AIチャットボット</t>
        </is>
      </c>
      <c r="I1702" s="4" t="n">
        <v>3</v>
      </c>
      <c r="J1702" s="4" t="n">
        <v>631500</v>
      </c>
      <c r="K1702" s="4">
        <f>I1702*J1702</f>
        <v/>
      </c>
      <c r="L1702" t="inlineStr">
        <is>
          <t>分納</t>
        </is>
      </c>
    </row>
    <row r="1703">
      <c r="A1703" t="inlineStr">
        <is>
          <t>SR071</t>
        </is>
      </c>
      <c r="B1703" t="inlineStr">
        <is>
          <t>営業担当071</t>
        </is>
      </c>
      <c r="C1703" t="inlineStr">
        <is>
          <t>第1営業部</t>
        </is>
      </c>
      <c r="D1703" s="3" t="n">
        <v>46046</v>
      </c>
      <c r="E1703" t="inlineStr">
        <is>
          <t>グリーンテック有限会社</t>
        </is>
      </c>
      <c r="F1703" t="inlineStr">
        <is>
          <t>北海道</t>
        </is>
      </c>
      <c r="G1703" t="inlineStr">
        <is>
          <t>ソフトウェア</t>
        </is>
      </c>
      <c r="H1703" t="inlineStr">
        <is>
          <t>営業支援SaaS</t>
        </is>
      </c>
      <c r="I1703" s="4" t="n">
        <v>5</v>
      </c>
      <c r="J1703" s="4" t="n">
        <v>259100</v>
      </c>
      <c r="K1703" s="4">
        <f>I1703*J1703</f>
        <v/>
      </c>
      <c r="L1703" t="inlineStr">
        <is>
          <t>分納</t>
        </is>
      </c>
    </row>
    <row r="1704">
      <c r="A1704" t="inlineStr">
        <is>
          <t>SR071</t>
        </is>
      </c>
      <c r="B1704" t="inlineStr">
        <is>
          <t>営業担当071</t>
        </is>
      </c>
      <c r="C1704" t="inlineStr">
        <is>
          <t>第1営業部</t>
        </is>
      </c>
      <c r="D1704" s="3" t="n">
        <v>46047</v>
      </c>
      <c r="E1704" t="inlineStr">
        <is>
          <t>日新サービス有限会社</t>
        </is>
      </c>
      <c r="F1704" t="inlineStr">
        <is>
          <t>広島県</t>
        </is>
      </c>
      <c r="G1704" t="inlineStr">
        <is>
          <t>ハードウェア</t>
        </is>
      </c>
      <c r="H1704" t="inlineStr">
        <is>
          <t>ラベルプリンター</t>
        </is>
      </c>
      <c r="I1704" s="4" t="n">
        <v>5</v>
      </c>
      <c r="J1704" s="4" t="n">
        <v>68000</v>
      </c>
      <c r="K1704" s="4">
        <f>I1704*J1704</f>
        <v/>
      </c>
      <c r="L1704" t="inlineStr">
        <is>
          <t>キャンペーン適用</t>
        </is>
      </c>
    </row>
    <row r="1705">
      <c r="A1705" t="inlineStr">
        <is>
          <t>SR071</t>
        </is>
      </c>
      <c r="B1705" t="inlineStr">
        <is>
          <t>営業担当071</t>
        </is>
      </c>
      <c r="C1705" t="inlineStr">
        <is>
          <t>第1営業部</t>
        </is>
      </c>
      <c r="D1705" s="3" t="n">
        <v>46055</v>
      </c>
      <c r="E1705" t="inlineStr">
        <is>
          <t>中央設備株式会社</t>
        </is>
      </c>
      <c r="F1705" t="inlineStr">
        <is>
          <t>北海道</t>
        </is>
      </c>
      <c r="G1705" t="inlineStr">
        <is>
          <t>保守サービス</t>
        </is>
      </c>
      <c r="H1705" t="inlineStr">
        <is>
          <t>ヘルプデスク契約</t>
        </is>
      </c>
      <c r="I1705" s="4" t="n">
        <v>3</v>
      </c>
      <c r="J1705" s="4" t="n">
        <v>80800</v>
      </c>
      <c r="K1705" s="4">
        <f>I1705*J1705</f>
        <v/>
      </c>
      <c r="L1705" t="inlineStr">
        <is>
          <t>リピート受注</t>
        </is>
      </c>
    </row>
    <row r="1706">
      <c r="A1706" t="inlineStr">
        <is>
          <t>SR071</t>
        </is>
      </c>
      <c r="B1706" t="inlineStr">
        <is>
          <t>営業担当071</t>
        </is>
      </c>
      <c r="C1706" t="inlineStr">
        <is>
          <t>第1営業部</t>
        </is>
      </c>
      <c r="D1706" s="3" t="n">
        <v>46070</v>
      </c>
      <c r="E1706" t="inlineStr">
        <is>
          <t>アーク電機株式会社</t>
        </is>
      </c>
      <c r="F1706" t="inlineStr">
        <is>
          <t>宮城県</t>
        </is>
      </c>
      <c r="G1706" t="inlineStr">
        <is>
          <t>消耗品</t>
        </is>
      </c>
      <c r="H1706" t="inlineStr">
        <is>
          <t>保守用バッテリー</t>
        </is>
      </c>
      <c r="I1706" s="4" t="n">
        <v>1</v>
      </c>
      <c r="J1706" s="4" t="n">
        <v>18570</v>
      </c>
      <c r="K1706" s="4">
        <f>I1706*J1706</f>
        <v/>
      </c>
      <c r="L1706" t="inlineStr">
        <is>
          <t>キャンペーン適用</t>
        </is>
      </c>
    </row>
    <row r="1707">
      <c r="A1707" t="inlineStr">
        <is>
          <t>SR071</t>
        </is>
      </c>
      <c r="B1707" t="inlineStr">
        <is>
          <t>営業担当071</t>
        </is>
      </c>
      <c r="C1707" t="inlineStr">
        <is>
          <t>第1営業部</t>
        </is>
      </c>
      <c r="D1707" s="3" t="n">
        <v>46082</v>
      </c>
      <c r="E1707" t="inlineStr">
        <is>
          <t>青葉商事株式会社</t>
        </is>
      </c>
      <c r="F1707" t="inlineStr">
        <is>
          <t>北海道</t>
        </is>
      </c>
      <c r="G1707" t="inlineStr">
        <is>
          <t>導入支援</t>
        </is>
      </c>
      <c r="H1707" t="inlineStr">
        <is>
          <t>初期設定支援</t>
        </is>
      </c>
      <c r="I1707" s="4" t="n">
        <v>3</v>
      </c>
      <c r="J1707" s="4" t="n">
        <v>95600</v>
      </c>
      <c r="K1707" s="4">
        <f>I1707*J1707</f>
        <v/>
      </c>
      <c r="L1707" t="inlineStr">
        <is>
          <t>新規開拓</t>
        </is>
      </c>
    </row>
    <row r="1708">
      <c r="A1708" t="inlineStr">
        <is>
          <t>SR071</t>
        </is>
      </c>
      <c r="B1708" t="inlineStr">
        <is>
          <t>営業担当071</t>
        </is>
      </c>
      <c r="C1708" t="inlineStr">
        <is>
          <t>第1営業部</t>
        </is>
      </c>
      <c r="D1708" s="3" t="n">
        <v>46085</v>
      </c>
      <c r="E1708" t="inlineStr">
        <is>
          <t>ネクストソリューション株式会社</t>
        </is>
      </c>
      <c r="F1708" t="inlineStr">
        <is>
          <t>大阪府</t>
        </is>
      </c>
      <c r="G1708" t="inlineStr">
        <is>
          <t>保守サービス</t>
        </is>
      </c>
      <c r="H1708" t="inlineStr">
        <is>
          <t>ヘルプデスク契約</t>
        </is>
      </c>
      <c r="I1708" s="4" t="n">
        <v>4</v>
      </c>
      <c r="J1708" s="4" t="n">
        <v>51500</v>
      </c>
      <c r="K1708" s="4">
        <f>I1708*J1708</f>
        <v/>
      </c>
      <c r="L1708" t="inlineStr"/>
    </row>
    <row r="1709">
      <c r="A1709" t="inlineStr">
        <is>
          <t>SR072</t>
        </is>
      </c>
      <c r="B1709" t="inlineStr">
        <is>
          <t>営業担当072</t>
        </is>
      </c>
      <c r="C1709" t="inlineStr">
        <is>
          <t>第2営業部</t>
        </is>
      </c>
      <c r="D1709" s="3" t="n">
        <v>45765</v>
      </c>
      <c r="E1709" t="inlineStr">
        <is>
          <t>白峰化学有限会社</t>
        </is>
      </c>
      <c r="F1709" t="inlineStr">
        <is>
          <t>愛知県</t>
        </is>
      </c>
      <c r="G1709" t="inlineStr">
        <is>
          <t>消耗品</t>
        </is>
      </c>
      <c r="H1709" t="inlineStr">
        <is>
          <t>保守用バッテリー</t>
        </is>
      </c>
      <c r="I1709" s="4" t="n">
        <v>15</v>
      </c>
      <c r="J1709" s="4" t="n">
        <v>17610</v>
      </c>
      <c r="K1709" s="4">
        <f>I1709*J1709</f>
        <v/>
      </c>
      <c r="L1709" t="inlineStr"/>
    </row>
    <row r="1710">
      <c r="A1710" t="inlineStr">
        <is>
          <t>SR072</t>
        </is>
      </c>
      <c r="B1710" t="inlineStr">
        <is>
          <t>営業担当072</t>
        </is>
      </c>
      <c r="C1710" t="inlineStr">
        <is>
          <t>第2営業部</t>
        </is>
      </c>
      <c r="D1710" s="3" t="n">
        <v>45770</v>
      </c>
      <c r="E1710" t="inlineStr">
        <is>
          <t>ネクストソリューション株式会社</t>
        </is>
      </c>
      <c r="F1710" t="inlineStr">
        <is>
          <t>東京都</t>
        </is>
      </c>
      <c r="G1710" t="inlineStr">
        <is>
          <t>消耗品</t>
        </is>
      </c>
      <c r="H1710" t="inlineStr">
        <is>
          <t>ラベルロール</t>
        </is>
      </c>
      <c r="I1710" s="4" t="n">
        <v>14</v>
      </c>
      <c r="J1710" s="4" t="n">
        <v>8200</v>
      </c>
      <c r="K1710" s="4">
        <f>I1710*J1710</f>
        <v/>
      </c>
      <c r="L1710" t="inlineStr">
        <is>
          <t>新規開拓</t>
        </is>
      </c>
    </row>
    <row r="1711">
      <c r="A1711" t="inlineStr">
        <is>
          <t>SR072</t>
        </is>
      </c>
      <c r="B1711" t="inlineStr">
        <is>
          <t>営業担当072</t>
        </is>
      </c>
      <c r="C1711" t="inlineStr">
        <is>
          <t>第2営業部</t>
        </is>
      </c>
      <c r="D1711" s="3" t="n">
        <v>45784</v>
      </c>
      <c r="E1711" t="inlineStr">
        <is>
          <t>グリーンテック株式会社</t>
        </is>
      </c>
      <c r="F1711" t="inlineStr">
        <is>
          <t>神奈川県</t>
        </is>
      </c>
      <c r="G1711" t="inlineStr">
        <is>
          <t>ハードウェア</t>
        </is>
      </c>
      <c r="H1711" t="inlineStr">
        <is>
          <t>産業用タブレット</t>
        </is>
      </c>
      <c r="I1711" s="4" t="n">
        <v>1</v>
      </c>
      <c r="J1711" s="4" t="n">
        <v>122600</v>
      </c>
      <c r="K1711" s="4">
        <f>I1711*J1711</f>
        <v/>
      </c>
      <c r="L1711" t="inlineStr"/>
    </row>
    <row r="1712">
      <c r="A1712" t="inlineStr">
        <is>
          <t>SR072</t>
        </is>
      </c>
      <c r="B1712" t="inlineStr">
        <is>
          <t>営業担当072</t>
        </is>
      </c>
      <c r="C1712" t="inlineStr">
        <is>
          <t>第2営業部</t>
        </is>
      </c>
      <c r="D1712" s="3" t="n">
        <v>45797</v>
      </c>
      <c r="E1712" t="inlineStr">
        <is>
          <t>アーク電機株式会社</t>
        </is>
      </c>
      <c r="F1712" t="inlineStr">
        <is>
          <t>宮城県</t>
        </is>
      </c>
      <c r="G1712" t="inlineStr">
        <is>
          <t>ハードウェア</t>
        </is>
      </c>
      <c r="H1712" t="inlineStr">
        <is>
          <t>小型ハンディ端末</t>
        </is>
      </c>
      <c r="I1712" s="4" t="n">
        <v>5</v>
      </c>
      <c r="J1712" s="4" t="n">
        <v>60500</v>
      </c>
      <c r="K1712" s="4">
        <f>I1712*J1712</f>
        <v/>
      </c>
      <c r="L1712" t="inlineStr"/>
    </row>
    <row r="1713">
      <c r="A1713" t="inlineStr">
        <is>
          <t>SR072</t>
        </is>
      </c>
      <c r="B1713" t="inlineStr">
        <is>
          <t>営業担当072</t>
        </is>
      </c>
      <c r="C1713" t="inlineStr">
        <is>
          <t>第2営業部</t>
        </is>
      </c>
      <c r="D1713" s="3" t="n">
        <v>45820</v>
      </c>
      <c r="E1713" t="inlineStr">
        <is>
          <t>中央設備株式会社</t>
        </is>
      </c>
      <c r="F1713" t="inlineStr">
        <is>
          <t>東京都</t>
        </is>
      </c>
      <c r="G1713" t="inlineStr">
        <is>
          <t>導入支援</t>
        </is>
      </c>
      <c r="H1713" t="inlineStr">
        <is>
          <t>初期設定支援</t>
        </is>
      </c>
      <c r="I1713" s="4" t="n">
        <v>3</v>
      </c>
      <c r="J1713" s="4" t="n">
        <v>132600</v>
      </c>
      <c r="K1713" s="4">
        <f>I1713*J1713</f>
        <v/>
      </c>
      <c r="L1713" t="inlineStr">
        <is>
          <t>新規開拓</t>
        </is>
      </c>
    </row>
    <row r="1714">
      <c r="A1714" t="inlineStr">
        <is>
          <t>SR072</t>
        </is>
      </c>
      <c r="B1714" t="inlineStr">
        <is>
          <t>営業担当072</t>
        </is>
      </c>
      <c r="C1714" t="inlineStr">
        <is>
          <t>第2営業部</t>
        </is>
      </c>
      <c r="D1714" s="3" t="n">
        <v>45833</v>
      </c>
      <c r="E1714" t="inlineStr">
        <is>
          <t>グリーンテック有限会社</t>
        </is>
      </c>
      <c r="F1714" t="inlineStr">
        <is>
          <t>北海道</t>
        </is>
      </c>
      <c r="G1714" t="inlineStr">
        <is>
          <t>ソフトウェア</t>
        </is>
      </c>
      <c r="H1714" t="inlineStr">
        <is>
          <t>帳票自動化ツール</t>
        </is>
      </c>
      <c r="I1714" s="4" t="n">
        <v>3</v>
      </c>
      <c r="J1714" s="4" t="n">
        <v>244200</v>
      </c>
      <c r="K1714" s="4">
        <f>I1714*J1714</f>
        <v/>
      </c>
      <c r="L1714" t="inlineStr">
        <is>
          <t>大型案件</t>
        </is>
      </c>
    </row>
    <row r="1715">
      <c r="A1715" t="inlineStr">
        <is>
          <t>SR072</t>
        </is>
      </c>
      <c r="B1715" t="inlineStr">
        <is>
          <t>営業担当072</t>
        </is>
      </c>
      <c r="C1715" t="inlineStr">
        <is>
          <t>第2営業部</t>
        </is>
      </c>
      <c r="D1715" s="3" t="n">
        <v>45845</v>
      </c>
      <c r="E1715" t="inlineStr">
        <is>
          <t>サンライズ建設株式会社</t>
        </is>
      </c>
      <c r="F1715" t="inlineStr">
        <is>
          <t>宮城県</t>
        </is>
      </c>
      <c r="G1715" t="inlineStr">
        <is>
          <t>保守サービス</t>
        </is>
      </c>
      <c r="H1715" t="inlineStr">
        <is>
          <t>年間保守契約</t>
        </is>
      </c>
      <c r="I1715" s="4" t="n">
        <v>2</v>
      </c>
      <c r="J1715" s="4" t="n">
        <v>205500</v>
      </c>
      <c r="K1715" s="4">
        <f>I1715*J1715</f>
        <v/>
      </c>
      <c r="L1715" t="inlineStr"/>
    </row>
    <row r="1716">
      <c r="A1716" t="inlineStr">
        <is>
          <t>SR072</t>
        </is>
      </c>
      <c r="B1716" t="inlineStr">
        <is>
          <t>営業担当072</t>
        </is>
      </c>
      <c r="C1716" t="inlineStr">
        <is>
          <t>第2営業部</t>
        </is>
      </c>
      <c r="D1716" s="3" t="n">
        <v>45865</v>
      </c>
      <c r="E1716" t="inlineStr">
        <is>
          <t>未来通信有限会社</t>
        </is>
      </c>
      <c r="F1716" t="inlineStr">
        <is>
          <t>北海道</t>
        </is>
      </c>
      <c r="G1716" t="inlineStr">
        <is>
          <t>ソフトウェア</t>
        </is>
      </c>
      <c r="H1716" t="inlineStr">
        <is>
          <t>在庫管理クラウド</t>
        </is>
      </c>
      <c r="I1716" s="4" t="n">
        <v>3</v>
      </c>
      <c r="J1716" s="4" t="n">
        <v>191600</v>
      </c>
      <c r="K1716" s="4">
        <f>I1716*J1716</f>
        <v/>
      </c>
      <c r="L1716" t="inlineStr">
        <is>
          <t>分納</t>
        </is>
      </c>
    </row>
    <row r="1717">
      <c r="A1717" t="inlineStr">
        <is>
          <t>SR072</t>
        </is>
      </c>
      <c r="B1717" t="inlineStr">
        <is>
          <t>営業担当072</t>
        </is>
      </c>
      <c r="C1717" t="inlineStr">
        <is>
          <t>第2営業部</t>
        </is>
      </c>
      <c r="D1717" s="3" t="n">
        <v>45871</v>
      </c>
      <c r="E1717" t="inlineStr">
        <is>
          <t>グリーンテック(株)</t>
        </is>
      </c>
      <c r="F1717" t="inlineStr">
        <is>
          <t>東京都</t>
        </is>
      </c>
      <c r="G1717" t="inlineStr">
        <is>
          <t>消耗品</t>
        </is>
      </c>
      <c r="H1717" t="inlineStr">
        <is>
          <t>保守用バッテリー</t>
        </is>
      </c>
      <c r="I1717" s="4" t="n">
        <v>13</v>
      </c>
      <c r="J1717" s="4" t="n">
        <v>18050</v>
      </c>
      <c r="K1717" s="4">
        <f>I1717*J1717</f>
        <v/>
      </c>
      <c r="L1717" t="inlineStr">
        <is>
          <t>値引き調整あり</t>
        </is>
      </c>
    </row>
    <row r="1718">
      <c r="A1718" t="inlineStr">
        <is>
          <t>SR072</t>
        </is>
      </c>
      <c r="B1718" t="inlineStr">
        <is>
          <t>営業担当072</t>
        </is>
      </c>
      <c r="C1718" t="inlineStr">
        <is>
          <t>第2営業部</t>
        </is>
      </c>
      <c r="D1718" s="3" t="n">
        <v>45874</v>
      </c>
      <c r="E1718" t="inlineStr">
        <is>
          <t>白峰化学株式会社</t>
        </is>
      </c>
      <c r="F1718" t="inlineStr">
        <is>
          <t>宮城県</t>
        </is>
      </c>
      <c r="G1718" t="inlineStr">
        <is>
          <t>ソフトウェア</t>
        </is>
      </c>
      <c r="H1718" t="inlineStr">
        <is>
          <t>AIチャットボット</t>
        </is>
      </c>
      <c r="I1718" s="4" t="n">
        <v>2</v>
      </c>
      <c r="J1718" s="4" t="n">
        <v>561600</v>
      </c>
      <c r="K1718" s="4">
        <f>I1718*J1718</f>
        <v/>
      </c>
      <c r="L1718" t="inlineStr"/>
    </row>
    <row r="1719">
      <c r="A1719" t="inlineStr">
        <is>
          <t>SR072</t>
        </is>
      </c>
      <c r="B1719" t="inlineStr">
        <is>
          <t>営業担当072</t>
        </is>
      </c>
      <c r="C1719" t="inlineStr">
        <is>
          <t>第2営業部</t>
        </is>
      </c>
      <c r="D1719" s="3" t="n">
        <v>45906</v>
      </c>
      <c r="E1719" t="inlineStr">
        <is>
          <t>西日本機工株式会社</t>
        </is>
      </c>
      <c r="F1719" t="inlineStr">
        <is>
          <t>東京都</t>
        </is>
      </c>
      <c r="G1719" t="inlineStr">
        <is>
          <t>保守サービス</t>
        </is>
      </c>
      <c r="H1719" t="inlineStr">
        <is>
          <t>年間保守契約</t>
        </is>
      </c>
      <c r="I1719" s="4" t="n">
        <v>1</v>
      </c>
      <c r="J1719" s="4" t="n">
        <v>231900</v>
      </c>
      <c r="K1719" s="4">
        <f>I1719*J1719</f>
        <v/>
      </c>
      <c r="L1719" t="inlineStr"/>
    </row>
    <row r="1720">
      <c r="A1720" t="inlineStr">
        <is>
          <t>SR072</t>
        </is>
      </c>
      <c r="B1720" t="inlineStr">
        <is>
          <t>営業担当072</t>
        </is>
      </c>
      <c r="C1720" t="inlineStr">
        <is>
          <t>第2営業部</t>
        </is>
      </c>
      <c r="D1720" s="3" t="n">
        <v>45915</v>
      </c>
      <c r="E1720" t="inlineStr">
        <is>
          <t>白峰化学(株)</t>
        </is>
      </c>
      <c r="F1720" t="inlineStr">
        <is>
          <t>愛知県</t>
        </is>
      </c>
      <c r="G1720" t="inlineStr">
        <is>
          <t>ハードウェア</t>
        </is>
      </c>
      <c r="H1720" t="inlineStr">
        <is>
          <t>ネットワークカメラ</t>
        </is>
      </c>
      <c r="I1720" s="4" t="n">
        <v>5</v>
      </c>
      <c r="J1720" s="4" t="n">
        <v>36700</v>
      </c>
      <c r="K1720" s="4">
        <f>I1720*J1720</f>
        <v/>
      </c>
      <c r="L1720" t="inlineStr"/>
    </row>
    <row r="1721">
      <c r="A1721" t="inlineStr">
        <is>
          <t>SR072</t>
        </is>
      </c>
      <c r="B1721" t="inlineStr">
        <is>
          <t>営業担当072</t>
        </is>
      </c>
      <c r="C1721" t="inlineStr">
        <is>
          <t>第2営業部</t>
        </is>
      </c>
      <c r="D1721" s="3" t="n">
        <v>45934</v>
      </c>
      <c r="E1721" t="inlineStr">
        <is>
          <t>ネクストソリューション(株)</t>
        </is>
      </c>
      <c r="F1721" t="inlineStr">
        <is>
          <t>宮城県</t>
        </is>
      </c>
      <c r="G1721" t="inlineStr">
        <is>
          <t>消耗品</t>
        </is>
      </c>
      <c r="H1721" t="inlineStr">
        <is>
          <t>保守用バッテリー</t>
        </is>
      </c>
      <c r="I1721" s="4" t="n">
        <v>3</v>
      </c>
      <c r="J1721" s="4" t="n">
        <v>18150</v>
      </c>
      <c r="K1721" s="4">
        <f>I1721*J1721</f>
        <v/>
      </c>
      <c r="L1721" t="inlineStr"/>
    </row>
    <row r="1722">
      <c r="A1722" t="inlineStr">
        <is>
          <t>SR072</t>
        </is>
      </c>
      <c r="B1722" t="inlineStr">
        <is>
          <t>営業担当072</t>
        </is>
      </c>
      <c r="C1722" t="inlineStr">
        <is>
          <t>第2営業部</t>
        </is>
      </c>
      <c r="D1722" s="3" t="n">
        <v>45936</v>
      </c>
      <c r="E1722" t="inlineStr">
        <is>
          <t>大和精機有限会社</t>
        </is>
      </c>
      <c r="F1722" t="inlineStr">
        <is>
          <t>京都府</t>
        </is>
      </c>
      <c r="G1722" t="inlineStr">
        <is>
          <t>ソフトウェア</t>
        </is>
      </c>
      <c r="H1722" t="inlineStr">
        <is>
          <t>営業支援SaaS</t>
        </is>
      </c>
      <c r="I1722" s="4" t="n">
        <v>2</v>
      </c>
      <c r="J1722" s="4" t="n">
        <v>169200</v>
      </c>
      <c r="K1722" s="4">
        <f>I1722*J1722</f>
        <v/>
      </c>
      <c r="L1722" t="inlineStr">
        <is>
          <t>分納</t>
        </is>
      </c>
    </row>
    <row r="1723">
      <c r="A1723" t="inlineStr">
        <is>
          <t>SR072</t>
        </is>
      </c>
      <c r="B1723" t="inlineStr">
        <is>
          <t>営業担当072</t>
        </is>
      </c>
      <c r="C1723" t="inlineStr">
        <is>
          <t>第2営業部</t>
        </is>
      </c>
      <c r="D1723" s="3" t="n">
        <v>45971</v>
      </c>
      <c r="E1723" t="inlineStr">
        <is>
          <t>ネクストソリューション(株)</t>
        </is>
      </c>
      <c r="F1723" t="inlineStr">
        <is>
          <t>神奈川県</t>
        </is>
      </c>
      <c r="G1723" t="inlineStr">
        <is>
          <t>ハードウェア</t>
        </is>
      </c>
      <c r="H1723" t="inlineStr">
        <is>
          <t>ラベルプリンター</t>
        </is>
      </c>
      <c r="I1723" s="4" t="n">
        <v>5</v>
      </c>
      <c r="J1723" s="4" t="n">
        <v>56700</v>
      </c>
      <c r="K1723" s="4">
        <f>I1723*J1723</f>
        <v/>
      </c>
      <c r="L1723" t="inlineStr"/>
    </row>
    <row r="1724">
      <c r="A1724" t="inlineStr">
        <is>
          <t>SR072</t>
        </is>
      </c>
      <c r="B1724" t="inlineStr">
        <is>
          <t>営業担当072</t>
        </is>
      </c>
      <c r="C1724" t="inlineStr">
        <is>
          <t>第2営業部</t>
        </is>
      </c>
      <c r="D1724" s="3" t="n">
        <v>45985</v>
      </c>
      <c r="E1724" t="inlineStr">
        <is>
          <t>ライトホーム(株)</t>
        </is>
      </c>
      <c r="F1724" t="inlineStr">
        <is>
          <t>北海道</t>
        </is>
      </c>
      <c r="G1724" t="inlineStr">
        <is>
          <t>導入支援</t>
        </is>
      </c>
      <c r="H1724" t="inlineStr">
        <is>
          <t>初期設定支援</t>
        </is>
      </c>
      <c r="I1724" s="4" t="n">
        <v>2</v>
      </c>
      <c r="J1724" s="4" t="n">
        <v>68500</v>
      </c>
      <c r="K1724" s="4">
        <f>I1724*J1724</f>
        <v/>
      </c>
      <c r="L1724" t="inlineStr">
        <is>
          <t>値引き調整あり</t>
        </is>
      </c>
    </row>
    <row r="1725">
      <c r="A1725" t="inlineStr">
        <is>
          <t>SR072</t>
        </is>
      </c>
      <c r="B1725" t="inlineStr">
        <is>
          <t>営業担当072</t>
        </is>
      </c>
      <c r="C1725" t="inlineStr">
        <is>
          <t>第2営業部</t>
        </is>
      </c>
      <c r="D1725" s="3" t="n">
        <v>46003</v>
      </c>
      <c r="E1725" t="inlineStr">
        <is>
          <t>ネクストソリューション(株)</t>
        </is>
      </c>
      <c r="F1725" t="inlineStr">
        <is>
          <t>京都府</t>
        </is>
      </c>
      <c r="G1725" t="inlineStr">
        <is>
          <t>ソフトウェア</t>
        </is>
      </c>
      <c r="H1725" t="inlineStr">
        <is>
          <t>AIチャットボット</t>
        </is>
      </c>
      <c r="I1725" s="4" t="n">
        <v>1</v>
      </c>
      <c r="J1725" s="4" t="n">
        <v>255900</v>
      </c>
      <c r="K1725" s="4">
        <f>I1725*J1725</f>
        <v/>
      </c>
      <c r="L1725" t="inlineStr">
        <is>
          <t>キャンペーン適用</t>
        </is>
      </c>
    </row>
    <row r="1726">
      <c r="A1726" t="inlineStr">
        <is>
          <t>SR072</t>
        </is>
      </c>
      <c r="B1726" t="inlineStr">
        <is>
          <t>営業担当072</t>
        </is>
      </c>
      <c r="C1726" t="inlineStr">
        <is>
          <t>第2営業部</t>
        </is>
      </c>
      <c r="D1726" s="3" t="n">
        <v>46007</v>
      </c>
      <c r="E1726" t="inlineStr">
        <is>
          <t>ネクストソリューション有限会社</t>
        </is>
      </c>
      <c r="F1726" t="inlineStr">
        <is>
          <t>兵庫県</t>
        </is>
      </c>
      <c r="G1726" t="inlineStr">
        <is>
          <t>ハードウェア</t>
        </is>
      </c>
      <c r="H1726" t="inlineStr">
        <is>
          <t>小型ハンディ端末</t>
        </is>
      </c>
      <c r="I1726" s="4" t="n">
        <v>2</v>
      </c>
      <c r="J1726" s="4" t="n">
        <v>97700</v>
      </c>
      <c r="K1726" s="4">
        <f>I1726*J1726</f>
        <v/>
      </c>
      <c r="L1726" t="inlineStr"/>
    </row>
    <row r="1727">
      <c r="A1727" t="inlineStr">
        <is>
          <t>SR072</t>
        </is>
      </c>
      <c r="B1727" t="inlineStr">
        <is>
          <t>営業担当072</t>
        </is>
      </c>
      <c r="C1727" t="inlineStr">
        <is>
          <t>第2営業部</t>
        </is>
      </c>
      <c r="D1727" s="3" t="n">
        <v>46048</v>
      </c>
      <c r="E1727" t="inlineStr">
        <is>
          <t>グリーンテック株式会社</t>
        </is>
      </c>
      <c r="F1727" t="inlineStr">
        <is>
          <t>大阪府</t>
        </is>
      </c>
      <c r="G1727" t="inlineStr">
        <is>
          <t>ソフトウェア</t>
        </is>
      </c>
      <c r="H1727" t="inlineStr">
        <is>
          <t>AIチャットボット</t>
        </is>
      </c>
      <c r="I1727" s="4" t="n">
        <v>3</v>
      </c>
      <c r="J1727" s="4" t="n">
        <v>753800</v>
      </c>
      <c r="K1727" s="4">
        <f>I1727*J1727</f>
        <v/>
      </c>
      <c r="L1727" t="inlineStr"/>
    </row>
    <row r="1728">
      <c r="A1728" t="inlineStr">
        <is>
          <t>SR072</t>
        </is>
      </c>
      <c r="B1728" t="inlineStr">
        <is>
          <t>営業担当072</t>
        </is>
      </c>
      <c r="C1728" t="inlineStr">
        <is>
          <t>第2営業部</t>
        </is>
      </c>
      <c r="D1728" s="3" t="n">
        <v>46048</v>
      </c>
      <c r="E1728" t="inlineStr">
        <is>
          <t>アーク電機(株)</t>
        </is>
      </c>
      <c r="F1728" t="inlineStr">
        <is>
          <t>大阪府</t>
        </is>
      </c>
      <c r="G1728" t="inlineStr">
        <is>
          <t>保守サービス</t>
        </is>
      </c>
      <c r="H1728" t="inlineStr">
        <is>
          <t>オンサイト保守</t>
        </is>
      </c>
      <c r="I1728" s="4" t="n">
        <v>3</v>
      </c>
      <c r="J1728" s="4" t="n">
        <v>53300</v>
      </c>
      <c r="K1728" s="4">
        <f>I1728*J1728</f>
        <v/>
      </c>
      <c r="L1728" t="inlineStr">
        <is>
          <t>キャンペーン適用</t>
        </is>
      </c>
    </row>
    <row r="1729">
      <c r="A1729" t="inlineStr">
        <is>
          <t>SR072</t>
        </is>
      </c>
      <c r="B1729" t="inlineStr">
        <is>
          <t>営業担当072</t>
        </is>
      </c>
      <c r="C1729" t="inlineStr">
        <is>
          <t>第2営業部</t>
        </is>
      </c>
      <c r="D1729" s="3" t="n">
        <v>46061</v>
      </c>
      <c r="E1729" t="inlineStr">
        <is>
          <t>桜井メディカル(株)</t>
        </is>
      </c>
      <c r="F1729" t="inlineStr">
        <is>
          <t>福岡県</t>
        </is>
      </c>
      <c r="G1729" t="inlineStr">
        <is>
          <t>保守サービス</t>
        </is>
      </c>
      <c r="H1729" t="inlineStr">
        <is>
          <t>オンサイト保守</t>
        </is>
      </c>
      <c r="I1729" s="4" t="n">
        <v>4</v>
      </c>
      <c r="J1729" s="4" t="n">
        <v>176800</v>
      </c>
      <c r="K1729" s="4">
        <f>I1729*J1729</f>
        <v/>
      </c>
      <c r="L1729" t="inlineStr">
        <is>
          <t>値引き調整あり</t>
        </is>
      </c>
    </row>
    <row r="1730">
      <c r="A1730" t="inlineStr">
        <is>
          <t>SR072</t>
        </is>
      </c>
      <c r="B1730" t="inlineStr">
        <is>
          <t>営業担当072</t>
        </is>
      </c>
      <c r="C1730" t="inlineStr">
        <is>
          <t>第2営業部</t>
        </is>
      </c>
      <c r="D1730" s="3" t="n">
        <v>46081</v>
      </c>
      <c r="E1730" t="inlineStr">
        <is>
          <t>サンライズ建設株式会社</t>
        </is>
      </c>
      <c r="F1730" t="inlineStr">
        <is>
          <t>大阪府</t>
        </is>
      </c>
      <c r="G1730" t="inlineStr">
        <is>
          <t>導入支援</t>
        </is>
      </c>
      <c r="H1730" t="inlineStr">
        <is>
          <t>データ移行支援</t>
        </is>
      </c>
      <c r="I1730" s="4" t="n">
        <v>1</v>
      </c>
      <c r="J1730" s="4" t="n">
        <v>192500</v>
      </c>
      <c r="K1730" s="4">
        <f>I1730*J1730</f>
        <v/>
      </c>
      <c r="L1730" t="inlineStr">
        <is>
          <t>新規開拓</t>
        </is>
      </c>
    </row>
    <row r="1731">
      <c r="A1731" t="inlineStr">
        <is>
          <t>SR072</t>
        </is>
      </c>
      <c r="B1731" t="inlineStr">
        <is>
          <t>営業担当072</t>
        </is>
      </c>
      <c r="C1731" t="inlineStr">
        <is>
          <t>第2営業部</t>
        </is>
      </c>
      <c r="D1731" s="3" t="n">
        <v>46083</v>
      </c>
      <c r="E1731" t="inlineStr">
        <is>
          <t>グリーンテック株式会社</t>
        </is>
      </c>
      <c r="F1731" t="inlineStr">
        <is>
          <t>福岡県</t>
        </is>
      </c>
      <c r="G1731" t="inlineStr">
        <is>
          <t>消耗品</t>
        </is>
      </c>
      <c r="H1731" t="inlineStr">
        <is>
          <t>ラベルロール</t>
        </is>
      </c>
      <c r="I1731" s="4" t="n">
        <v>3</v>
      </c>
      <c r="J1731" s="4" t="n">
        <v>5380</v>
      </c>
      <c r="K1731" s="4">
        <f>I1731*J1731</f>
        <v/>
      </c>
      <c r="L1731" t="inlineStr"/>
    </row>
    <row r="1732">
      <c r="A1732" t="inlineStr">
        <is>
          <t>SR072</t>
        </is>
      </c>
      <c r="B1732" t="inlineStr">
        <is>
          <t>営業担当072</t>
        </is>
      </c>
      <c r="C1732" t="inlineStr">
        <is>
          <t>第2営業部</t>
        </is>
      </c>
      <c r="D1732" s="3" t="n">
        <v>46098</v>
      </c>
      <c r="E1732" t="inlineStr">
        <is>
          <t>星和商会(株)</t>
        </is>
      </c>
      <c r="F1732" t="inlineStr">
        <is>
          <t>福岡県</t>
        </is>
      </c>
      <c r="G1732" t="inlineStr">
        <is>
          <t>保守サービス</t>
        </is>
      </c>
      <c r="H1732" t="inlineStr">
        <is>
          <t>オンサイト保守</t>
        </is>
      </c>
      <c r="I1732" s="4" t="n">
        <v>3</v>
      </c>
      <c r="J1732" s="4" t="n">
        <v>175400</v>
      </c>
      <c r="K1732" s="4">
        <f>I1732*J1732</f>
        <v/>
      </c>
      <c r="L1732" t="inlineStr"/>
    </row>
    <row r="1733">
      <c r="A1733" t="inlineStr">
        <is>
          <t>SR073</t>
        </is>
      </c>
      <c r="B1733" t="inlineStr">
        <is>
          <t>営業担当073</t>
        </is>
      </c>
      <c r="C1733" t="inlineStr">
        <is>
          <t>第3営業部</t>
        </is>
      </c>
      <c r="D1733" s="3" t="n">
        <v>45758</v>
      </c>
      <c r="E1733" t="inlineStr">
        <is>
          <t>グリーンテック有限会社</t>
        </is>
      </c>
      <c r="F1733" t="inlineStr">
        <is>
          <t>神奈川県</t>
        </is>
      </c>
      <c r="G1733" t="inlineStr">
        <is>
          <t>ソフトウェア</t>
        </is>
      </c>
      <c r="H1733" t="inlineStr">
        <is>
          <t>在庫管理クラウド</t>
        </is>
      </c>
      <c r="I1733" s="4" t="n">
        <v>3</v>
      </c>
      <c r="J1733" s="4" t="n">
        <v>470100</v>
      </c>
      <c r="K1733" s="4">
        <f>I1733*J1733</f>
        <v/>
      </c>
      <c r="L1733" t="inlineStr">
        <is>
          <t>値引き調整あり</t>
        </is>
      </c>
    </row>
    <row r="1734">
      <c r="A1734" t="inlineStr">
        <is>
          <t>SR073</t>
        </is>
      </c>
      <c r="B1734" t="inlineStr">
        <is>
          <t>営業担当073</t>
        </is>
      </c>
      <c r="C1734" t="inlineStr">
        <is>
          <t>第3営業部</t>
        </is>
      </c>
      <c r="D1734" s="3" t="n">
        <v>45766</v>
      </c>
      <c r="E1734" t="inlineStr">
        <is>
          <t>北斗産業有限会社</t>
        </is>
      </c>
      <c r="F1734" t="inlineStr">
        <is>
          <t>宮城県</t>
        </is>
      </c>
      <c r="G1734" t="inlineStr">
        <is>
          <t>ソフトウェア</t>
        </is>
      </c>
      <c r="H1734" t="inlineStr">
        <is>
          <t>営業支援SaaS</t>
        </is>
      </c>
      <c r="I1734" s="4" t="n">
        <v>2</v>
      </c>
      <c r="J1734" s="4" t="n">
        <v>125800</v>
      </c>
      <c r="K1734" s="4">
        <f>I1734*J1734</f>
        <v/>
      </c>
      <c r="L1734" t="inlineStr"/>
    </row>
    <row r="1735">
      <c r="A1735" t="inlineStr">
        <is>
          <t>SR073</t>
        </is>
      </c>
      <c r="B1735" t="inlineStr">
        <is>
          <t>営業担当073</t>
        </is>
      </c>
      <c r="C1735" t="inlineStr">
        <is>
          <t>第3営業部</t>
        </is>
      </c>
      <c r="D1735" s="3" t="n">
        <v>45798</v>
      </c>
      <c r="E1735" t="inlineStr">
        <is>
          <t>北斗産業株式会社</t>
        </is>
      </c>
      <c r="F1735" t="inlineStr">
        <is>
          <t>福岡県</t>
        </is>
      </c>
      <c r="G1735" t="inlineStr">
        <is>
          <t>導入支援</t>
        </is>
      </c>
      <c r="H1735" t="inlineStr">
        <is>
          <t>データ移行支援</t>
        </is>
      </c>
      <c r="I1735" s="4" t="n">
        <v>1</v>
      </c>
      <c r="J1735" s="4" t="n">
        <v>314300</v>
      </c>
      <c r="K1735" s="4">
        <f>I1735*J1735</f>
        <v/>
      </c>
      <c r="L1735" t="inlineStr">
        <is>
          <t>分納</t>
        </is>
      </c>
    </row>
    <row r="1736">
      <c r="A1736" t="inlineStr">
        <is>
          <t>SR073</t>
        </is>
      </c>
      <c r="B1736" t="inlineStr">
        <is>
          <t>営業担当073</t>
        </is>
      </c>
      <c r="C1736" t="inlineStr">
        <is>
          <t>第3営業部</t>
        </is>
      </c>
      <c r="D1736" s="3" t="n">
        <v>45799</v>
      </c>
      <c r="E1736" t="inlineStr">
        <is>
          <t>サンライズ建設株式会社</t>
        </is>
      </c>
      <c r="F1736" t="inlineStr">
        <is>
          <t>兵庫県</t>
        </is>
      </c>
      <c r="G1736" t="inlineStr">
        <is>
          <t>消耗品</t>
        </is>
      </c>
      <c r="H1736" t="inlineStr">
        <is>
          <t>ラベルロール</t>
        </is>
      </c>
      <c r="I1736" s="4" t="n">
        <v>1</v>
      </c>
      <c r="J1736" s="4" t="n">
        <v>10600</v>
      </c>
      <c r="K1736" s="4">
        <f>I1736*J1736</f>
        <v/>
      </c>
      <c r="L1736" t="inlineStr"/>
    </row>
    <row r="1737">
      <c r="A1737" t="inlineStr">
        <is>
          <t>SR073</t>
        </is>
      </c>
      <c r="B1737" t="inlineStr">
        <is>
          <t>営業担当073</t>
        </is>
      </c>
      <c r="C1737" t="inlineStr">
        <is>
          <t>第3営業部</t>
        </is>
      </c>
      <c r="D1737" s="3" t="n">
        <v>45813</v>
      </c>
      <c r="E1737" t="inlineStr">
        <is>
          <t>ネクストソリューション株式会社</t>
        </is>
      </c>
      <c r="F1737" t="inlineStr">
        <is>
          <t>愛知県</t>
        </is>
      </c>
      <c r="G1737" t="inlineStr">
        <is>
          <t>導入支援</t>
        </is>
      </c>
      <c r="H1737" t="inlineStr">
        <is>
          <t>初期設定支援</t>
        </is>
      </c>
      <c r="I1737" s="4" t="n">
        <v>4</v>
      </c>
      <c r="J1737" s="4" t="n">
        <v>130000</v>
      </c>
      <c r="K1737" s="4">
        <f>I1737*J1737</f>
        <v/>
      </c>
      <c r="L1737" t="inlineStr">
        <is>
          <t>大型案件</t>
        </is>
      </c>
    </row>
    <row r="1738">
      <c r="A1738" t="inlineStr">
        <is>
          <t>SR073</t>
        </is>
      </c>
      <c r="B1738" t="inlineStr">
        <is>
          <t>営業担当073</t>
        </is>
      </c>
      <c r="C1738" t="inlineStr">
        <is>
          <t>第3営業部</t>
        </is>
      </c>
      <c r="D1738" s="3" t="n">
        <v>45824</v>
      </c>
      <c r="E1738" t="inlineStr">
        <is>
          <t>福岡流通株式会社</t>
        </is>
      </c>
      <c r="F1738" t="inlineStr">
        <is>
          <t>兵庫県</t>
        </is>
      </c>
      <c r="G1738" t="inlineStr">
        <is>
          <t>導入支援</t>
        </is>
      </c>
      <c r="H1738" t="inlineStr">
        <is>
          <t>データ移行支援</t>
        </is>
      </c>
      <c r="I1738" s="4" t="n">
        <v>2</v>
      </c>
      <c r="J1738" s="4" t="n">
        <v>265600</v>
      </c>
      <c r="K1738" s="4">
        <f>I1738*J1738</f>
        <v/>
      </c>
      <c r="L1738" t="inlineStr">
        <is>
          <t>リピート受注</t>
        </is>
      </c>
    </row>
    <row r="1739">
      <c r="A1739" t="inlineStr">
        <is>
          <t>SR073</t>
        </is>
      </c>
      <c r="B1739" t="inlineStr">
        <is>
          <t>営業担当073</t>
        </is>
      </c>
      <c r="C1739" t="inlineStr">
        <is>
          <t>第3営業部</t>
        </is>
      </c>
      <c r="D1739" s="3" t="n">
        <v>45846</v>
      </c>
      <c r="E1739" t="inlineStr">
        <is>
          <t>福岡流通株式会社</t>
        </is>
      </c>
      <c r="F1739" t="inlineStr">
        <is>
          <t>愛知県</t>
        </is>
      </c>
      <c r="G1739" t="inlineStr">
        <is>
          <t>保守サービス</t>
        </is>
      </c>
      <c r="H1739" t="inlineStr">
        <is>
          <t>年間保守契約</t>
        </is>
      </c>
      <c r="I1739" s="4" t="n">
        <v>4</v>
      </c>
      <c r="J1739" s="4" t="n">
        <v>110500</v>
      </c>
      <c r="K1739" s="4">
        <f>I1739*J1739</f>
        <v/>
      </c>
      <c r="L1739" t="inlineStr"/>
    </row>
    <row r="1740">
      <c r="A1740" t="inlineStr">
        <is>
          <t>SR073</t>
        </is>
      </c>
      <c r="B1740" t="inlineStr">
        <is>
          <t>営業担当073</t>
        </is>
      </c>
      <c r="C1740" t="inlineStr">
        <is>
          <t>第3営業部</t>
        </is>
      </c>
      <c r="D1740" s="3" t="n">
        <v>45856</v>
      </c>
      <c r="E1740" t="inlineStr">
        <is>
          <t>白峰化学株式会社</t>
        </is>
      </c>
      <c r="F1740" t="inlineStr">
        <is>
          <t>神奈川県</t>
        </is>
      </c>
      <c r="G1740" t="inlineStr">
        <is>
          <t>消耗品</t>
        </is>
      </c>
      <c r="H1740" t="inlineStr">
        <is>
          <t>保守用バッテリー</t>
        </is>
      </c>
      <c r="I1740" s="4" t="n">
        <v>6</v>
      </c>
      <c r="J1740" s="4" t="n">
        <v>9610</v>
      </c>
      <c r="K1740" s="4">
        <f>I1740*J1740</f>
        <v/>
      </c>
      <c r="L1740" t="inlineStr">
        <is>
          <t>リピート受注</t>
        </is>
      </c>
    </row>
    <row r="1741">
      <c r="A1741" t="inlineStr">
        <is>
          <t>SR073</t>
        </is>
      </c>
      <c r="B1741" t="inlineStr">
        <is>
          <t>営業担当073</t>
        </is>
      </c>
      <c r="C1741" t="inlineStr">
        <is>
          <t>第3営業部</t>
        </is>
      </c>
      <c r="D1741" s="3" t="n">
        <v>45876</v>
      </c>
      <c r="E1741" t="inlineStr">
        <is>
          <t>白峰化学株式会社</t>
        </is>
      </c>
      <c r="F1741" t="inlineStr">
        <is>
          <t>神奈川県</t>
        </is>
      </c>
      <c r="G1741" t="inlineStr">
        <is>
          <t>保守サービス</t>
        </is>
      </c>
      <c r="H1741" t="inlineStr">
        <is>
          <t>年間保守契約</t>
        </is>
      </c>
      <c r="I1741" s="4" t="n">
        <v>1</v>
      </c>
      <c r="J1741" s="4" t="n">
        <v>273200</v>
      </c>
      <c r="K1741" s="4">
        <f>I1741*J1741</f>
        <v/>
      </c>
      <c r="L1741" t="inlineStr">
        <is>
          <t>リピート受注</t>
        </is>
      </c>
    </row>
    <row r="1742">
      <c r="A1742" t="inlineStr">
        <is>
          <t>SR073</t>
        </is>
      </c>
      <c r="B1742" t="inlineStr">
        <is>
          <t>営業担当073</t>
        </is>
      </c>
      <c r="C1742" t="inlineStr">
        <is>
          <t>第3営業部</t>
        </is>
      </c>
      <c r="D1742" s="3" t="n">
        <v>45880</v>
      </c>
      <c r="E1742" t="inlineStr">
        <is>
          <t>ネクストソリューション有限会社</t>
        </is>
      </c>
      <c r="F1742" t="inlineStr">
        <is>
          <t>広島県</t>
        </is>
      </c>
      <c r="G1742" t="inlineStr">
        <is>
          <t>ソフトウェア</t>
        </is>
      </c>
      <c r="H1742" t="inlineStr">
        <is>
          <t>帳票自動化ツール</t>
        </is>
      </c>
      <c r="I1742" s="4" t="n">
        <v>5</v>
      </c>
      <c r="J1742" s="4" t="n">
        <v>257600</v>
      </c>
      <c r="K1742" s="4">
        <f>I1742*J1742</f>
        <v/>
      </c>
      <c r="L1742" t="inlineStr"/>
    </row>
    <row r="1743">
      <c r="A1743" t="inlineStr">
        <is>
          <t>SR073</t>
        </is>
      </c>
      <c r="B1743" t="inlineStr">
        <is>
          <t>営業担当073</t>
        </is>
      </c>
      <c r="C1743" t="inlineStr">
        <is>
          <t>第3営業部</t>
        </is>
      </c>
      <c r="D1743" s="3" t="n">
        <v>45917</v>
      </c>
      <c r="E1743" t="inlineStr">
        <is>
          <t>中央設備有限会社</t>
        </is>
      </c>
      <c r="F1743" t="inlineStr">
        <is>
          <t>兵庫県</t>
        </is>
      </c>
      <c r="G1743" t="inlineStr">
        <is>
          <t>導入支援</t>
        </is>
      </c>
      <c r="H1743" t="inlineStr">
        <is>
          <t>初期設定支援</t>
        </is>
      </c>
      <c r="I1743" s="4" t="n">
        <v>4</v>
      </c>
      <c r="J1743" s="4" t="n">
        <v>111100</v>
      </c>
      <c r="K1743" s="4">
        <f>I1743*J1743</f>
        <v/>
      </c>
      <c r="L1743" t="inlineStr"/>
    </row>
    <row r="1744">
      <c r="A1744" t="inlineStr">
        <is>
          <t>SR073</t>
        </is>
      </c>
      <c r="B1744" t="inlineStr">
        <is>
          <t>営業担当073</t>
        </is>
      </c>
      <c r="C1744" t="inlineStr">
        <is>
          <t>第3営業部</t>
        </is>
      </c>
      <c r="D1744" s="3" t="n">
        <v>45926</v>
      </c>
      <c r="E1744" t="inlineStr">
        <is>
          <t>福岡流通(株)</t>
        </is>
      </c>
      <c r="F1744" t="inlineStr">
        <is>
          <t>東京都</t>
        </is>
      </c>
      <c r="G1744" t="inlineStr">
        <is>
          <t>消耗品</t>
        </is>
      </c>
      <c r="H1744" t="inlineStr">
        <is>
          <t>ラベルロール</t>
        </is>
      </c>
      <c r="I1744" s="4" t="n">
        <v>2</v>
      </c>
      <c r="J1744" s="4" t="n">
        <v>6850</v>
      </c>
      <c r="K1744" s="4">
        <f>I1744*J1744</f>
        <v/>
      </c>
      <c r="L1744" t="inlineStr">
        <is>
          <t>分納</t>
        </is>
      </c>
    </row>
    <row r="1745">
      <c r="A1745" t="inlineStr">
        <is>
          <t>SR073</t>
        </is>
      </c>
      <c r="B1745" t="inlineStr">
        <is>
          <t>営業担当073</t>
        </is>
      </c>
      <c r="C1745" t="inlineStr">
        <is>
          <t>第3営業部</t>
        </is>
      </c>
      <c r="D1745" s="3" t="n">
        <v>45948</v>
      </c>
      <c r="E1745" t="inlineStr">
        <is>
          <t>ライトホーム(株)</t>
        </is>
      </c>
      <c r="F1745" t="inlineStr">
        <is>
          <t>福岡県</t>
        </is>
      </c>
      <c r="G1745" t="inlineStr">
        <is>
          <t>ソフトウェア</t>
        </is>
      </c>
      <c r="H1745" t="inlineStr">
        <is>
          <t>帳票自動化ツール</t>
        </is>
      </c>
      <c r="I1745" s="4" t="n">
        <v>3</v>
      </c>
      <c r="J1745" s="4" t="n">
        <v>166700</v>
      </c>
      <c r="K1745" s="4">
        <f>I1745*J1745</f>
        <v/>
      </c>
      <c r="L1745" t="inlineStr">
        <is>
          <t>キャンペーン適用</t>
        </is>
      </c>
    </row>
    <row r="1746">
      <c r="A1746" t="inlineStr">
        <is>
          <t>SR073</t>
        </is>
      </c>
      <c r="B1746" t="inlineStr">
        <is>
          <t>営業担当073</t>
        </is>
      </c>
      <c r="C1746" t="inlineStr">
        <is>
          <t>第3営業部</t>
        </is>
      </c>
      <c r="D1746" s="3" t="n">
        <v>45957</v>
      </c>
      <c r="E1746" t="inlineStr">
        <is>
          <t>中央設備株式会社</t>
        </is>
      </c>
      <c r="F1746" t="inlineStr">
        <is>
          <t>京都府</t>
        </is>
      </c>
      <c r="G1746" t="inlineStr">
        <is>
          <t>保守サービス</t>
        </is>
      </c>
      <c r="H1746" t="inlineStr">
        <is>
          <t>年間保守契約</t>
        </is>
      </c>
      <c r="I1746" s="4" t="n">
        <v>3</v>
      </c>
      <c r="J1746" s="4" t="n">
        <v>185700</v>
      </c>
      <c r="K1746" s="4">
        <f>I1746*J1746</f>
        <v/>
      </c>
      <c r="L1746" t="inlineStr">
        <is>
          <t>分納</t>
        </is>
      </c>
    </row>
    <row r="1747">
      <c r="A1747" t="inlineStr">
        <is>
          <t>SR073</t>
        </is>
      </c>
      <c r="B1747" t="inlineStr">
        <is>
          <t>営業担当073</t>
        </is>
      </c>
      <c r="C1747" t="inlineStr">
        <is>
          <t>第3営業部</t>
        </is>
      </c>
      <c r="D1747" s="3" t="n">
        <v>45975</v>
      </c>
      <c r="E1747" t="inlineStr">
        <is>
          <t>九州エナジー株式会社</t>
        </is>
      </c>
      <c r="F1747" t="inlineStr">
        <is>
          <t>京都府</t>
        </is>
      </c>
      <c r="G1747" t="inlineStr">
        <is>
          <t>ハードウェア</t>
        </is>
      </c>
      <c r="H1747" t="inlineStr">
        <is>
          <t>ネットワークカメラ</t>
        </is>
      </c>
      <c r="I1747" s="4" t="n">
        <v>5</v>
      </c>
      <c r="J1747" s="4" t="n">
        <v>43900</v>
      </c>
      <c r="K1747" s="4">
        <f>I1747*J1747</f>
        <v/>
      </c>
      <c r="L1747" t="inlineStr"/>
    </row>
    <row r="1748">
      <c r="A1748" t="inlineStr">
        <is>
          <t>SR073</t>
        </is>
      </c>
      <c r="B1748" t="inlineStr">
        <is>
          <t>営業担当073</t>
        </is>
      </c>
      <c r="C1748" t="inlineStr">
        <is>
          <t>第3営業部</t>
        </is>
      </c>
      <c r="D1748" s="3" t="n">
        <v>45988</v>
      </c>
      <c r="E1748" t="inlineStr">
        <is>
          <t>未来通信株式会社</t>
        </is>
      </c>
      <c r="F1748" t="inlineStr">
        <is>
          <t>広島県</t>
        </is>
      </c>
      <c r="G1748" t="inlineStr">
        <is>
          <t>導入支援</t>
        </is>
      </c>
      <c r="H1748" t="inlineStr">
        <is>
          <t>操作研修パック</t>
        </is>
      </c>
      <c r="I1748" s="4" t="n">
        <v>2</v>
      </c>
      <c r="J1748" s="4" t="n">
        <v>129700</v>
      </c>
      <c r="K1748" s="4">
        <f>I1748*J1748</f>
        <v/>
      </c>
      <c r="L1748" t="inlineStr">
        <is>
          <t>リピート受注</t>
        </is>
      </c>
    </row>
    <row r="1749">
      <c r="A1749" t="inlineStr">
        <is>
          <t>SR073</t>
        </is>
      </c>
      <c r="B1749" t="inlineStr">
        <is>
          <t>営業担当073</t>
        </is>
      </c>
      <c r="C1749" t="inlineStr">
        <is>
          <t>第3営業部</t>
        </is>
      </c>
      <c r="D1749" s="3" t="n">
        <v>45999</v>
      </c>
      <c r="E1749" t="inlineStr">
        <is>
          <t>大和精機株式会社</t>
        </is>
      </c>
      <c r="F1749" t="inlineStr">
        <is>
          <t>大阪府</t>
        </is>
      </c>
      <c r="G1749" t="inlineStr">
        <is>
          <t>消耗品</t>
        </is>
      </c>
      <c r="H1749" t="inlineStr">
        <is>
          <t>交換用ヘッド</t>
        </is>
      </c>
      <c r="I1749" s="4" t="n">
        <v>14</v>
      </c>
      <c r="J1749" s="4" t="n">
        <v>26850</v>
      </c>
      <c r="K1749" s="4">
        <f>I1749*J1749</f>
        <v/>
      </c>
      <c r="L1749" t="inlineStr">
        <is>
          <t>大型案件</t>
        </is>
      </c>
    </row>
    <row r="1750">
      <c r="A1750" t="inlineStr">
        <is>
          <t>SR073</t>
        </is>
      </c>
      <c r="B1750" t="inlineStr">
        <is>
          <t>営業担当073</t>
        </is>
      </c>
      <c r="C1750" t="inlineStr">
        <is>
          <t>第3営業部</t>
        </is>
      </c>
      <c r="D1750" s="3" t="n">
        <v>46018</v>
      </c>
      <c r="E1750" t="inlineStr">
        <is>
          <t>桜井メディカル株式会社</t>
        </is>
      </c>
      <c r="F1750" t="inlineStr">
        <is>
          <t>愛知県</t>
        </is>
      </c>
      <c r="G1750" t="inlineStr">
        <is>
          <t>保守サービス</t>
        </is>
      </c>
      <c r="H1750" t="inlineStr">
        <is>
          <t>ヘルプデスク契約</t>
        </is>
      </c>
      <c r="I1750" s="4" t="n">
        <v>5</v>
      </c>
      <c r="J1750" s="4" t="n">
        <v>115800</v>
      </c>
      <c r="K1750" s="4">
        <f>I1750*J1750</f>
        <v/>
      </c>
      <c r="L1750" t="inlineStr"/>
    </row>
    <row r="1751">
      <c r="A1751" t="inlineStr">
        <is>
          <t>SR073</t>
        </is>
      </c>
      <c r="B1751" t="inlineStr">
        <is>
          <t>営業担当073</t>
        </is>
      </c>
      <c r="C1751" t="inlineStr">
        <is>
          <t>第3営業部</t>
        </is>
      </c>
      <c r="D1751" s="3" t="n">
        <v>46041</v>
      </c>
      <c r="E1751" t="inlineStr">
        <is>
          <t>大和精機有限会社</t>
        </is>
      </c>
      <c r="F1751" t="inlineStr">
        <is>
          <t>東京都</t>
        </is>
      </c>
      <c r="G1751" t="inlineStr">
        <is>
          <t>消耗品</t>
        </is>
      </c>
      <c r="H1751" t="inlineStr">
        <is>
          <t>保守用バッテリー</t>
        </is>
      </c>
      <c r="I1751" s="4" t="n">
        <v>9</v>
      </c>
      <c r="J1751" s="4" t="n">
        <v>10510</v>
      </c>
      <c r="K1751" s="4">
        <f>I1751*J1751</f>
        <v/>
      </c>
      <c r="L1751" t="inlineStr">
        <is>
          <t>値引き調整あり</t>
        </is>
      </c>
    </row>
    <row r="1752">
      <c r="A1752" t="inlineStr">
        <is>
          <t>SR073</t>
        </is>
      </c>
      <c r="B1752" t="inlineStr">
        <is>
          <t>営業担当073</t>
        </is>
      </c>
      <c r="C1752" t="inlineStr">
        <is>
          <t>第3営業部</t>
        </is>
      </c>
      <c r="D1752" s="3" t="n">
        <v>46050</v>
      </c>
      <c r="E1752" t="inlineStr">
        <is>
          <t>ネクストソリューション有限会社</t>
        </is>
      </c>
      <c r="F1752" t="inlineStr">
        <is>
          <t>宮城県</t>
        </is>
      </c>
      <c r="G1752" t="inlineStr">
        <is>
          <t>導入支援</t>
        </is>
      </c>
      <c r="H1752" t="inlineStr">
        <is>
          <t>初期設定支援</t>
        </is>
      </c>
      <c r="I1752" s="4" t="n">
        <v>1</v>
      </c>
      <c r="J1752" s="4" t="n">
        <v>207600</v>
      </c>
      <c r="K1752" s="4">
        <f>I1752*J1752</f>
        <v/>
      </c>
      <c r="L1752" t="inlineStr">
        <is>
          <t>リピート受注</t>
        </is>
      </c>
    </row>
    <row r="1753">
      <c r="A1753" t="inlineStr">
        <is>
          <t>SR073</t>
        </is>
      </c>
      <c r="B1753" t="inlineStr">
        <is>
          <t>営業担当073</t>
        </is>
      </c>
      <c r="C1753" t="inlineStr">
        <is>
          <t>第3営業部</t>
        </is>
      </c>
      <c r="D1753" s="3" t="n">
        <v>46059</v>
      </c>
      <c r="E1753" t="inlineStr">
        <is>
          <t>福岡流通株式会社</t>
        </is>
      </c>
      <c r="F1753" t="inlineStr">
        <is>
          <t>大阪府</t>
        </is>
      </c>
      <c r="G1753" t="inlineStr">
        <is>
          <t>ハードウェア</t>
        </is>
      </c>
      <c r="H1753" t="inlineStr">
        <is>
          <t>小型ハンディ端末</t>
        </is>
      </c>
      <c r="I1753" s="4" t="n">
        <v>2</v>
      </c>
      <c r="J1753" s="4" t="n">
        <v>88400</v>
      </c>
      <c r="K1753" s="4">
        <f>I1753*J1753</f>
        <v/>
      </c>
      <c r="L1753" t="inlineStr">
        <is>
          <t>大型案件</t>
        </is>
      </c>
    </row>
    <row r="1754">
      <c r="A1754" t="inlineStr">
        <is>
          <t>SR073</t>
        </is>
      </c>
      <c r="B1754" t="inlineStr">
        <is>
          <t>営業担当073</t>
        </is>
      </c>
      <c r="C1754" t="inlineStr">
        <is>
          <t>第3営業部</t>
        </is>
      </c>
      <c r="D1754" s="3" t="n">
        <v>46080</v>
      </c>
      <c r="E1754" t="inlineStr">
        <is>
          <t>未来通信(株)</t>
        </is>
      </c>
      <c r="F1754" t="inlineStr">
        <is>
          <t>京都府</t>
        </is>
      </c>
      <c r="G1754" t="inlineStr">
        <is>
          <t>保守サービス</t>
        </is>
      </c>
      <c r="H1754" t="inlineStr">
        <is>
          <t>オンサイト保守</t>
        </is>
      </c>
      <c r="I1754" s="4" t="n">
        <v>3</v>
      </c>
      <c r="J1754" s="4" t="n">
        <v>113000</v>
      </c>
      <c r="K1754" s="4">
        <f>I1754*J1754</f>
        <v/>
      </c>
      <c r="L1754" t="inlineStr"/>
    </row>
    <row r="1755">
      <c r="A1755" t="inlineStr">
        <is>
          <t>SR073</t>
        </is>
      </c>
      <c r="B1755" t="inlineStr">
        <is>
          <t>営業担当073</t>
        </is>
      </c>
      <c r="C1755" t="inlineStr">
        <is>
          <t>第3営業部</t>
        </is>
      </c>
      <c r="D1755" s="3" t="n">
        <v>46082</v>
      </c>
      <c r="E1755" t="inlineStr">
        <is>
          <t>中央設備有限会社</t>
        </is>
      </c>
      <c r="F1755" t="inlineStr">
        <is>
          <t>広島県</t>
        </is>
      </c>
      <c r="G1755" t="inlineStr">
        <is>
          <t>ハードウェア</t>
        </is>
      </c>
      <c r="H1755" t="inlineStr">
        <is>
          <t>ネットワークカメラ</t>
        </is>
      </c>
      <c r="I1755" s="4" t="n">
        <v>2</v>
      </c>
      <c r="J1755" s="4" t="n">
        <v>68400</v>
      </c>
      <c r="K1755" s="4">
        <f>I1755*J1755</f>
        <v/>
      </c>
      <c r="L1755" t="inlineStr">
        <is>
          <t>リピート受注</t>
        </is>
      </c>
    </row>
    <row r="1756">
      <c r="A1756" t="inlineStr">
        <is>
          <t>SR073</t>
        </is>
      </c>
      <c r="B1756" t="inlineStr">
        <is>
          <t>営業担当073</t>
        </is>
      </c>
      <c r="C1756" t="inlineStr">
        <is>
          <t>第3営業部</t>
        </is>
      </c>
      <c r="D1756" s="3" t="n">
        <v>46090</v>
      </c>
      <c r="E1756" t="inlineStr">
        <is>
          <t>北斗産業(株)</t>
        </is>
      </c>
      <c r="F1756" t="inlineStr">
        <is>
          <t>神奈川県</t>
        </is>
      </c>
      <c r="G1756" t="inlineStr">
        <is>
          <t>導入支援</t>
        </is>
      </c>
      <c r="H1756" t="inlineStr">
        <is>
          <t>操作研修パック</t>
        </is>
      </c>
      <c r="I1756" s="4" t="n">
        <v>4</v>
      </c>
      <c r="J1756" s="4" t="n">
        <v>127500</v>
      </c>
      <c r="K1756" s="4">
        <f>I1756*J1756</f>
        <v/>
      </c>
      <c r="L1756" t="inlineStr">
        <is>
          <t>分納</t>
        </is>
      </c>
    </row>
    <row r="1757">
      <c r="A1757" t="inlineStr">
        <is>
          <t>SR074</t>
        </is>
      </c>
      <c r="B1757" t="inlineStr">
        <is>
          <t>営業担当074</t>
        </is>
      </c>
      <c r="C1757" t="inlineStr">
        <is>
          <t>パートナー営業部</t>
        </is>
      </c>
      <c r="D1757" s="3" t="n">
        <v>45751</v>
      </c>
      <c r="E1757" t="inlineStr">
        <is>
          <t>ネクストソリューション有限会社</t>
        </is>
      </c>
      <c r="F1757" t="inlineStr">
        <is>
          <t>兵庫県</t>
        </is>
      </c>
      <c r="G1757" t="inlineStr">
        <is>
          <t>消耗品</t>
        </is>
      </c>
      <c r="H1757" t="inlineStr">
        <is>
          <t>保守用バッテリー</t>
        </is>
      </c>
      <c r="I1757" s="4" t="n">
        <v>10</v>
      </c>
      <c r="J1757" s="4" t="n">
        <v>16420</v>
      </c>
      <c r="K1757" s="4">
        <f>I1757*J1757</f>
        <v/>
      </c>
      <c r="L1757" t="inlineStr">
        <is>
          <t>キャンペーン適用</t>
        </is>
      </c>
    </row>
    <row r="1758">
      <c r="A1758" t="inlineStr">
        <is>
          <t>SR074</t>
        </is>
      </c>
      <c r="B1758" t="inlineStr">
        <is>
          <t>営業担当074</t>
        </is>
      </c>
      <c r="C1758" t="inlineStr">
        <is>
          <t>パートナー営業部</t>
        </is>
      </c>
      <c r="D1758" s="3" t="n">
        <v>45767</v>
      </c>
      <c r="E1758" t="inlineStr">
        <is>
          <t>みらい物流株式会社</t>
        </is>
      </c>
      <c r="F1758" t="inlineStr">
        <is>
          <t>大阪府</t>
        </is>
      </c>
      <c r="G1758" t="inlineStr">
        <is>
          <t>ソフトウェア</t>
        </is>
      </c>
      <c r="H1758" t="inlineStr">
        <is>
          <t>AIチャットボット</t>
        </is>
      </c>
      <c r="I1758" s="4" t="n">
        <v>3</v>
      </c>
      <c r="J1758" s="4" t="n">
        <v>369400</v>
      </c>
      <c r="K1758" s="4">
        <f>I1758*J1758</f>
        <v/>
      </c>
      <c r="L1758" t="inlineStr">
        <is>
          <t>新規開拓</t>
        </is>
      </c>
    </row>
    <row r="1759">
      <c r="A1759" t="inlineStr">
        <is>
          <t>SR074</t>
        </is>
      </c>
      <c r="B1759" t="inlineStr">
        <is>
          <t>営業担当074</t>
        </is>
      </c>
      <c r="C1759" t="inlineStr">
        <is>
          <t>パートナー営業部</t>
        </is>
      </c>
      <c r="D1759" s="3" t="n">
        <v>45779</v>
      </c>
      <c r="E1759" t="inlineStr">
        <is>
          <t>ライトホーム株式会社</t>
        </is>
      </c>
      <c r="F1759" t="inlineStr">
        <is>
          <t>兵庫県</t>
        </is>
      </c>
      <c r="G1759" t="inlineStr">
        <is>
          <t>ソフトウェア</t>
        </is>
      </c>
      <c r="H1759" t="inlineStr">
        <is>
          <t>在庫管理クラウド</t>
        </is>
      </c>
      <c r="I1759" s="4" t="n">
        <v>1</v>
      </c>
      <c r="J1759" s="4" t="n">
        <v>277700</v>
      </c>
      <c r="K1759" s="4">
        <f>I1759*J1759</f>
        <v/>
      </c>
      <c r="L1759" t="inlineStr">
        <is>
          <t>新規開拓</t>
        </is>
      </c>
    </row>
    <row r="1760">
      <c r="A1760" t="inlineStr">
        <is>
          <t>SR074</t>
        </is>
      </c>
      <c r="B1760" t="inlineStr">
        <is>
          <t>営業担当074</t>
        </is>
      </c>
      <c r="C1760" t="inlineStr">
        <is>
          <t>パートナー営業部</t>
        </is>
      </c>
      <c r="D1760" s="3" t="n">
        <v>45795</v>
      </c>
      <c r="E1760" t="inlineStr">
        <is>
          <t>福岡流通(株)</t>
        </is>
      </c>
      <c r="F1760" t="inlineStr">
        <is>
          <t>福岡県</t>
        </is>
      </c>
      <c r="G1760" t="inlineStr">
        <is>
          <t>導入支援</t>
        </is>
      </c>
      <c r="H1760" t="inlineStr">
        <is>
          <t>初期設定支援</t>
        </is>
      </c>
      <c r="I1760" s="4" t="n">
        <v>3</v>
      </c>
      <c r="J1760" s="4" t="n">
        <v>175600</v>
      </c>
      <c r="K1760" s="4">
        <f>I1760*J1760</f>
        <v/>
      </c>
      <c r="L1760" t="inlineStr"/>
    </row>
    <row r="1761">
      <c r="A1761" t="inlineStr">
        <is>
          <t>SR074</t>
        </is>
      </c>
      <c r="B1761" t="inlineStr">
        <is>
          <t>営業担当074</t>
        </is>
      </c>
      <c r="C1761" t="inlineStr">
        <is>
          <t>パートナー営業部</t>
        </is>
      </c>
      <c r="D1761" s="3" t="n">
        <v>45819</v>
      </c>
      <c r="E1761" t="inlineStr">
        <is>
          <t>桜井メディカル(株)</t>
        </is>
      </c>
      <c r="F1761" t="inlineStr">
        <is>
          <t>東京都</t>
        </is>
      </c>
      <c r="G1761" t="inlineStr">
        <is>
          <t>ハードウェア</t>
        </is>
      </c>
      <c r="H1761" t="inlineStr">
        <is>
          <t>小型ハンディ端末</t>
        </is>
      </c>
      <c r="I1761" s="4" t="n">
        <v>3</v>
      </c>
      <c r="J1761" s="4" t="n">
        <v>47600</v>
      </c>
      <c r="K1761" s="4">
        <f>I1761*J1761</f>
        <v/>
      </c>
      <c r="L1761" t="inlineStr">
        <is>
          <t>分納</t>
        </is>
      </c>
    </row>
    <row r="1762">
      <c r="A1762" t="inlineStr">
        <is>
          <t>SR074</t>
        </is>
      </c>
      <c r="B1762" t="inlineStr">
        <is>
          <t>営業担当074</t>
        </is>
      </c>
      <c r="C1762" t="inlineStr">
        <is>
          <t>パートナー営業部</t>
        </is>
      </c>
      <c r="D1762" s="3" t="n">
        <v>45827</v>
      </c>
      <c r="E1762" t="inlineStr">
        <is>
          <t>ライトホーム(株)</t>
        </is>
      </c>
      <c r="F1762" t="inlineStr">
        <is>
          <t>宮城県</t>
        </is>
      </c>
      <c r="G1762" t="inlineStr">
        <is>
          <t>ソフトウェア</t>
        </is>
      </c>
      <c r="H1762" t="inlineStr">
        <is>
          <t>帳票自動化ツール</t>
        </is>
      </c>
      <c r="I1762" s="4" t="n">
        <v>4</v>
      </c>
      <c r="J1762" s="4" t="n">
        <v>338700</v>
      </c>
      <c r="K1762" s="4">
        <f>I1762*J1762</f>
        <v/>
      </c>
      <c r="L1762" t="inlineStr">
        <is>
          <t>値引き調整あり</t>
        </is>
      </c>
    </row>
    <row r="1763">
      <c r="A1763" t="inlineStr">
        <is>
          <t>SR074</t>
        </is>
      </c>
      <c r="B1763" t="inlineStr">
        <is>
          <t>営業担当074</t>
        </is>
      </c>
      <c r="C1763" t="inlineStr">
        <is>
          <t>パートナー営業部</t>
        </is>
      </c>
      <c r="D1763" s="3" t="n">
        <v>45840</v>
      </c>
      <c r="E1763" t="inlineStr">
        <is>
          <t>日新サービス有限会社</t>
        </is>
      </c>
      <c r="F1763" t="inlineStr">
        <is>
          <t>宮城県</t>
        </is>
      </c>
      <c r="G1763" t="inlineStr">
        <is>
          <t>ソフトウェア</t>
        </is>
      </c>
      <c r="H1763" t="inlineStr">
        <is>
          <t>営業支援SaaS</t>
        </is>
      </c>
      <c r="I1763" s="4" t="n">
        <v>5</v>
      </c>
      <c r="J1763" s="4" t="n">
        <v>194000</v>
      </c>
      <c r="K1763" s="4">
        <f>I1763*J1763</f>
        <v/>
      </c>
      <c r="L1763" t="inlineStr"/>
    </row>
    <row r="1764">
      <c r="A1764" t="inlineStr">
        <is>
          <t>SR074</t>
        </is>
      </c>
      <c r="B1764" t="inlineStr">
        <is>
          <t>営業担当074</t>
        </is>
      </c>
      <c r="C1764" t="inlineStr">
        <is>
          <t>パートナー営業部</t>
        </is>
      </c>
      <c r="D1764" s="3" t="n">
        <v>45846</v>
      </c>
      <c r="E1764" t="inlineStr">
        <is>
          <t>桜井メディカル株式会社</t>
        </is>
      </c>
      <c r="F1764" t="inlineStr">
        <is>
          <t>愛知県</t>
        </is>
      </c>
      <c r="G1764" t="inlineStr">
        <is>
          <t>導入支援</t>
        </is>
      </c>
      <c r="H1764" t="inlineStr">
        <is>
          <t>操作研修パック</t>
        </is>
      </c>
      <c r="I1764" s="4" t="n">
        <v>2</v>
      </c>
      <c r="J1764" s="4" t="n">
        <v>59700</v>
      </c>
      <c r="K1764" s="4">
        <f>I1764*J1764</f>
        <v/>
      </c>
      <c r="L1764" t="inlineStr"/>
    </row>
    <row r="1765">
      <c r="A1765" t="inlineStr">
        <is>
          <t>SR074</t>
        </is>
      </c>
      <c r="B1765" t="inlineStr">
        <is>
          <t>営業担当074</t>
        </is>
      </c>
      <c r="C1765" t="inlineStr">
        <is>
          <t>パートナー営業部</t>
        </is>
      </c>
      <c r="D1765" s="3" t="n">
        <v>45879</v>
      </c>
      <c r="E1765" t="inlineStr">
        <is>
          <t>桜井メディカル株式会社</t>
        </is>
      </c>
      <c r="F1765" t="inlineStr">
        <is>
          <t>兵庫県</t>
        </is>
      </c>
      <c r="G1765" t="inlineStr">
        <is>
          <t>導入支援</t>
        </is>
      </c>
      <c r="H1765" t="inlineStr">
        <is>
          <t>データ移行支援</t>
        </is>
      </c>
      <c r="I1765" s="4" t="n">
        <v>4</v>
      </c>
      <c r="J1765" s="4" t="n">
        <v>307800</v>
      </c>
      <c r="K1765" s="4">
        <f>I1765*J1765</f>
        <v/>
      </c>
      <c r="L1765" t="inlineStr">
        <is>
          <t>値引き調整あり</t>
        </is>
      </c>
    </row>
    <row r="1766">
      <c r="A1766" t="inlineStr">
        <is>
          <t>SR074</t>
        </is>
      </c>
      <c r="B1766" t="inlineStr">
        <is>
          <t>営業担当074</t>
        </is>
      </c>
      <c r="C1766" t="inlineStr">
        <is>
          <t>パートナー営業部</t>
        </is>
      </c>
      <c r="D1766" s="3" t="n">
        <v>45890</v>
      </c>
      <c r="E1766" t="inlineStr">
        <is>
          <t>オーシャン製作所株式会社</t>
        </is>
      </c>
      <c r="F1766" t="inlineStr">
        <is>
          <t>神奈川県</t>
        </is>
      </c>
      <c r="G1766" t="inlineStr">
        <is>
          <t>導入支援</t>
        </is>
      </c>
      <c r="H1766" t="inlineStr">
        <is>
          <t>初期設定支援</t>
        </is>
      </c>
      <c r="I1766" s="4" t="n">
        <v>4</v>
      </c>
      <c r="J1766" s="4" t="n">
        <v>101900</v>
      </c>
      <c r="K1766" s="4">
        <f>I1766*J1766</f>
        <v/>
      </c>
      <c r="L1766" t="inlineStr">
        <is>
          <t>新規開拓</t>
        </is>
      </c>
    </row>
    <row r="1767">
      <c r="A1767" t="inlineStr">
        <is>
          <t>SR074</t>
        </is>
      </c>
      <c r="B1767" t="inlineStr">
        <is>
          <t>営業担当074</t>
        </is>
      </c>
      <c r="C1767" t="inlineStr">
        <is>
          <t>パートナー営業部</t>
        </is>
      </c>
      <c r="D1767" s="3" t="n">
        <v>45919</v>
      </c>
      <c r="E1767" t="inlineStr">
        <is>
          <t>東洋フーズ(株)</t>
        </is>
      </c>
      <c r="F1767" t="inlineStr">
        <is>
          <t>福岡県</t>
        </is>
      </c>
      <c r="G1767" t="inlineStr">
        <is>
          <t>消耗品</t>
        </is>
      </c>
      <c r="H1767" t="inlineStr">
        <is>
          <t>交換用ヘッド</t>
        </is>
      </c>
      <c r="I1767" s="4" t="n">
        <v>7</v>
      </c>
      <c r="J1767" s="4" t="n">
        <v>37690</v>
      </c>
      <c r="K1767" s="4">
        <f>I1767*J1767</f>
        <v/>
      </c>
      <c r="L1767" t="inlineStr">
        <is>
          <t>キャンペーン適用</t>
        </is>
      </c>
    </row>
    <row r="1768">
      <c r="A1768" t="inlineStr">
        <is>
          <t>SR074</t>
        </is>
      </c>
      <c r="B1768" t="inlineStr">
        <is>
          <t>営業担当074</t>
        </is>
      </c>
      <c r="C1768" t="inlineStr">
        <is>
          <t>パートナー営業部</t>
        </is>
      </c>
      <c r="D1768" s="3" t="n">
        <v>45927</v>
      </c>
      <c r="E1768" t="inlineStr">
        <is>
          <t>福岡流通(株)</t>
        </is>
      </c>
      <c r="F1768" t="inlineStr">
        <is>
          <t>愛知県</t>
        </is>
      </c>
      <c r="G1768" t="inlineStr">
        <is>
          <t>保守サービス</t>
        </is>
      </c>
      <c r="H1768" t="inlineStr">
        <is>
          <t>オンサイト保守</t>
        </is>
      </c>
      <c r="I1768" s="4" t="n">
        <v>1</v>
      </c>
      <c r="J1768" s="4" t="n">
        <v>106400</v>
      </c>
      <c r="K1768" s="4">
        <f>I1768*J1768</f>
        <v/>
      </c>
      <c r="L1768" t="inlineStr">
        <is>
          <t>分納</t>
        </is>
      </c>
    </row>
    <row r="1769">
      <c r="A1769" t="inlineStr">
        <is>
          <t>SR074</t>
        </is>
      </c>
      <c r="B1769" t="inlineStr">
        <is>
          <t>営業担当074</t>
        </is>
      </c>
      <c r="C1769" t="inlineStr">
        <is>
          <t>パートナー営業部</t>
        </is>
      </c>
      <c r="D1769" s="3" t="n">
        <v>45953</v>
      </c>
      <c r="E1769" t="inlineStr">
        <is>
          <t>未来通信株式会社</t>
        </is>
      </c>
      <c r="F1769" t="inlineStr">
        <is>
          <t>愛知県</t>
        </is>
      </c>
      <c r="G1769" t="inlineStr">
        <is>
          <t>消耗品</t>
        </is>
      </c>
      <c r="H1769" t="inlineStr">
        <is>
          <t>交換用ヘッド</t>
        </is>
      </c>
      <c r="I1769" s="4" t="n">
        <v>11</v>
      </c>
      <c r="J1769" s="4" t="n">
        <v>25180</v>
      </c>
      <c r="K1769" s="4">
        <f>I1769*J1769</f>
        <v/>
      </c>
      <c r="L1769" t="inlineStr">
        <is>
          <t>キャンペーン適用</t>
        </is>
      </c>
    </row>
    <row r="1770">
      <c r="A1770" t="inlineStr">
        <is>
          <t>SR074</t>
        </is>
      </c>
      <c r="B1770" t="inlineStr">
        <is>
          <t>営業担当074</t>
        </is>
      </c>
      <c r="C1770" t="inlineStr">
        <is>
          <t>パートナー営業部</t>
        </is>
      </c>
      <c r="D1770" s="3" t="n">
        <v>45954</v>
      </c>
      <c r="E1770" t="inlineStr">
        <is>
          <t>未来通信有限会社</t>
        </is>
      </c>
      <c r="F1770" t="inlineStr">
        <is>
          <t>北海道</t>
        </is>
      </c>
      <c r="G1770" t="inlineStr">
        <is>
          <t>保守サービス</t>
        </is>
      </c>
      <c r="H1770" t="inlineStr">
        <is>
          <t>オンサイト保守</t>
        </is>
      </c>
      <c r="I1770" s="4" t="n">
        <v>3</v>
      </c>
      <c r="J1770" s="4" t="n">
        <v>114600</v>
      </c>
      <c r="K1770" s="4">
        <f>I1770*J1770</f>
        <v/>
      </c>
      <c r="L1770" t="inlineStr">
        <is>
          <t>大型案件</t>
        </is>
      </c>
    </row>
    <row r="1771">
      <c r="A1771" t="inlineStr">
        <is>
          <t>SR074</t>
        </is>
      </c>
      <c r="B1771" t="inlineStr">
        <is>
          <t>営業担当074</t>
        </is>
      </c>
      <c r="C1771" t="inlineStr">
        <is>
          <t>パートナー営業部</t>
        </is>
      </c>
      <c r="D1771" s="3" t="n">
        <v>45972</v>
      </c>
      <c r="E1771" t="inlineStr">
        <is>
          <t>九州エナジー(株)</t>
        </is>
      </c>
      <c r="F1771" t="inlineStr">
        <is>
          <t>大阪府</t>
        </is>
      </c>
      <c r="G1771" t="inlineStr">
        <is>
          <t>ハードウェア</t>
        </is>
      </c>
      <c r="H1771" t="inlineStr">
        <is>
          <t>ラベルプリンター</t>
        </is>
      </c>
      <c r="I1771" s="4" t="n">
        <v>2</v>
      </c>
      <c r="J1771" s="4" t="n">
        <v>78700</v>
      </c>
      <c r="K1771" s="4">
        <f>I1771*J1771</f>
        <v/>
      </c>
      <c r="L1771" t="inlineStr">
        <is>
          <t>値引き調整あり</t>
        </is>
      </c>
    </row>
    <row r="1772">
      <c r="A1772" t="inlineStr">
        <is>
          <t>SR074</t>
        </is>
      </c>
      <c r="B1772" t="inlineStr">
        <is>
          <t>営業担当074</t>
        </is>
      </c>
      <c r="C1772" t="inlineStr">
        <is>
          <t>パートナー営業部</t>
        </is>
      </c>
      <c r="D1772" s="3" t="n">
        <v>45986</v>
      </c>
      <c r="E1772" t="inlineStr">
        <is>
          <t>福岡流通株式会社</t>
        </is>
      </c>
      <c r="F1772" t="inlineStr">
        <is>
          <t>広島県</t>
        </is>
      </c>
      <c r="G1772" t="inlineStr">
        <is>
          <t>ソフトウェア</t>
        </is>
      </c>
      <c r="H1772" t="inlineStr">
        <is>
          <t>帳票自動化ツール</t>
        </is>
      </c>
      <c r="I1772" s="4" t="n">
        <v>3</v>
      </c>
      <c r="J1772" s="4" t="n">
        <v>402400</v>
      </c>
      <c r="K1772" s="4">
        <f>I1772*J1772</f>
        <v/>
      </c>
      <c r="L1772" t="inlineStr">
        <is>
          <t>値引き調整あり</t>
        </is>
      </c>
    </row>
    <row r="1773">
      <c r="A1773" t="inlineStr">
        <is>
          <t>SR074</t>
        </is>
      </c>
      <c r="B1773" t="inlineStr">
        <is>
          <t>営業担当074</t>
        </is>
      </c>
      <c r="C1773" t="inlineStr">
        <is>
          <t>パートナー営業部</t>
        </is>
      </c>
      <c r="D1773" s="3" t="n">
        <v>46010</v>
      </c>
      <c r="E1773" t="inlineStr">
        <is>
          <t>グリーンテック株式会社</t>
        </is>
      </c>
      <c r="F1773" t="inlineStr">
        <is>
          <t>京都府</t>
        </is>
      </c>
      <c r="G1773" t="inlineStr">
        <is>
          <t>導入支援</t>
        </is>
      </c>
      <c r="H1773" t="inlineStr">
        <is>
          <t>操作研修パック</t>
        </is>
      </c>
      <c r="I1773" s="4" t="n">
        <v>3</v>
      </c>
      <c r="J1773" s="4" t="n">
        <v>51400</v>
      </c>
      <c r="K1773" s="4">
        <f>I1773*J1773</f>
        <v/>
      </c>
      <c r="L1773" t="inlineStr">
        <is>
          <t>大型案件</t>
        </is>
      </c>
    </row>
    <row r="1774">
      <c r="A1774" t="inlineStr">
        <is>
          <t>SR074</t>
        </is>
      </c>
      <c r="B1774" t="inlineStr">
        <is>
          <t>営業担当074</t>
        </is>
      </c>
      <c r="C1774" t="inlineStr">
        <is>
          <t>パートナー営業部</t>
        </is>
      </c>
      <c r="D1774" s="3" t="n">
        <v>46015</v>
      </c>
      <c r="E1774" t="inlineStr">
        <is>
          <t>桜井メディカル(株)</t>
        </is>
      </c>
      <c r="F1774" t="inlineStr">
        <is>
          <t>神奈川県</t>
        </is>
      </c>
      <c r="G1774" t="inlineStr">
        <is>
          <t>ソフトウェア</t>
        </is>
      </c>
      <c r="H1774" t="inlineStr">
        <is>
          <t>在庫管理クラウド</t>
        </is>
      </c>
      <c r="I1774" s="4" t="n">
        <v>4</v>
      </c>
      <c r="J1774" s="4" t="n">
        <v>308100</v>
      </c>
      <c r="K1774" s="4">
        <f>I1774*J1774</f>
        <v/>
      </c>
      <c r="L1774" t="inlineStr">
        <is>
          <t>分納</t>
        </is>
      </c>
    </row>
    <row r="1775">
      <c r="A1775" t="inlineStr">
        <is>
          <t>SR074</t>
        </is>
      </c>
      <c r="B1775" t="inlineStr">
        <is>
          <t>営業担当074</t>
        </is>
      </c>
      <c r="C1775" t="inlineStr">
        <is>
          <t>パートナー営業部</t>
        </is>
      </c>
      <c r="D1775" s="3" t="n">
        <v>46043</v>
      </c>
      <c r="E1775" t="inlineStr">
        <is>
          <t>西日本機工(株)</t>
        </is>
      </c>
      <c r="F1775" t="inlineStr">
        <is>
          <t>愛知県</t>
        </is>
      </c>
      <c r="G1775" t="inlineStr">
        <is>
          <t>保守サービス</t>
        </is>
      </c>
      <c r="H1775" t="inlineStr">
        <is>
          <t>ヘルプデスク契約</t>
        </is>
      </c>
      <c r="I1775" s="4" t="n">
        <v>4</v>
      </c>
      <c r="J1775" s="4" t="n">
        <v>71900</v>
      </c>
      <c r="K1775" s="4">
        <f>I1775*J1775</f>
        <v/>
      </c>
      <c r="L1775" t="inlineStr">
        <is>
          <t>新規開拓</t>
        </is>
      </c>
    </row>
    <row r="1776">
      <c r="A1776" t="inlineStr">
        <is>
          <t>SR074</t>
        </is>
      </c>
      <c r="B1776" t="inlineStr">
        <is>
          <t>営業担当074</t>
        </is>
      </c>
      <c r="C1776" t="inlineStr">
        <is>
          <t>パートナー営業部</t>
        </is>
      </c>
      <c r="D1776" s="3" t="n">
        <v>46046</v>
      </c>
      <c r="E1776" t="inlineStr">
        <is>
          <t>福岡流通有限会社</t>
        </is>
      </c>
      <c r="F1776" t="inlineStr">
        <is>
          <t>京都府</t>
        </is>
      </c>
      <c r="G1776" t="inlineStr">
        <is>
          <t>ハードウェア</t>
        </is>
      </c>
      <c r="H1776" t="inlineStr">
        <is>
          <t>ネットワークカメラ</t>
        </is>
      </c>
      <c r="I1776" s="4" t="n">
        <v>3</v>
      </c>
      <c r="J1776" s="4" t="n">
        <v>29400</v>
      </c>
      <c r="K1776" s="4">
        <f>I1776*J1776</f>
        <v/>
      </c>
      <c r="L1776" t="inlineStr">
        <is>
          <t>分納</t>
        </is>
      </c>
    </row>
    <row r="1777">
      <c r="A1777" t="inlineStr">
        <is>
          <t>SR074</t>
        </is>
      </c>
      <c r="B1777" t="inlineStr">
        <is>
          <t>営業担当074</t>
        </is>
      </c>
      <c r="C1777" t="inlineStr">
        <is>
          <t>パートナー営業部</t>
        </is>
      </c>
      <c r="D1777" s="3" t="n">
        <v>46073</v>
      </c>
      <c r="E1777" t="inlineStr">
        <is>
          <t>白峰化学(株)</t>
        </is>
      </c>
      <c r="F1777" t="inlineStr">
        <is>
          <t>兵庫県</t>
        </is>
      </c>
      <c r="G1777" t="inlineStr">
        <is>
          <t>導入支援</t>
        </is>
      </c>
      <c r="H1777" t="inlineStr">
        <is>
          <t>初期設定支援</t>
        </is>
      </c>
      <c r="I1777" s="4" t="n">
        <v>2</v>
      </c>
      <c r="J1777" s="4" t="n">
        <v>54500</v>
      </c>
      <c r="K1777" s="4">
        <f>I1777*J1777</f>
        <v/>
      </c>
      <c r="L1777" t="inlineStr">
        <is>
          <t>値引き調整あり</t>
        </is>
      </c>
    </row>
    <row r="1778">
      <c r="A1778" t="inlineStr">
        <is>
          <t>SR074</t>
        </is>
      </c>
      <c r="B1778" t="inlineStr">
        <is>
          <t>営業担当074</t>
        </is>
      </c>
      <c r="C1778" t="inlineStr">
        <is>
          <t>パートナー営業部</t>
        </is>
      </c>
      <c r="D1778" s="3" t="n">
        <v>46079</v>
      </c>
      <c r="E1778" t="inlineStr">
        <is>
          <t>白峰化学(株)</t>
        </is>
      </c>
      <c r="F1778" t="inlineStr">
        <is>
          <t>福岡県</t>
        </is>
      </c>
      <c r="G1778" t="inlineStr">
        <is>
          <t>ハードウェア</t>
        </is>
      </c>
      <c r="H1778" t="inlineStr">
        <is>
          <t>ラベルプリンター</t>
        </is>
      </c>
      <c r="I1778" s="4" t="n">
        <v>1</v>
      </c>
      <c r="J1778" s="4" t="n">
        <v>43700</v>
      </c>
      <c r="K1778" s="4">
        <f>I1778*J1778</f>
        <v/>
      </c>
      <c r="L1778" t="inlineStr">
        <is>
          <t>大型案件</t>
        </is>
      </c>
    </row>
    <row r="1779">
      <c r="A1779" t="inlineStr">
        <is>
          <t>SR074</t>
        </is>
      </c>
      <c r="B1779" t="inlineStr">
        <is>
          <t>営業担当074</t>
        </is>
      </c>
      <c r="C1779" t="inlineStr">
        <is>
          <t>パートナー営業部</t>
        </is>
      </c>
      <c r="D1779" s="3" t="n">
        <v>46096</v>
      </c>
      <c r="E1779" t="inlineStr">
        <is>
          <t>九州エナジー有限会社</t>
        </is>
      </c>
      <c r="F1779" t="inlineStr">
        <is>
          <t>東京都</t>
        </is>
      </c>
      <c r="G1779" t="inlineStr">
        <is>
          <t>保守サービス</t>
        </is>
      </c>
      <c r="H1779" t="inlineStr">
        <is>
          <t>オンサイト保守</t>
        </is>
      </c>
      <c r="I1779" s="4" t="n">
        <v>2</v>
      </c>
      <c r="J1779" s="4" t="n">
        <v>53000</v>
      </c>
      <c r="K1779" s="4">
        <f>I1779*J1779</f>
        <v/>
      </c>
      <c r="L1779" t="inlineStr">
        <is>
          <t>新規開拓</t>
        </is>
      </c>
    </row>
    <row r="1780">
      <c r="A1780" t="inlineStr">
        <is>
          <t>SR074</t>
        </is>
      </c>
      <c r="B1780" t="inlineStr">
        <is>
          <t>営業担当074</t>
        </is>
      </c>
      <c r="C1780" t="inlineStr">
        <is>
          <t>パートナー営業部</t>
        </is>
      </c>
      <c r="D1780" s="3" t="n">
        <v>46100</v>
      </c>
      <c r="E1780" t="inlineStr">
        <is>
          <t>サンライズ建設有限会社</t>
        </is>
      </c>
      <c r="F1780" t="inlineStr">
        <is>
          <t>京都府</t>
        </is>
      </c>
      <c r="G1780" t="inlineStr">
        <is>
          <t>保守サービス</t>
        </is>
      </c>
      <c r="H1780" t="inlineStr">
        <is>
          <t>ヘルプデスク契約</t>
        </is>
      </c>
      <c r="I1780" s="4" t="n">
        <v>5</v>
      </c>
      <c r="J1780" s="4" t="n">
        <v>54200</v>
      </c>
      <c r="K1780" s="4">
        <f>I1780*J1780</f>
        <v/>
      </c>
      <c r="L1780" t="inlineStr">
        <is>
          <t>キャンペーン適用</t>
        </is>
      </c>
    </row>
    <row r="1781">
      <c r="A1781" t="inlineStr">
        <is>
          <t>SR075</t>
        </is>
      </c>
      <c r="B1781" t="inlineStr">
        <is>
          <t>営業担当075</t>
        </is>
      </c>
      <c r="C1781" t="inlineStr">
        <is>
          <t>インサイドセールス部</t>
        </is>
      </c>
      <c r="D1781" s="3" t="n">
        <v>45750</v>
      </c>
      <c r="E1781" t="inlineStr">
        <is>
          <t>未来通信有限会社</t>
        </is>
      </c>
      <c r="F1781" t="inlineStr">
        <is>
          <t>神奈川県</t>
        </is>
      </c>
      <c r="G1781" t="inlineStr">
        <is>
          <t>ソフトウェア</t>
        </is>
      </c>
      <c r="H1781" t="inlineStr">
        <is>
          <t>AIチャットボット</t>
        </is>
      </c>
      <c r="I1781" s="4" t="n">
        <v>4</v>
      </c>
      <c r="J1781" s="4" t="n">
        <v>826800</v>
      </c>
      <c r="K1781" s="4">
        <f>I1781*J1781</f>
        <v/>
      </c>
      <c r="L1781" t="inlineStr"/>
    </row>
    <row r="1782">
      <c r="A1782" t="inlineStr">
        <is>
          <t>SR075</t>
        </is>
      </c>
      <c r="B1782" t="inlineStr">
        <is>
          <t>営業担当075</t>
        </is>
      </c>
      <c r="C1782" t="inlineStr">
        <is>
          <t>インサイドセールス部</t>
        </is>
      </c>
      <c r="D1782" s="3" t="n">
        <v>45765</v>
      </c>
      <c r="E1782" t="inlineStr">
        <is>
          <t>東洋フーズ(株)</t>
        </is>
      </c>
      <c r="F1782" t="inlineStr">
        <is>
          <t>大阪府</t>
        </is>
      </c>
      <c r="G1782" t="inlineStr">
        <is>
          <t>ハードウェア</t>
        </is>
      </c>
      <c r="H1782" t="inlineStr">
        <is>
          <t>ラベルプリンター</t>
        </is>
      </c>
      <c r="I1782" s="4" t="n">
        <v>5</v>
      </c>
      <c r="J1782" s="4" t="n">
        <v>47000</v>
      </c>
      <c r="K1782" s="4">
        <f>I1782*J1782</f>
        <v/>
      </c>
      <c r="L1782" t="inlineStr">
        <is>
          <t>分納</t>
        </is>
      </c>
    </row>
    <row r="1783">
      <c r="A1783" t="inlineStr">
        <is>
          <t>SR075</t>
        </is>
      </c>
      <c r="B1783" t="inlineStr">
        <is>
          <t>営業担当075</t>
        </is>
      </c>
      <c r="C1783" t="inlineStr">
        <is>
          <t>インサイドセールス部</t>
        </is>
      </c>
      <c r="D1783" s="3" t="n">
        <v>45790</v>
      </c>
      <c r="E1783" t="inlineStr">
        <is>
          <t>東洋フーズ有限会社</t>
        </is>
      </c>
      <c r="F1783" t="inlineStr">
        <is>
          <t>広島県</t>
        </is>
      </c>
      <c r="G1783" t="inlineStr">
        <is>
          <t>保守サービス</t>
        </is>
      </c>
      <c r="H1783" t="inlineStr">
        <is>
          <t>ヘルプデスク契約</t>
        </is>
      </c>
      <c r="I1783" s="4" t="n">
        <v>3</v>
      </c>
      <c r="J1783" s="4" t="n">
        <v>69800</v>
      </c>
      <c r="K1783" s="4">
        <f>I1783*J1783</f>
        <v/>
      </c>
      <c r="L1783" t="inlineStr">
        <is>
          <t>大型案件</t>
        </is>
      </c>
    </row>
    <row r="1784">
      <c r="A1784" t="inlineStr">
        <is>
          <t>SR075</t>
        </is>
      </c>
      <c r="B1784" t="inlineStr">
        <is>
          <t>営業担当075</t>
        </is>
      </c>
      <c r="C1784" t="inlineStr">
        <is>
          <t>インサイドセールス部</t>
        </is>
      </c>
      <c r="D1784" s="3" t="n">
        <v>45800</v>
      </c>
      <c r="E1784" t="inlineStr">
        <is>
          <t>西日本機工有限会社</t>
        </is>
      </c>
      <c r="F1784" t="inlineStr">
        <is>
          <t>福岡県</t>
        </is>
      </c>
      <c r="G1784" t="inlineStr">
        <is>
          <t>導入支援</t>
        </is>
      </c>
      <c r="H1784" t="inlineStr">
        <is>
          <t>初期設定支援</t>
        </is>
      </c>
      <c r="I1784" s="4" t="n">
        <v>5</v>
      </c>
      <c r="J1784" s="4" t="n">
        <v>57900</v>
      </c>
      <c r="K1784" s="4">
        <f>I1784*J1784</f>
        <v/>
      </c>
      <c r="L1784" t="inlineStr">
        <is>
          <t>値引き調整あり</t>
        </is>
      </c>
    </row>
    <row r="1785">
      <c r="A1785" t="inlineStr">
        <is>
          <t>SR075</t>
        </is>
      </c>
      <c r="B1785" t="inlineStr">
        <is>
          <t>営業担当075</t>
        </is>
      </c>
      <c r="C1785" t="inlineStr">
        <is>
          <t>インサイドセールス部</t>
        </is>
      </c>
      <c r="D1785" s="3" t="n">
        <v>45827</v>
      </c>
      <c r="E1785" t="inlineStr">
        <is>
          <t>大和精機(株)</t>
        </is>
      </c>
      <c r="F1785" t="inlineStr">
        <is>
          <t>福岡県</t>
        </is>
      </c>
      <c r="G1785" t="inlineStr">
        <is>
          <t>消耗品</t>
        </is>
      </c>
      <c r="H1785" t="inlineStr">
        <is>
          <t>交換用ヘッド</t>
        </is>
      </c>
      <c r="I1785" s="4" t="n">
        <v>10</v>
      </c>
      <c r="J1785" s="4" t="n">
        <v>24880</v>
      </c>
      <c r="K1785" s="4">
        <f>I1785*J1785</f>
        <v/>
      </c>
      <c r="L1785" t="inlineStr"/>
    </row>
    <row r="1786">
      <c r="A1786" t="inlineStr">
        <is>
          <t>SR075</t>
        </is>
      </c>
      <c r="B1786" t="inlineStr">
        <is>
          <t>営業担当075</t>
        </is>
      </c>
      <c r="C1786" t="inlineStr">
        <is>
          <t>インサイドセールス部</t>
        </is>
      </c>
      <c r="D1786" s="3" t="n">
        <v>45834</v>
      </c>
      <c r="E1786" t="inlineStr">
        <is>
          <t>中央設備(株)</t>
        </is>
      </c>
      <c r="F1786" t="inlineStr">
        <is>
          <t>神奈川県</t>
        </is>
      </c>
      <c r="G1786" t="inlineStr">
        <is>
          <t>ソフトウェア</t>
        </is>
      </c>
      <c r="H1786" t="inlineStr">
        <is>
          <t>帳票自動化ツール</t>
        </is>
      </c>
      <c r="I1786" s="4" t="n">
        <v>2</v>
      </c>
      <c r="J1786" s="4" t="n">
        <v>391700</v>
      </c>
      <c r="K1786" s="4">
        <f>I1786*J1786</f>
        <v/>
      </c>
      <c r="L1786" t="inlineStr">
        <is>
          <t>値引き調整あり</t>
        </is>
      </c>
    </row>
    <row r="1787">
      <c r="A1787" t="inlineStr">
        <is>
          <t>SR075</t>
        </is>
      </c>
      <c r="B1787" t="inlineStr">
        <is>
          <t>営業担当075</t>
        </is>
      </c>
      <c r="C1787" t="inlineStr">
        <is>
          <t>インサイドセールス部</t>
        </is>
      </c>
      <c r="D1787" s="3" t="n">
        <v>45844</v>
      </c>
      <c r="E1787" t="inlineStr">
        <is>
          <t>中央設備(株)</t>
        </is>
      </c>
      <c r="F1787" t="inlineStr">
        <is>
          <t>愛知県</t>
        </is>
      </c>
      <c r="G1787" t="inlineStr">
        <is>
          <t>消耗品</t>
        </is>
      </c>
      <c r="H1787" t="inlineStr">
        <is>
          <t>ラベルロール</t>
        </is>
      </c>
      <c r="I1787" s="4" t="n">
        <v>10</v>
      </c>
      <c r="J1787" s="4" t="n">
        <v>9100</v>
      </c>
      <c r="K1787" s="4">
        <f>I1787*J1787</f>
        <v/>
      </c>
      <c r="L1787" t="inlineStr">
        <is>
          <t>分納</t>
        </is>
      </c>
    </row>
    <row r="1788">
      <c r="A1788" t="inlineStr">
        <is>
          <t>SR075</t>
        </is>
      </c>
      <c r="B1788" t="inlineStr">
        <is>
          <t>営業担当075</t>
        </is>
      </c>
      <c r="C1788" t="inlineStr">
        <is>
          <t>インサイドセールス部</t>
        </is>
      </c>
      <c r="D1788" s="3" t="n">
        <v>45858</v>
      </c>
      <c r="E1788" t="inlineStr">
        <is>
          <t>北斗産業有限会社</t>
        </is>
      </c>
      <c r="F1788" t="inlineStr">
        <is>
          <t>北海道</t>
        </is>
      </c>
      <c r="G1788" t="inlineStr">
        <is>
          <t>消耗品</t>
        </is>
      </c>
      <c r="H1788" t="inlineStr">
        <is>
          <t>ラベルロール</t>
        </is>
      </c>
      <c r="I1788" s="4" t="n">
        <v>13</v>
      </c>
      <c r="J1788" s="4" t="n">
        <v>3650</v>
      </c>
      <c r="K1788" s="4">
        <f>I1788*J1788</f>
        <v/>
      </c>
      <c r="L1788" t="inlineStr"/>
    </row>
    <row r="1789">
      <c r="A1789" t="inlineStr">
        <is>
          <t>SR075</t>
        </is>
      </c>
      <c r="B1789" t="inlineStr">
        <is>
          <t>営業担当075</t>
        </is>
      </c>
      <c r="C1789" t="inlineStr">
        <is>
          <t>インサイドセールス部</t>
        </is>
      </c>
      <c r="D1789" s="3" t="n">
        <v>45886</v>
      </c>
      <c r="E1789" t="inlineStr">
        <is>
          <t>アーク電機有限会社</t>
        </is>
      </c>
      <c r="F1789" t="inlineStr">
        <is>
          <t>福岡県</t>
        </is>
      </c>
      <c r="G1789" t="inlineStr">
        <is>
          <t>ハードウェア</t>
        </is>
      </c>
      <c r="H1789" t="inlineStr">
        <is>
          <t>小型ハンディ端末</t>
        </is>
      </c>
      <c r="I1789" s="4" t="n">
        <v>5</v>
      </c>
      <c r="J1789" s="4" t="n">
        <v>63300</v>
      </c>
      <c r="K1789" s="4">
        <f>I1789*J1789</f>
        <v/>
      </c>
      <c r="L1789" t="inlineStr"/>
    </row>
    <row r="1790">
      <c r="A1790" t="inlineStr">
        <is>
          <t>SR075</t>
        </is>
      </c>
      <c r="B1790" t="inlineStr">
        <is>
          <t>営業担当075</t>
        </is>
      </c>
      <c r="C1790" t="inlineStr">
        <is>
          <t>インサイドセールス部</t>
        </is>
      </c>
      <c r="D1790" s="3" t="n">
        <v>45891</v>
      </c>
      <c r="E1790" t="inlineStr">
        <is>
          <t>九州エナジー(株)</t>
        </is>
      </c>
      <c r="F1790" t="inlineStr">
        <is>
          <t>広島県</t>
        </is>
      </c>
      <c r="G1790" t="inlineStr">
        <is>
          <t>ソフトウェア</t>
        </is>
      </c>
      <c r="H1790" t="inlineStr">
        <is>
          <t>在庫管理クラウド</t>
        </is>
      </c>
      <c r="I1790" s="4" t="n">
        <v>3</v>
      </c>
      <c r="J1790" s="4" t="n">
        <v>280800</v>
      </c>
      <c r="K1790" s="4">
        <f>I1790*J1790</f>
        <v/>
      </c>
      <c r="L1790" t="inlineStr">
        <is>
          <t>新規開拓</t>
        </is>
      </c>
    </row>
    <row r="1791">
      <c r="A1791" t="inlineStr">
        <is>
          <t>SR075</t>
        </is>
      </c>
      <c r="B1791" t="inlineStr">
        <is>
          <t>営業担当075</t>
        </is>
      </c>
      <c r="C1791" t="inlineStr">
        <is>
          <t>インサイドセールス部</t>
        </is>
      </c>
      <c r="D1791" s="3" t="n">
        <v>45901</v>
      </c>
      <c r="E1791" t="inlineStr">
        <is>
          <t>ネクストソリューション有限会社</t>
        </is>
      </c>
      <c r="F1791" t="inlineStr">
        <is>
          <t>大阪府</t>
        </is>
      </c>
      <c r="G1791" t="inlineStr">
        <is>
          <t>保守サービス</t>
        </is>
      </c>
      <c r="H1791" t="inlineStr">
        <is>
          <t>年間保守契約</t>
        </is>
      </c>
      <c r="I1791" s="4" t="n">
        <v>1</v>
      </c>
      <c r="J1791" s="4" t="n">
        <v>225200</v>
      </c>
      <c r="K1791" s="4">
        <f>I1791*J1791</f>
        <v/>
      </c>
      <c r="L1791" t="inlineStr">
        <is>
          <t>キャンペーン適用</t>
        </is>
      </c>
    </row>
    <row r="1792">
      <c r="A1792" t="inlineStr">
        <is>
          <t>SR075</t>
        </is>
      </c>
      <c r="B1792" t="inlineStr">
        <is>
          <t>営業担当075</t>
        </is>
      </c>
      <c r="C1792" t="inlineStr">
        <is>
          <t>インサイドセールス部</t>
        </is>
      </c>
      <c r="D1792" s="3" t="n">
        <v>45905</v>
      </c>
      <c r="E1792" t="inlineStr">
        <is>
          <t>桜井メディカル(株)</t>
        </is>
      </c>
      <c r="F1792" t="inlineStr">
        <is>
          <t>愛知県</t>
        </is>
      </c>
      <c r="G1792" t="inlineStr">
        <is>
          <t>導入支援</t>
        </is>
      </c>
      <c r="H1792" t="inlineStr">
        <is>
          <t>初期設定支援</t>
        </is>
      </c>
      <c r="I1792" s="4" t="n">
        <v>3</v>
      </c>
      <c r="J1792" s="4" t="n">
        <v>62000</v>
      </c>
      <c r="K1792" s="4">
        <f>I1792*J1792</f>
        <v/>
      </c>
      <c r="L1792" t="inlineStr">
        <is>
          <t>分納</t>
        </is>
      </c>
    </row>
    <row r="1793">
      <c r="A1793" t="inlineStr">
        <is>
          <t>SR075</t>
        </is>
      </c>
      <c r="B1793" t="inlineStr">
        <is>
          <t>営業担当075</t>
        </is>
      </c>
      <c r="C1793" t="inlineStr">
        <is>
          <t>インサイドセールス部</t>
        </is>
      </c>
      <c r="D1793" s="3" t="n">
        <v>45956</v>
      </c>
      <c r="E1793" t="inlineStr">
        <is>
          <t>アーク電機(株)</t>
        </is>
      </c>
      <c r="F1793" t="inlineStr">
        <is>
          <t>広島県</t>
        </is>
      </c>
      <c r="G1793" t="inlineStr">
        <is>
          <t>ハードウェア</t>
        </is>
      </c>
      <c r="H1793" t="inlineStr">
        <is>
          <t>ラベルプリンター</t>
        </is>
      </c>
      <c r="I1793" s="4" t="n">
        <v>2</v>
      </c>
      <c r="J1793" s="4" t="n">
        <v>42900</v>
      </c>
      <c r="K1793" s="4">
        <f>I1793*J1793</f>
        <v/>
      </c>
      <c r="L1793" t="inlineStr">
        <is>
          <t>リピート受注</t>
        </is>
      </c>
    </row>
    <row r="1794">
      <c r="A1794" t="inlineStr">
        <is>
          <t>SR075</t>
        </is>
      </c>
      <c r="B1794" t="inlineStr">
        <is>
          <t>営業担当075</t>
        </is>
      </c>
      <c r="C1794" t="inlineStr">
        <is>
          <t>インサイドセールス部</t>
        </is>
      </c>
      <c r="D1794" s="3" t="n">
        <v>45956</v>
      </c>
      <c r="E1794" t="inlineStr">
        <is>
          <t>星和商会株式会社</t>
        </is>
      </c>
      <c r="F1794" t="inlineStr">
        <is>
          <t>京都府</t>
        </is>
      </c>
      <c r="G1794" t="inlineStr">
        <is>
          <t>ソフトウェア</t>
        </is>
      </c>
      <c r="H1794" t="inlineStr">
        <is>
          <t>帳票自動化ツール</t>
        </is>
      </c>
      <c r="I1794" s="4" t="n">
        <v>5</v>
      </c>
      <c r="J1794" s="4" t="n">
        <v>380600</v>
      </c>
      <c r="K1794" s="4">
        <f>I1794*J1794</f>
        <v/>
      </c>
      <c r="L1794" t="inlineStr">
        <is>
          <t>値引き調整あり</t>
        </is>
      </c>
    </row>
    <row r="1795">
      <c r="A1795" t="inlineStr">
        <is>
          <t>SR075</t>
        </is>
      </c>
      <c r="B1795" t="inlineStr">
        <is>
          <t>営業担当075</t>
        </is>
      </c>
      <c r="C1795" t="inlineStr">
        <is>
          <t>インサイドセールス部</t>
        </is>
      </c>
      <c r="D1795" s="3" t="n">
        <v>45973</v>
      </c>
      <c r="E1795" t="inlineStr">
        <is>
          <t>西日本機工有限会社</t>
        </is>
      </c>
      <c r="F1795" t="inlineStr">
        <is>
          <t>宮城県</t>
        </is>
      </c>
      <c r="G1795" t="inlineStr">
        <is>
          <t>保守サービス</t>
        </is>
      </c>
      <c r="H1795" t="inlineStr">
        <is>
          <t>オンサイト保守</t>
        </is>
      </c>
      <c r="I1795" s="4" t="n">
        <v>1</v>
      </c>
      <c r="J1795" s="4" t="n">
        <v>77700</v>
      </c>
      <c r="K1795" s="4">
        <f>I1795*J1795</f>
        <v/>
      </c>
      <c r="L1795" t="inlineStr">
        <is>
          <t>リピート受注</t>
        </is>
      </c>
    </row>
    <row r="1796">
      <c r="A1796" t="inlineStr">
        <is>
          <t>SR075</t>
        </is>
      </c>
      <c r="B1796" t="inlineStr">
        <is>
          <t>営業担当075</t>
        </is>
      </c>
      <c r="C1796" t="inlineStr">
        <is>
          <t>インサイドセールス部</t>
        </is>
      </c>
      <c r="D1796" s="3" t="n">
        <v>45978</v>
      </c>
      <c r="E1796" t="inlineStr">
        <is>
          <t>日新サービス有限会社</t>
        </is>
      </c>
      <c r="F1796" t="inlineStr">
        <is>
          <t>愛知県</t>
        </is>
      </c>
      <c r="G1796" t="inlineStr">
        <is>
          <t>保守サービス</t>
        </is>
      </c>
      <c r="H1796" t="inlineStr">
        <is>
          <t>オンサイト保守</t>
        </is>
      </c>
      <c r="I1796" s="4" t="n">
        <v>2</v>
      </c>
      <c r="J1796" s="4" t="n">
        <v>131700</v>
      </c>
      <c r="K1796" s="4">
        <f>I1796*J1796</f>
        <v/>
      </c>
      <c r="L1796" t="inlineStr">
        <is>
          <t>大型案件</t>
        </is>
      </c>
    </row>
    <row r="1797">
      <c r="A1797" t="inlineStr">
        <is>
          <t>SR075</t>
        </is>
      </c>
      <c r="B1797" t="inlineStr">
        <is>
          <t>営業担当075</t>
        </is>
      </c>
      <c r="C1797" t="inlineStr">
        <is>
          <t>インサイドセールス部</t>
        </is>
      </c>
      <c r="D1797" s="3" t="n">
        <v>46001</v>
      </c>
      <c r="E1797" t="inlineStr">
        <is>
          <t>アーク電機(株)</t>
        </is>
      </c>
      <c r="F1797" t="inlineStr">
        <is>
          <t>宮城県</t>
        </is>
      </c>
      <c r="G1797" t="inlineStr">
        <is>
          <t>導入支援</t>
        </is>
      </c>
      <c r="H1797" t="inlineStr">
        <is>
          <t>初期設定支援</t>
        </is>
      </c>
      <c r="I1797" s="4" t="n">
        <v>4</v>
      </c>
      <c r="J1797" s="4" t="n">
        <v>54800</v>
      </c>
      <c r="K1797" s="4">
        <f>I1797*J1797</f>
        <v/>
      </c>
      <c r="L1797" t="inlineStr">
        <is>
          <t>分納</t>
        </is>
      </c>
    </row>
    <row r="1798">
      <c r="A1798" t="inlineStr">
        <is>
          <t>SR075</t>
        </is>
      </c>
      <c r="B1798" t="inlineStr">
        <is>
          <t>営業担当075</t>
        </is>
      </c>
      <c r="C1798" t="inlineStr">
        <is>
          <t>インサイドセールス部</t>
        </is>
      </c>
      <c r="D1798" s="3" t="n">
        <v>46004</v>
      </c>
      <c r="E1798" t="inlineStr">
        <is>
          <t>東洋フーズ株式会社</t>
        </is>
      </c>
      <c r="F1798" t="inlineStr">
        <is>
          <t>北海道</t>
        </is>
      </c>
      <c r="G1798" t="inlineStr">
        <is>
          <t>ソフトウェア</t>
        </is>
      </c>
      <c r="H1798" t="inlineStr">
        <is>
          <t>帳票自動化ツール</t>
        </is>
      </c>
      <c r="I1798" s="4" t="n">
        <v>4</v>
      </c>
      <c r="J1798" s="4" t="n">
        <v>188500</v>
      </c>
      <c r="K1798" s="4">
        <f>I1798*J1798</f>
        <v/>
      </c>
      <c r="L1798" t="inlineStr">
        <is>
          <t>値引き調整あり</t>
        </is>
      </c>
    </row>
    <row r="1799">
      <c r="A1799" t="inlineStr">
        <is>
          <t>SR075</t>
        </is>
      </c>
      <c r="B1799" t="inlineStr">
        <is>
          <t>営業担当075</t>
        </is>
      </c>
      <c r="C1799" t="inlineStr">
        <is>
          <t>インサイドセールス部</t>
        </is>
      </c>
      <c r="D1799" s="3" t="n">
        <v>46026</v>
      </c>
      <c r="E1799" t="inlineStr">
        <is>
          <t>オーシャン製作所有限会社</t>
        </is>
      </c>
      <c r="F1799" t="inlineStr">
        <is>
          <t>広島県</t>
        </is>
      </c>
      <c r="G1799" t="inlineStr">
        <is>
          <t>消耗品</t>
        </is>
      </c>
      <c r="H1799" t="inlineStr">
        <is>
          <t>保守用バッテリー</t>
        </is>
      </c>
      <c r="I1799" s="4" t="n">
        <v>5</v>
      </c>
      <c r="J1799" s="4" t="n">
        <v>15990</v>
      </c>
      <c r="K1799" s="4">
        <f>I1799*J1799</f>
        <v/>
      </c>
      <c r="L1799" t="inlineStr">
        <is>
          <t>リピート受注</t>
        </is>
      </c>
    </row>
    <row r="1800">
      <c r="A1800" t="inlineStr">
        <is>
          <t>SR075</t>
        </is>
      </c>
      <c r="B1800" t="inlineStr">
        <is>
          <t>営業担当075</t>
        </is>
      </c>
      <c r="C1800" t="inlineStr">
        <is>
          <t>インサイドセールス部</t>
        </is>
      </c>
      <c r="D1800" s="3" t="n">
        <v>46031</v>
      </c>
      <c r="E1800" t="inlineStr">
        <is>
          <t>青葉商事有限会社</t>
        </is>
      </c>
      <c r="F1800" t="inlineStr">
        <is>
          <t>東京都</t>
        </is>
      </c>
      <c r="G1800" t="inlineStr">
        <is>
          <t>消耗品</t>
        </is>
      </c>
      <c r="H1800" t="inlineStr">
        <is>
          <t>ラベルロール</t>
        </is>
      </c>
      <c r="I1800" s="4" t="n">
        <v>11</v>
      </c>
      <c r="J1800" s="4" t="n">
        <v>9840</v>
      </c>
      <c r="K1800" s="4">
        <f>I1800*J1800</f>
        <v/>
      </c>
      <c r="L1800" t="inlineStr"/>
    </row>
    <row r="1801">
      <c r="A1801" t="inlineStr">
        <is>
          <t>SR075</t>
        </is>
      </c>
      <c r="B1801" t="inlineStr">
        <is>
          <t>営業担当075</t>
        </is>
      </c>
      <c r="C1801" t="inlineStr">
        <is>
          <t>インサイドセールス部</t>
        </is>
      </c>
      <c r="D1801" s="3" t="n">
        <v>46059</v>
      </c>
      <c r="E1801" t="inlineStr">
        <is>
          <t>青葉商事有限会社</t>
        </is>
      </c>
      <c r="F1801" t="inlineStr">
        <is>
          <t>東京都</t>
        </is>
      </c>
      <c r="G1801" t="inlineStr">
        <is>
          <t>ソフトウェア</t>
        </is>
      </c>
      <c r="H1801" t="inlineStr">
        <is>
          <t>帳票自動化ツール</t>
        </is>
      </c>
      <c r="I1801" s="4" t="n">
        <v>4</v>
      </c>
      <c r="J1801" s="4" t="n">
        <v>275400</v>
      </c>
      <c r="K1801" s="4">
        <f>I1801*J1801</f>
        <v/>
      </c>
      <c r="L1801" t="inlineStr"/>
    </row>
    <row r="1802">
      <c r="A1802" t="inlineStr">
        <is>
          <t>SR075</t>
        </is>
      </c>
      <c r="B1802" t="inlineStr">
        <is>
          <t>営業担当075</t>
        </is>
      </c>
      <c r="C1802" t="inlineStr">
        <is>
          <t>インサイドセールス部</t>
        </is>
      </c>
      <c r="D1802" s="3" t="n">
        <v>46078</v>
      </c>
      <c r="E1802" t="inlineStr">
        <is>
          <t>北斗産業有限会社</t>
        </is>
      </c>
      <c r="F1802" t="inlineStr">
        <is>
          <t>東京都</t>
        </is>
      </c>
      <c r="G1802" t="inlineStr">
        <is>
          <t>ハードウェア</t>
        </is>
      </c>
      <c r="H1802" t="inlineStr">
        <is>
          <t>産業用タブレット</t>
        </is>
      </c>
      <c r="I1802" s="4" t="n">
        <v>3</v>
      </c>
      <c r="J1802" s="4" t="n">
        <v>126400</v>
      </c>
      <c r="K1802" s="4">
        <f>I1802*J1802</f>
        <v/>
      </c>
      <c r="L1802" t="inlineStr">
        <is>
          <t>値引き調整あり</t>
        </is>
      </c>
    </row>
    <row r="1803">
      <c r="A1803" t="inlineStr">
        <is>
          <t>SR075</t>
        </is>
      </c>
      <c r="B1803" t="inlineStr">
        <is>
          <t>営業担当075</t>
        </is>
      </c>
      <c r="C1803" t="inlineStr">
        <is>
          <t>インサイドセールス部</t>
        </is>
      </c>
      <c r="D1803" s="3" t="n">
        <v>46087</v>
      </c>
      <c r="E1803" t="inlineStr">
        <is>
          <t>オーシャン製作所有限会社</t>
        </is>
      </c>
      <c r="F1803" t="inlineStr">
        <is>
          <t>東京都</t>
        </is>
      </c>
      <c r="G1803" t="inlineStr">
        <is>
          <t>消耗品</t>
        </is>
      </c>
      <c r="H1803" t="inlineStr">
        <is>
          <t>ラベルロール</t>
        </is>
      </c>
      <c r="I1803" s="4" t="n">
        <v>1</v>
      </c>
      <c r="J1803" s="4" t="n">
        <v>8400</v>
      </c>
      <c r="K1803" s="4">
        <f>I1803*J1803</f>
        <v/>
      </c>
      <c r="L1803" t="inlineStr">
        <is>
          <t>キャンペーン適用</t>
        </is>
      </c>
    </row>
    <row r="1804">
      <c r="A1804" t="inlineStr">
        <is>
          <t>SR075</t>
        </is>
      </c>
      <c r="B1804" t="inlineStr">
        <is>
          <t>営業担当075</t>
        </is>
      </c>
      <c r="C1804" t="inlineStr">
        <is>
          <t>インサイドセールス部</t>
        </is>
      </c>
      <c r="D1804" s="3" t="n">
        <v>46107</v>
      </c>
      <c r="E1804" t="inlineStr">
        <is>
          <t>星和商会有限会社</t>
        </is>
      </c>
      <c r="F1804" t="inlineStr">
        <is>
          <t>北海道</t>
        </is>
      </c>
      <c r="G1804" t="inlineStr">
        <is>
          <t>ソフトウェア</t>
        </is>
      </c>
      <c r="H1804" t="inlineStr">
        <is>
          <t>営業支援SaaS</t>
        </is>
      </c>
      <c r="I1804" s="4" t="n">
        <v>2</v>
      </c>
      <c r="J1804" s="4" t="n">
        <v>324000</v>
      </c>
      <c r="K1804" s="4">
        <f>I1804*J1804</f>
        <v/>
      </c>
      <c r="L1804" t="inlineStr"/>
    </row>
    <row r="1805">
      <c r="A1805" t="inlineStr">
        <is>
          <t>SR076</t>
        </is>
      </c>
      <c r="B1805" t="inlineStr">
        <is>
          <t>営業担当076</t>
        </is>
      </c>
      <c r="C1805" t="inlineStr">
        <is>
          <t>第1営業部</t>
        </is>
      </c>
      <c r="D1805" s="3" t="n">
        <v>45754</v>
      </c>
      <c r="E1805" t="inlineStr">
        <is>
          <t>福岡流通有限会社</t>
        </is>
      </c>
      <c r="F1805" t="inlineStr">
        <is>
          <t>東京都</t>
        </is>
      </c>
      <c r="G1805" t="inlineStr">
        <is>
          <t>導入支援</t>
        </is>
      </c>
      <c r="H1805" t="inlineStr">
        <is>
          <t>操作研修パック</t>
        </is>
      </c>
      <c r="I1805" s="4" t="n">
        <v>5</v>
      </c>
      <c r="J1805" s="4" t="n">
        <v>137300</v>
      </c>
      <c r="K1805" s="4">
        <f>I1805*J1805</f>
        <v/>
      </c>
      <c r="L1805" t="inlineStr"/>
    </row>
    <row r="1806">
      <c r="A1806" t="inlineStr">
        <is>
          <t>SR076</t>
        </is>
      </c>
      <c r="B1806" t="inlineStr">
        <is>
          <t>営業担当076</t>
        </is>
      </c>
      <c r="C1806" t="inlineStr">
        <is>
          <t>第1営業部</t>
        </is>
      </c>
      <c r="D1806" s="3" t="n">
        <v>45767</v>
      </c>
      <c r="E1806" t="inlineStr">
        <is>
          <t>福岡流通(株)</t>
        </is>
      </c>
      <c r="F1806" t="inlineStr">
        <is>
          <t>福岡県</t>
        </is>
      </c>
      <c r="G1806" t="inlineStr">
        <is>
          <t>導入支援</t>
        </is>
      </c>
      <c r="H1806" t="inlineStr">
        <is>
          <t>操作研修パック</t>
        </is>
      </c>
      <c r="I1806" s="4" t="n">
        <v>1</v>
      </c>
      <c r="J1806" s="4" t="n">
        <v>133100</v>
      </c>
      <c r="K1806" s="4">
        <f>I1806*J1806</f>
        <v/>
      </c>
      <c r="L1806" t="inlineStr">
        <is>
          <t>大型案件</t>
        </is>
      </c>
    </row>
    <row r="1807">
      <c r="A1807" t="inlineStr">
        <is>
          <t>SR076</t>
        </is>
      </c>
      <c r="B1807" t="inlineStr">
        <is>
          <t>営業担当076</t>
        </is>
      </c>
      <c r="C1807" t="inlineStr">
        <is>
          <t>第1営業部</t>
        </is>
      </c>
      <c r="D1807" s="3" t="n">
        <v>45794</v>
      </c>
      <c r="E1807" t="inlineStr">
        <is>
          <t>福岡流通有限会社</t>
        </is>
      </c>
      <c r="F1807" t="inlineStr">
        <is>
          <t>東京都</t>
        </is>
      </c>
      <c r="G1807" t="inlineStr">
        <is>
          <t>ハードウェア</t>
        </is>
      </c>
      <c r="H1807" t="inlineStr">
        <is>
          <t>産業用タブレット</t>
        </is>
      </c>
      <c r="I1807" s="4" t="n">
        <v>4</v>
      </c>
      <c r="J1807" s="4" t="n">
        <v>87000</v>
      </c>
      <c r="K1807" s="4">
        <f>I1807*J1807</f>
        <v/>
      </c>
      <c r="L1807" t="inlineStr">
        <is>
          <t>大型案件</t>
        </is>
      </c>
    </row>
    <row r="1808">
      <c r="A1808" t="inlineStr">
        <is>
          <t>SR076</t>
        </is>
      </c>
      <c r="B1808" t="inlineStr">
        <is>
          <t>営業担当076</t>
        </is>
      </c>
      <c r="C1808" t="inlineStr">
        <is>
          <t>第1営業部</t>
        </is>
      </c>
      <c r="D1808" s="3" t="n">
        <v>45802</v>
      </c>
      <c r="E1808" t="inlineStr">
        <is>
          <t>東洋フーズ有限会社</t>
        </is>
      </c>
      <c r="F1808" t="inlineStr">
        <is>
          <t>北海道</t>
        </is>
      </c>
      <c r="G1808" t="inlineStr">
        <is>
          <t>ソフトウェア</t>
        </is>
      </c>
      <c r="H1808" t="inlineStr">
        <is>
          <t>在庫管理クラウド</t>
        </is>
      </c>
      <c r="I1808" s="4" t="n">
        <v>2</v>
      </c>
      <c r="J1808" s="4" t="n">
        <v>319800</v>
      </c>
      <c r="K1808" s="4">
        <f>I1808*J1808</f>
        <v/>
      </c>
      <c r="L1808" t="inlineStr">
        <is>
          <t>リピート受注</t>
        </is>
      </c>
    </row>
    <row r="1809">
      <c r="A1809" t="inlineStr">
        <is>
          <t>SR076</t>
        </is>
      </c>
      <c r="B1809" t="inlineStr">
        <is>
          <t>営業担当076</t>
        </is>
      </c>
      <c r="C1809" t="inlineStr">
        <is>
          <t>第1営業部</t>
        </is>
      </c>
      <c r="D1809" s="3" t="n">
        <v>45814</v>
      </c>
      <c r="E1809" t="inlineStr">
        <is>
          <t>福岡流通(株)</t>
        </is>
      </c>
      <c r="F1809" t="inlineStr">
        <is>
          <t>愛知県</t>
        </is>
      </c>
      <c r="G1809" t="inlineStr">
        <is>
          <t>ソフトウェア</t>
        </is>
      </c>
      <c r="H1809" t="inlineStr">
        <is>
          <t>AIチャットボット</t>
        </is>
      </c>
      <c r="I1809" s="4" t="n">
        <v>4</v>
      </c>
      <c r="J1809" s="4" t="n">
        <v>375400</v>
      </c>
      <c r="K1809" s="4">
        <f>I1809*J1809</f>
        <v/>
      </c>
      <c r="L1809" t="inlineStr">
        <is>
          <t>リピート受注</t>
        </is>
      </c>
    </row>
    <row r="1810">
      <c r="A1810" t="inlineStr">
        <is>
          <t>SR076</t>
        </is>
      </c>
      <c r="B1810" t="inlineStr">
        <is>
          <t>営業担当076</t>
        </is>
      </c>
      <c r="C1810" t="inlineStr">
        <is>
          <t>第1営業部</t>
        </is>
      </c>
      <c r="D1810" s="3" t="n">
        <v>45831</v>
      </c>
      <c r="E1810" t="inlineStr">
        <is>
          <t>オーシャン製作所株式会社</t>
        </is>
      </c>
      <c r="F1810" t="inlineStr">
        <is>
          <t>愛知県</t>
        </is>
      </c>
      <c r="G1810" t="inlineStr">
        <is>
          <t>導入支援</t>
        </is>
      </c>
      <c r="H1810" t="inlineStr">
        <is>
          <t>初期設定支援</t>
        </is>
      </c>
      <c r="I1810" s="4" t="n">
        <v>5</v>
      </c>
      <c r="J1810" s="4" t="n">
        <v>181100</v>
      </c>
      <c r="K1810" s="4">
        <f>I1810*J1810</f>
        <v/>
      </c>
      <c r="L1810" t="inlineStr"/>
    </row>
    <row r="1811">
      <c r="A1811" t="inlineStr">
        <is>
          <t>SR076</t>
        </is>
      </c>
      <c r="B1811" t="inlineStr">
        <is>
          <t>営業担当076</t>
        </is>
      </c>
      <c r="C1811" t="inlineStr">
        <is>
          <t>第1営業部</t>
        </is>
      </c>
      <c r="D1811" s="3" t="n">
        <v>45840</v>
      </c>
      <c r="E1811" t="inlineStr">
        <is>
          <t>日新サービス株式会社</t>
        </is>
      </c>
      <c r="F1811" t="inlineStr">
        <is>
          <t>大阪府</t>
        </is>
      </c>
      <c r="G1811" t="inlineStr">
        <is>
          <t>保守サービス</t>
        </is>
      </c>
      <c r="H1811" t="inlineStr">
        <is>
          <t>年間保守契約</t>
        </is>
      </c>
      <c r="I1811" s="4" t="n">
        <v>2</v>
      </c>
      <c r="J1811" s="4" t="n">
        <v>195400</v>
      </c>
      <c r="K1811" s="4">
        <f>I1811*J1811</f>
        <v/>
      </c>
      <c r="L1811" t="inlineStr"/>
    </row>
    <row r="1812">
      <c r="A1812" t="inlineStr">
        <is>
          <t>SR076</t>
        </is>
      </c>
      <c r="B1812" t="inlineStr">
        <is>
          <t>営業担当076</t>
        </is>
      </c>
      <c r="C1812" t="inlineStr">
        <is>
          <t>第1営業部</t>
        </is>
      </c>
      <c r="D1812" s="3" t="n">
        <v>45855</v>
      </c>
      <c r="E1812" t="inlineStr">
        <is>
          <t>みらい物流株式会社</t>
        </is>
      </c>
      <c r="F1812" t="inlineStr">
        <is>
          <t>福岡県</t>
        </is>
      </c>
      <c r="G1812" t="inlineStr">
        <is>
          <t>ハードウェア</t>
        </is>
      </c>
      <c r="H1812" t="inlineStr">
        <is>
          <t>ラベルプリンター</t>
        </is>
      </c>
      <c r="I1812" s="4" t="n">
        <v>4</v>
      </c>
      <c r="J1812" s="4" t="n">
        <v>39200</v>
      </c>
      <c r="K1812" s="4">
        <f>I1812*J1812</f>
        <v/>
      </c>
      <c r="L1812" t="inlineStr">
        <is>
          <t>分納</t>
        </is>
      </c>
    </row>
    <row r="1813">
      <c r="A1813" t="inlineStr">
        <is>
          <t>SR076</t>
        </is>
      </c>
      <c r="B1813" t="inlineStr">
        <is>
          <t>営業担当076</t>
        </is>
      </c>
      <c r="C1813" t="inlineStr">
        <is>
          <t>第1営業部</t>
        </is>
      </c>
      <c r="D1813" s="3" t="n">
        <v>45872</v>
      </c>
      <c r="E1813" t="inlineStr">
        <is>
          <t>桜井メディカル有限会社</t>
        </is>
      </c>
      <c r="F1813" t="inlineStr">
        <is>
          <t>京都府</t>
        </is>
      </c>
      <c r="G1813" t="inlineStr">
        <is>
          <t>保守サービス</t>
        </is>
      </c>
      <c r="H1813" t="inlineStr">
        <is>
          <t>ヘルプデスク契約</t>
        </is>
      </c>
      <c r="I1813" s="4" t="n">
        <v>2</v>
      </c>
      <c r="J1813" s="4" t="n">
        <v>50600</v>
      </c>
      <c r="K1813" s="4">
        <f>I1813*J1813</f>
        <v/>
      </c>
      <c r="L1813" t="inlineStr">
        <is>
          <t>値引き調整あり</t>
        </is>
      </c>
    </row>
    <row r="1814">
      <c r="A1814" t="inlineStr">
        <is>
          <t>SR076</t>
        </is>
      </c>
      <c r="B1814" t="inlineStr">
        <is>
          <t>営業担当076</t>
        </is>
      </c>
      <c r="C1814" t="inlineStr">
        <is>
          <t>第1営業部</t>
        </is>
      </c>
      <c r="D1814" s="3" t="n">
        <v>45882</v>
      </c>
      <c r="E1814" t="inlineStr">
        <is>
          <t>桜井メディカル(株)</t>
        </is>
      </c>
      <c r="F1814" t="inlineStr">
        <is>
          <t>宮城県</t>
        </is>
      </c>
      <c r="G1814" t="inlineStr">
        <is>
          <t>ソフトウェア</t>
        </is>
      </c>
      <c r="H1814" t="inlineStr">
        <is>
          <t>営業支援SaaS</t>
        </is>
      </c>
      <c r="I1814" s="4" t="n">
        <v>2</v>
      </c>
      <c r="J1814" s="4" t="n">
        <v>220800</v>
      </c>
      <c r="K1814" s="4">
        <f>I1814*J1814</f>
        <v/>
      </c>
      <c r="L1814" t="inlineStr">
        <is>
          <t>リピート受注</t>
        </is>
      </c>
    </row>
    <row r="1815">
      <c r="A1815" t="inlineStr">
        <is>
          <t>SR076</t>
        </is>
      </c>
      <c r="B1815" t="inlineStr">
        <is>
          <t>営業担当076</t>
        </is>
      </c>
      <c r="C1815" t="inlineStr">
        <is>
          <t>第1営業部</t>
        </is>
      </c>
      <c r="D1815" s="3" t="n">
        <v>45911</v>
      </c>
      <c r="E1815" t="inlineStr">
        <is>
          <t>北斗産業株式会社</t>
        </is>
      </c>
      <c r="F1815" t="inlineStr">
        <is>
          <t>大阪府</t>
        </is>
      </c>
      <c r="G1815" t="inlineStr">
        <is>
          <t>導入支援</t>
        </is>
      </c>
      <c r="H1815" t="inlineStr">
        <is>
          <t>操作研修パック</t>
        </is>
      </c>
      <c r="I1815" s="4" t="n">
        <v>5</v>
      </c>
      <c r="J1815" s="4" t="n">
        <v>33500</v>
      </c>
      <c r="K1815" s="4">
        <f>I1815*J1815</f>
        <v/>
      </c>
      <c r="L1815" t="inlineStr"/>
    </row>
    <row r="1816">
      <c r="A1816" t="inlineStr">
        <is>
          <t>SR076</t>
        </is>
      </c>
      <c r="B1816" t="inlineStr">
        <is>
          <t>営業担当076</t>
        </is>
      </c>
      <c r="C1816" t="inlineStr">
        <is>
          <t>第1営業部</t>
        </is>
      </c>
      <c r="D1816" s="3" t="n">
        <v>45914</v>
      </c>
      <c r="E1816" t="inlineStr">
        <is>
          <t>星和商会有限会社</t>
        </is>
      </c>
      <c r="F1816" t="inlineStr">
        <is>
          <t>神奈川県</t>
        </is>
      </c>
      <c r="G1816" t="inlineStr">
        <is>
          <t>ハードウェア</t>
        </is>
      </c>
      <c r="H1816" t="inlineStr">
        <is>
          <t>ラベルプリンター</t>
        </is>
      </c>
      <c r="I1816" s="4" t="n">
        <v>4</v>
      </c>
      <c r="J1816" s="4" t="n">
        <v>73300</v>
      </c>
      <c r="K1816" s="4">
        <f>I1816*J1816</f>
        <v/>
      </c>
      <c r="L1816" t="inlineStr"/>
    </row>
    <row r="1817">
      <c r="A1817" t="inlineStr">
        <is>
          <t>SR076</t>
        </is>
      </c>
      <c r="B1817" t="inlineStr">
        <is>
          <t>営業担当076</t>
        </is>
      </c>
      <c r="C1817" t="inlineStr">
        <is>
          <t>第1営業部</t>
        </is>
      </c>
      <c r="D1817" s="3" t="n">
        <v>45944</v>
      </c>
      <c r="E1817" t="inlineStr">
        <is>
          <t>アーク電機(株)</t>
        </is>
      </c>
      <c r="F1817" t="inlineStr">
        <is>
          <t>神奈川県</t>
        </is>
      </c>
      <c r="G1817" t="inlineStr">
        <is>
          <t>ハードウェア</t>
        </is>
      </c>
      <c r="H1817" t="inlineStr">
        <is>
          <t>ネットワークカメラ</t>
        </is>
      </c>
      <c r="I1817" s="4" t="n">
        <v>3</v>
      </c>
      <c r="J1817" s="4" t="n">
        <v>25000</v>
      </c>
      <c r="K1817" s="4">
        <f>I1817*J1817</f>
        <v/>
      </c>
      <c r="L1817" t="inlineStr">
        <is>
          <t>キャンペーン適用</t>
        </is>
      </c>
    </row>
    <row r="1818">
      <c r="A1818" t="inlineStr">
        <is>
          <t>SR076</t>
        </is>
      </c>
      <c r="B1818" t="inlineStr">
        <is>
          <t>営業担当076</t>
        </is>
      </c>
      <c r="C1818" t="inlineStr">
        <is>
          <t>第1営業部</t>
        </is>
      </c>
      <c r="D1818" s="3" t="n">
        <v>45954</v>
      </c>
      <c r="E1818" t="inlineStr">
        <is>
          <t>オーシャン製作所(株)</t>
        </is>
      </c>
      <c r="F1818" t="inlineStr">
        <is>
          <t>東京都</t>
        </is>
      </c>
      <c r="G1818" t="inlineStr">
        <is>
          <t>ハードウェア</t>
        </is>
      </c>
      <c r="H1818" t="inlineStr">
        <is>
          <t>産業用タブレット</t>
        </is>
      </c>
      <c r="I1818" s="4" t="n">
        <v>2</v>
      </c>
      <c r="J1818" s="4" t="n">
        <v>68600</v>
      </c>
      <c r="K1818" s="4">
        <f>I1818*J1818</f>
        <v/>
      </c>
      <c r="L1818" t="inlineStr">
        <is>
          <t>キャンペーン適用</t>
        </is>
      </c>
    </row>
    <row r="1819">
      <c r="A1819" t="inlineStr">
        <is>
          <t>SR076</t>
        </is>
      </c>
      <c r="B1819" t="inlineStr">
        <is>
          <t>営業担当076</t>
        </is>
      </c>
      <c r="C1819" t="inlineStr">
        <is>
          <t>第1営業部</t>
        </is>
      </c>
      <c r="D1819" s="3" t="n">
        <v>45962</v>
      </c>
      <c r="E1819" t="inlineStr">
        <is>
          <t>星和商会株式会社</t>
        </is>
      </c>
      <c r="F1819" t="inlineStr">
        <is>
          <t>宮城県</t>
        </is>
      </c>
      <c r="G1819" t="inlineStr">
        <is>
          <t>消耗品</t>
        </is>
      </c>
      <c r="H1819" t="inlineStr">
        <is>
          <t>ラベルロール</t>
        </is>
      </c>
      <c r="I1819" s="4" t="n">
        <v>14</v>
      </c>
      <c r="J1819" s="4" t="n">
        <v>6790</v>
      </c>
      <c r="K1819" s="4">
        <f>I1819*J1819</f>
        <v/>
      </c>
      <c r="L1819" t="inlineStr"/>
    </row>
    <row r="1820">
      <c r="A1820" t="inlineStr">
        <is>
          <t>SR076</t>
        </is>
      </c>
      <c r="B1820" t="inlineStr">
        <is>
          <t>営業担当076</t>
        </is>
      </c>
      <c r="C1820" t="inlineStr">
        <is>
          <t>第1営業部</t>
        </is>
      </c>
      <c r="D1820" s="3" t="n">
        <v>45963</v>
      </c>
      <c r="E1820" t="inlineStr">
        <is>
          <t>白峰化学株式会社</t>
        </is>
      </c>
      <c r="F1820" t="inlineStr">
        <is>
          <t>愛知県</t>
        </is>
      </c>
      <c r="G1820" t="inlineStr">
        <is>
          <t>ソフトウェア</t>
        </is>
      </c>
      <c r="H1820" t="inlineStr">
        <is>
          <t>在庫管理クラウド</t>
        </is>
      </c>
      <c r="I1820" s="4" t="n">
        <v>1</v>
      </c>
      <c r="J1820" s="4" t="n">
        <v>245000</v>
      </c>
      <c r="K1820" s="4">
        <f>I1820*J1820</f>
        <v/>
      </c>
      <c r="L1820" t="inlineStr">
        <is>
          <t>分納</t>
        </is>
      </c>
    </row>
    <row r="1821">
      <c r="A1821" t="inlineStr">
        <is>
          <t>SR076</t>
        </is>
      </c>
      <c r="B1821" t="inlineStr">
        <is>
          <t>営業担当076</t>
        </is>
      </c>
      <c r="C1821" t="inlineStr">
        <is>
          <t>第1営業部</t>
        </is>
      </c>
      <c r="D1821" s="3" t="n">
        <v>45994</v>
      </c>
      <c r="E1821" t="inlineStr">
        <is>
          <t>西日本機工有限会社</t>
        </is>
      </c>
      <c r="F1821" t="inlineStr">
        <is>
          <t>北海道</t>
        </is>
      </c>
      <c r="G1821" t="inlineStr">
        <is>
          <t>ハードウェア</t>
        </is>
      </c>
      <c r="H1821" t="inlineStr">
        <is>
          <t>ラベルプリンター</t>
        </is>
      </c>
      <c r="I1821" s="4" t="n">
        <v>4</v>
      </c>
      <c r="J1821" s="4" t="n">
        <v>52500</v>
      </c>
      <c r="K1821" s="4">
        <f>I1821*J1821</f>
        <v/>
      </c>
      <c r="L1821" t="inlineStr">
        <is>
          <t>値引き調整あり</t>
        </is>
      </c>
    </row>
    <row r="1822">
      <c r="A1822" t="inlineStr">
        <is>
          <t>SR076</t>
        </is>
      </c>
      <c r="B1822" t="inlineStr">
        <is>
          <t>営業担当076</t>
        </is>
      </c>
      <c r="C1822" t="inlineStr">
        <is>
          <t>第1営業部</t>
        </is>
      </c>
      <c r="D1822" s="3" t="n">
        <v>46010</v>
      </c>
      <c r="E1822" t="inlineStr">
        <is>
          <t>九州エナジー株式会社</t>
        </is>
      </c>
      <c r="F1822" t="inlineStr">
        <is>
          <t>東京都</t>
        </is>
      </c>
      <c r="G1822" t="inlineStr">
        <is>
          <t>導入支援</t>
        </is>
      </c>
      <c r="H1822" t="inlineStr">
        <is>
          <t>操作研修パック</t>
        </is>
      </c>
      <c r="I1822" s="4" t="n">
        <v>4</v>
      </c>
      <c r="J1822" s="4" t="n">
        <v>87800</v>
      </c>
      <c r="K1822" s="4">
        <f>I1822*J1822</f>
        <v/>
      </c>
      <c r="L1822" t="inlineStr">
        <is>
          <t>キャンペーン適用</t>
        </is>
      </c>
    </row>
    <row r="1823">
      <c r="A1823" t="inlineStr">
        <is>
          <t>SR076</t>
        </is>
      </c>
      <c r="B1823" t="inlineStr">
        <is>
          <t>営業担当076</t>
        </is>
      </c>
      <c r="C1823" t="inlineStr">
        <is>
          <t>第1営業部</t>
        </is>
      </c>
      <c r="D1823" s="3" t="n">
        <v>46032</v>
      </c>
      <c r="E1823" t="inlineStr">
        <is>
          <t>サンライズ建設有限会社</t>
        </is>
      </c>
      <c r="F1823" t="inlineStr">
        <is>
          <t>神奈川県</t>
        </is>
      </c>
      <c r="G1823" t="inlineStr">
        <is>
          <t>ソフトウェア</t>
        </is>
      </c>
      <c r="H1823" t="inlineStr">
        <is>
          <t>在庫管理クラウド</t>
        </is>
      </c>
      <c r="I1823" s="4" t="n">
        <v>4</v>
      </c>
      <c r="J1823" s="4" t="n">
        <v>262700</v>
      </c>
      <c r="K1823" s="4">
        <f>I1823*J1823</f>
        <v/>
      </c>
      <c r="L1823" t="inlineStr"/>
    </row>
    <row r="1824">
      <c r="A1824" t="inlineStr">
        <is>
          <t>SR076</t>
        </is>
      </c>
      <c r="B1824" t="inlineStr">
        <is>
          <t>営業担当076</t>
        </is>
      </c>
      <c r="C1824" t="inlineStr">
        <is>
          <t>第1営業部</t>
        </is>
      </c>
      <c r="D1824" s="3" t="n">
        <v>46037</v>
      </c>
      <c r="E1824" t="inlineStr">
        <is>
          <t>桜井メディカル有限会社</t>
        </is>
      </c>
      <c r="F1824" t="inlineStr">
        <is>
          <t>広島県</t>
        </is>
      </c>
      <c r="G1824" t="inlineStr">
        <is>
          <t>消耗品</t>
        </is>
      </c>
      <c r="H1824" t="inlineStr">
        <is>
          <t>保守用バッテリー</t>
        </is>
      </c>
      <c r="I1824" s="4" t="n">
        <v>6</v>
      </c>
      <c r="J1824" s="4" t="n">
        <v>15110</v>
      </c>
      <c r="K1824" s="4">
        <f>I1824*J1824</f>
        <v/>
      </c>
      <c r="L1824" t="inlineStr">
        <is>
          <t>分納</t>
        </is>
      </c>
    </row>
    <row r="1825">
      <c r="A1825" t="inlineStr">
        <is>
          <t>SR076</t>
        </is>
      </c>
      <c r="B1825" t="inlineStr">
        <is>
          <t>営業担当076</t>
        </is>
      </c>
      <c r="C1825" t="inlineStr">
        <is>
          <t>第1営業部</t>
        </is>
      </c>
      <c r="D1825" s="3" t="n">
        <v>46058</v>
      </c>
      <c r="E1825" t="inlineStr">
        <is>
          <t>白峰化学有限会社</t>
        </is>
      </c>
      <c r="F1825" t="inlineStr">
        <is>
          <t>北海道</t>
        </is>
      </c>
      <c r="G1825" t="inlineStr">
        <is>
          <t>ハードウェア</t>
        </is>
      </c>
      <c r="H1825" t="inlineStr">
        <is>
          <t>小型ハンディ端末</t>
        </is>
      </c>
      <c r="I1825" s="4" t="n">
        <v>3</v>
      </c>
      <c r="J1825" s="4" t="n">
        <v>62800</v>
      </c>
      <c r="K1825" s="4">
        <f>I1825*J1825</f>
        <v/>
      </c>
      <c r="L1825" t="inlineStr">
        <is>
          <t>キャンペーン適用</t>
        </is>
      </c>
    </row>
    <row r="1826">
      <c r="A1826" t="inlineStr">
        <is>
          <t>SR076</t>
        </is>
      </c>
      <c r="B1826" t="inlineStr">
        <is>
          <t>営業担当076</t>
        </is>
      </c>
      <c r="C1826" t="inlineStr">
        <is>
          <t>第1営業部</t>
        </is>
      </c>
      <c r="D1826" s="3" t="n">
        <v>46071</v>
      </c>
      <c r="E1826" t="inlineStr">
        <is>
          <t>ネクストソリューション株式会社</t>
        </is>
      </c>
      <c r="F1826" t="inlineStr">
        <is>
          <t>福岡県</t>
        </is>
      </c>
      <c r="G1826" t="inlineStr">
        <is>
          <t>消耗品</t>
        </is>
      </c>
      <c r="H1826" t="inlineStr">
        <is>
          <t>ラベルロール</t>
        </is>
      </c>
      <c r="I1826" s="4" t="n">
        <v>8</v>
      </c>
      <c r="J1826" s="4" t="n">
        <v>12000</v>
      </c>
      <c r="K1826" s="4">
        <f>I1826*J1826</f>
        <v/>
      </c>
      <c r="L1826" t="inlineStr"/>
    </row>
    <row r="1827">
      <c r="A1827" t="inlineStr">
        <is>
          <t>SR076</t>
        </is>
      </c>
      <c r="B1827" t="inlineStr">
        <is>
          <t>営業担当076</t>
        </is>
      </c>
      <c r="C1827" t="inlineStr">
        <is>
          <t>第1営業部</t>
        </is>
      </c>
      <c r="D1827" s="3" t="n">
        <v>46085</v>
      </c>
      <c r="E1827" t="inlineStr">
        <is>
          <t>桜井メディカル株式会社</t>
        </is>
      </c>
      <c r="F1827" t="inlineStr">
        <is>
          <t>宮城県</t>
        </is>
      </c>
      <c r="G1827" t="inlineStr">
        <is>
          <t>ハードウェア</t>
        </is>
      </c>
      <c r="H1827" t="inlineStr">
        <is>
          <t>産業用タブレット</t>
        </is>
      </c>
      <c r="I1827" s="4" t="n">
        <v>1</v>
      </c>
      <c r="J1827" s="4" t="n">
        <v>92700</v>
      </c>
      <c r="K1827" s="4">
        <f>I1827*J1827</f>
        <v/>
      </c>
      <c r="L1827" t="inlineStr">
        <is>
          <t>キャンペーン適用</t>
        </is>
      </c>
    </row>
    <row r="1828">
      <c r="A1828" t="inlineStr">
        <is>
          <t>SR076</t>
        </is>
      </c>
      <c r="B1828" t="inlineStr">
        <is>
          <t>営業担当076</t>
        </is>
      </c>
      <c r="C1828" t="inlineStr">
        <is>
          <t>第1営業部</t>
        </is>
      </c>
      <c r="D1828" s="3" t="n">
        <v>46090</v>
      </c>
      <c r="E1828" t="inlineStr">
        <is>
          <t>西日本機工(株)</t>
        </is>
      </c>
      <c r="F1828" t="inlineStr">
        <is>
          <t>東京都</t>
        </is>
      </c>
      <c r="G1828" t="inlineStr">
        <is>
          <t>導入支援</t>
        </is>
      </c>
      <c r="H1828" t="inlineStr">
        <is>
          <t>データ移行支援</t>
        </is>
      </c>
      <c r="I1828" s="4" t="n">
        <v>2</v>
      </c>
      <c r="J1828" s="4" t="n">
        <v>97400</v>
      </c>
      <c r="K1828" s="4">
        <f>I1828*J1828</f>
        <v/>
      </c>
      <c r="L1828" t="inlineStr">
        <is>
          <t>分納</t>
        </is>
      </c>
    </row>
    <row r="1829">
      <c r="A1829" t="inlineStr">
        <is>
          <t>SR077</t>
        </is>
      </c>
      <c r="B1829" t="inlineStr">
        <is>
          <t>営業担当077</t>
        </is>
      </c>
      <c r="C1829" t="inlineStr">
        <is>
          <t>第2営業部</t>
        </is>
      </c>
      <c r="D1829" s="3" t="n">
        <v>45757</v>
      </c>
      <c r="E1829" t="inlineStr">
        <is>
          <t>中央設備有限会社</t>
        </is>
      </c>
      <c r="F1829" t="inlineStr">
        <is>
          <t>福岡県</t>
        </is>
      </c>
      <c r="G1829" t="inlineStr">
        <is>
          <t>ハードウェア</t>
        </is>
      </c>
      <c r="H1829" t="inlineStr">
        <is>
          <t>小型ハンディ端末</t>
        </is>
      </c>
      <c r="I1829" s="4" t="n">
        <v>4</v>
      </c>
      <c r="J1829" s="4" t="n">
        <v>57100</v>
      </c>
      <c r="K1829" s="4">
        <f>I1829*J1829</f>
        <v/>
      </c>
      <c r="L1829" t="inlineStr">
        <is>
          <t>値引き調整あり</t>
        </is>
      </c>
    </row>
    <row r="1830">
      <c r="A1830" t="inlineStr">
        <is>
          <t>SR077</t>
        </is>
      </c>
      <c r="B1830" t="inlineStr">
        <is>
          <t>営業担当077</t>
        </is>
      </c>
      <c r="C1830" t="inlineStr">
        <is>
          <t>第2営業部</t>
        </is>
      </c>
      <c r="D1830" s="3" t="n">
        <v>45761</v>
      </c>
      <c r="E1830" t="inlineStr">
        <is>
          <t>九州エナジー株式会社</t>
        </is>
      </c>
      <c r="F1830" t="inlineStr">
        <is>
          <t>宮城県</t>
        </is>
      </c>
      <c r="G1830" t="inlineStr">
        <is>
          <t>ハードウェア</t>
        </is>
      </c>
      <c r="H1830" t="inlineStr">
        <is>
          <t>ラベルプリンター</t>
        </is>
      </c>
      <c r="I1830" s="4" t="n">
        <v>2</v>
      </c>
      <c r="J1830" s="4" t="n">
        <v>86200</v>
      </c>
      <c r="K1830" s="4">
        <f>I1830*J1830</f>
        <v/>
      </c>
      <c r="L1830" t="inlineStr">
        <is>
          <t>キャンペーン適用</t>
        </is>
      </c>
    </row>
    <row r="1831">
      <c r="A1831" t="inlineStr">
        <is>
          <t>SR077</t>
        </is>
      </c>
      <c r="B1831" t="inlineStr">
        <is>
          <t>営業担当077</t>
        </is>
      </c>
      <c r="C1831" t="inlineStr">
        <is>
          <t>第2営業部</t>
        </is>
      </c>
      <c r="D1831" s="3" t="n">
        <v>45791</v>
      </c>
      <c r="E1831" t="inlineStr">
        <is>
          <t>アーク電機(株)</t>
        </is>
      </c>
      <c r="F1831" t="inlineStr">
        <is>
          <t>広島県</t>
        </is>
      </c>
      <c r="G1831" t="inlineStr">
        <is>
          <t>導入支援</t>
        </is>
      </c>
      <c r="H1831" t="inlineStr">
        <is>
          <t>データ移行支援</t>
        </is>
      </c>
      <c r="I1831" s="4" t="n">
        <v>4</v>
      </c>
      <c r="J1831" s="4" t="n">
        <v>228900</v>
      </c>
      <c r="K1831" s="4">
        <f>I1831*J1831</f>
        <v/>
      </c>
      <c r="L1831" t="inlineStr">
        <is>
          <t>新規開拓</t>
        </is>
      </c>
    </row>
    <row r="1832">
      <c r="A1832" t="inlineStr">
        <is>
          <t>SR077</t>
        </is>
      </c>
      <c r="B1832" t="inlineStr">
        <is>
          <t>営業担当077</t>
        </is>
      </c>
      <c r="C1832" t="inlineStr">
        <is>
          <t>第2営業部</t>
        </is>
      </c>
      <c r="D1832" s="3" t="n">
        <v>45797</v>
      </c>
      <c r="E1832" t="inlineStr">
        <is>
          <t>アーク電機株式会社</t>
        </is>
      </c>
      <c r="F1832" t="inlineStr">
        <is>
          <t>京都府</t>
        </is>
      </c>
      <c r="G1832" t="inlineStr">
        <is>
          <t>消耗品</t>
        </is>
      </c>
      <c r="H1832" t="inlineStr">
        <is>
          <t>交換用ヘッド</t>
        </is>
      </c>
      <c r="I1832" s="4" t="n">
        <v>8</v>
      </c>
      <c r="J1832" s="4" t="n">
        <v>40660</v>
      </c>
      <c r="K1832" s="4">
        <f>I1832*J1832</f>
        <v/>
      </c>
      <c r="L1832" t="inlineStr">
        <is>
          <t>リピート受注</t>
        </is>
      </c>
    </row>
    <row r="1833">
      <c r="A1833" t="inlineStr">
        <is>
          <t>SR077</t>
        </is>
      </c>
      <c r="B1833" t="inlineStr">
        <is>
          <t>営業担当077</t>
        </is>
      </c>
      <c r="C1833" t="inlineStr">
        <is>
          <t>第2営業部</t>
        </is>
      </c>
      <c r="D1833" s="3" t="n">
        <v>45819</v>
      </c>
      <c r="E1833" t="inlineStr">
        <is>
          <t>日新サービス株式会社</t>
        </is>
      </c>
      <c r="F1833" t="inlineStr">
        <is>
          <t>京都府</t>
        </is>
      </c>
      <c r="G1833" t="inlineStr">
        <is>
          <t>ハードウェア</t>
        </is>
      </c>
      <c r="H1833" t="inlineStr">
        <is>
          <t>小型ハンディ端末</t>
        </is>
      </c>
      <c r="I1833" s="4" t="n">
        <v>2</v>
      </c>
      <c r="J1833" s="4" t="n">
        <v>64500</v>
      </c>
      <c r="K1833" s="4">
        <f>I1833*J1833</f>
        <v/>
      </c>
      <c r="L1833" t="inlineStr">
        <is>
          <t>大型案件</t>
        </is>
      </c>
    </row>
    <row r="1834">
      <c r="A1834" t="inlineStr">
        <is>
          <t>SR077</t>
        </is>
      </c>
      <c r="B1834" t="inlineStr">
        <is>
          <t>営業担当077</t>
        </is>
      </c>
      <c r="C1834" t="inlineStr">
        <is>
          <t>第2営業部</t>
        </is>
      </c>
      <c r="D1834" s="3" t="n">
        <v>45831</v>
      </c>
      <c r="E1834" t="inlineStr">
        <is>
          <t>桜井メディカル株式会社</t>
        </is>
      </c>
      <c r="F1834" t="inlineStr">
        <is>
          <t>福岡県</t>
        </is>
      </c>
      <c r="G1834" t="inlineStr">
        <is>
          <t>導入支援</t>
        </is>
      </c>
      <c r="H1834" t="inlineStr">
        <is>
          <t>初期設定支援</t>
        </is>
      </c>
      <c r="I1834" s="4" t="n">
        <v>1</v>
      </c>
      <c r="J1834" s="4" t="n">
        <v>77700</v>
      </c>
      <c r="K1834" s="4">
        <f>I1834*J1834</f>
        <v/>
      </c>
      <c r="L1834" t="inlineStr">
        <is>
          <t>キャンペーン適用</t>
        </is>
      </c>
    </row>
    <row r="1835">
      <c r="A1835" t="inlineStr">
        <is>
          <t>SR077</t>
        </is>
      </c>
      <c r="B1835" t="inlineStr">
        <is>
          <t>営業担当077</t>
        </is>
      </c>
      <c r="C1835" t="inlineStr">
        <is>
          <t>第2営業部</t>
        </is>
      </c>
      <c r="D1835" s="3" t="n">
        <v>45854</v>
      </c>
      <c r="E1835" t="inlineStr">
        <is>
          <t>日新サービス(株)</t>
        </is>
      </c>
      <c r="F1835" t="inlineStr">
        <is>
          <t>福岡県</t>
        </is>
      </c>
      <c r="G1835" t="inlineStr">
        <is>
          <t>ソフトウェア</t>
        </is>
      </c>
      <c r="H1835" t="inlineStr">
        <is>
          <t>帳票自動化ツール</t>
        </is>
      </c>
      <c r="I1835" s="4" t="n">
        <v>4</v>
      </c>
      <c r="J1835" s="4" t="n">
        <v>389500</v>
      </c>
      <c r="K1835" s="4">
        <f>I1835*J1835</f>
        <v/>
      </c>
      <c r="L1835" t="inlineStr"/>
    </row>
    <row r="1836">
      <c r="A1836" t="inlineStr">
        <is>
          <t>SR077</t>
        </is>
      </c>
      <c r="B1836" t="inlineStr">
        <is>
          <t>営業担当077</t>
        </is>
      </c>
      <c r="C1836" t="inlineStr">
        <is>
          <t>第2営業部</t>
        </is>
      </c>
      <c r="D1836" s="3" t="n">
        <v>45866</v>
      </c>
      <c r="E1836" t="inlineStr">
        <is>
          <t>ライトホーム(株)</t>
        </is>
      </c>
      <c r="F1836" t="inlineStr">
        <is>
          <t>広島県</t>
        </is>
      </c>
      <c r="G1836" t="inlineStr">
        <is>
          <t>消耗品</t>
        </is>
      </c>
      <c r="H1836" t="inlineStr">
        <is>
          <t>保守用バッテリー</t>
        </is>
      </c>
      <c r="I1836" s="4" t="n">
        <v>6</v>
      </c>
      <c r="J1836" s="4" t="n">
        <v>12080</v>
      </c>
      <c r="K1836" s="4">
        <f>I1836*J1836</f>
        <v/>
      </c>
      <c r="L1836" t="inlineStr">
        <is>
          <t>大型案件</t>
        </is>
      </c>
    </row>
    <row r="1837">
      <c r="A1837" t="inlineStr">
        <is>
          <t>SR077</t>
        </is>
      </c>
      <c r="B1837" t="inlineStr">
        <is>
          <t>営業担当077</t>
        </is>
      </c>
      <c r="C1837" t="inlineStr">
        <is>
          <t>第2営業部</t>
        </is>
      </c>
      <c r="D1837" s="3" t="n">
        <v>45882</v>
      </c>
      <c r="E1837" t="inlineStr">
        <is>
          <t>グリーンテック(株)</t>
        </is>
      </c>
      <c r="F1837" t="inlineStr">
        <is>
          <t>大阪府</t>
        </is>
      </c>
      <c r="G1837" t="inlineStr">
        <is>
          <t>消耗品</t>
        </is>
      </c>
      <c r="H1837" t="inlineStr">
        <is>
          <t>交換用ヘッド</t>
        </is>
      </c>
      <c r="I1837" s="4" t="n">
        <v>8</v>
      </c>
      <c r="J1837" s="4" t="n">
        <v>24300</v>
      </c>
      <c r="K1837" s="4">
        <f>I1837*J1837</f>
        <v/>
      </c>
      <c r="L1837" t="inlineStr">
        <is>
          <t>キャンペーン適用</t>
        </is>
      </c>
    </row>
    <row r="1838">
      <c r="A1838" t="inlineStr">
        <is>
          <t>SR077</t>
        </is>
      </c>
      <c r="B1838" t="inlineStr">
        <is>
          <t>営業担当077</t>
        </is>
      </c>
      <c r="C1838" t="inlineStr">
        <is>
          <t>第2営業部</t>
        </is>
      </c>
      <c r="D1838" s="3" t="n">
        <v>45884</v>
      </c>
      <c r="E1838" t="inlineStr">
        <is>
          <t>青葉商事(株)</t>
        </is>
      </c>
      <c r="F1838" t="inlineStr">
        <is>
          <t>兵庫県</t>
        </is>
      </c>
      <c r="G1838" t="inlineStr">
        <is>
          <t>保守サービス</t>
        </is>
      </c>
      <c r="H1838" t="inlineStr">
        <is>
          <t>オンサイト保守</t>
        </is>
      </c>
      <c r="I1838" s="4" t="n">
        <v>1</v>
      </c>
      <c r="J1838" s="4" t="n">
        <v>115700</v>
      </c>
      <c r="K1838" s="4">
        <f>I1838*J1838</f>
        <v/>
      </c>
      <c r="L1838" t="inlineStr"/>
    </row>
    <row r="1839">
      <c r="A1839" t="inlineStr">
        <is>
          <t>SR077</t>
        </is>
      </c>
      <c r="B1839" t="inlineStr">
        <is>
          <t>営業担当077</t>
        </is>
      </c>
      <c r="C1839" t="inlineStr">
        <is>
          <t>第2営業部</t>
        </is>
      </c>
      <c r="D1839" s="3" t="n">
        <v>45902</v>
      </c>
      <c r="E1839" t="inlineStr">
        <is>
          <t>東洋フーズ株式会社</t>
        </is>
      </c>
      <c r="F1839" t="inlineStr">
        <is>
          <t>北海道</t>
        </is>
      </c>
      <c r="G1839" t="inlineStr">
        <is>
          <t>消耗品</t>
        </is>
      </c>
      <c r="H1839" t="inlineStr">
        <is>
          <t>ラベルロール</t>
        </is>
      </c>
      <c r="I1839" s="4" t="n">
        <v>11</v>
      </c>
      <c r="J1839" s="4" t="n">
        <v>10070</v>
      </c>
      <c r="K1839" s="4">
        <f>I1839*J1839</f>
        <v/>
      </c>
      <c r="L1839" t="inlineStr">
        <is>
          <t>値引き調整あり</t>
        </is>
      </c>
    </row>
    <row r="1840">
      <c r="A1840" t="inlineStr">
        <is>
          <t>SR077</t>
        </is>
      </c>
      <c r="B1840" t="inlineStr">
        <is>
          <t>営業担当077</t>
        </is>
      </c>
      <c r="C1840" t="inlineStr">
        <is>
          <t>第2営業部</t>
        </is>
      </c>
      <c r="D1840" s="3" t="n">
        <v>45906</v>
      </c>
      <c r="E1840" t="inlineStr">
        <is>
          <t>グリーンテック有限会社</t>
        </is>
      </c>
      <c r="F1840" t="inlineStr">
        <is>
          <t>神奈川県</t>
        </is>
      </c>
      <c r="G1840" t="inlineStr">
        <is>
          <t>導入支援</t>
        </is>
      </c>
      <c r="H1840" t="inlineStr">
        <is>
          <t>初期設定支援</t>
        </is>
      </c>
      <c r="I1840" s="4" t="n">
        <v>1</v>
      </c>
      <c r="J1840" s="4" t="n">
        <v>211900</v>
      </c>
      <c r="K1840" s="4">
        <f>I1840*J1840</f>
        <v/>
      </c>
      <c r="L1840" t="inlineStr">
        <is>
          <t>大型案件</t>
        </is>
      </c>
    </row>
    <row r="1841">
      <c r="A1841" t="inlineStr">
        <is>
          <t>SR077</t>
        </is>
      </c>
      <c r="B1841" t="inlineStr">
        <is>
          <t>営業担当077</t>
        </is>
      </c>
      <c r="C1841" t="inlineStr">
        <is>
          <t>第2営業部</t>
        </is>
      </c>
      <c r="D1841" s="3" t="n">
        <v>45944</v>
      </c>
      <c r="E1841" t="inlineStr">
        <is>
          <t>西日本機工(株)</t>
        </is>
      </c>
      <c r="F1841" t="inlineStr">
        <is>
          <t>東京都</t>
        </is>
      </c>
      <c r="G1841" t="inlineStr">
        <is>
          <t>ハードウェア</t>
        </is>
      </c>
      <c r="H1841" t="inlineStr">
        <is>
          <t>ネットワークカメラ</t>
        </is>
      </c>
      <c r="I1841" s="4" t="n">
        <v>5</v>
      </c>
      <c r="J1841" s="4" t="n">
        <v>41600</v>
      </c>
      <c r="K1841" s="4">
        <f>I1841*J1841</f>
        <v/>
      </c>
      <c r="L1841" t="inlineStr">
        <is>
          <t>リピート受注</t>
        </is>
      </c>
    </row>
    <row r="1842">
      <c r="A1842" t="inlineStr">
        <is>
          <t>SR077</t>
        </is>
      </c>
      <c r="B1842" t="inlineStr">
        <is>
          <t>営業担当077</t>
        </is>
      </c>
      <c r="C1842" t="inlineStr">
        <is>
          <t>第2営業部</t>
        </is>
      </c>
      <c r="D1842" s="3" t="n">
        <v>45951</v>
      </c>
      <c r="E1842" t="inlineStr">
        <is>
          <t>オーシャン製作所(株)</t>
        </is>
      </c>
      <c r="F1842" t="inlineStr">
        <is>
          <t>大阪府</t>
        </is>
      </c>
      <c r="G1842" t="inlineStr">
        <is>
          <t>保守サービス</t>
        </is>
      </c>
      <c r="H1842" t="inlineStr">
        <is>
          <t>ヘルプデスク契約</t>
        </is>
      </c>
      <c r="I1842" s="4" t="n">
        <v>4</v>
      </c>
      <c r="J1842" s="4" t="n">
        <v>37600</v>
      </c>
      <c r="K1842" s="4">
        <f>I1842*J1842</f>
        <v/>
      </c>
      <c r="L1842" t="inlineStr">
        <is>
          <t>キャンペーン適用</t>
        </is>
      </c>
    </row>
    <row r="1843">
      <c r="A1843" t="inlineStr">
        <is>
          <t>SR077</t>
        </is>
      </c>
      <c r="B1843" t="inlineStr">
        <is>
          <t>営業担当077</t>
        </is>
      </c>
      <c r="C1843" t="inlineStr">
        <is>
          <t>第2営業部</t>
        </is>
      </c>
      <c r="D1843" s="3" t="n">
        <v>45967</v>
      </c>
      <c r="E1843" t="inlineStr">
        <is>
          <t>福岡流通(株)</t>
        </is>
      </c>
      <c r="F1843" t="inlineStr">
        <is>
          <t>愛知県</t>
        </is>
      </c>
      <c r="G1843" t="inlineStr">
        <is>
          <t>消耗品</t>
        </is>
      </c>
      <c r="H1843" t="inlineStr">
        <is>
          <t>保守用バッテリー</t>
        </is>
      </c>
      <c r="I1843" s="4" t="n">
        <v>9</v>
      </c>
      <c r="J1843" s="4" t="n">
        <v>6280</v>
      </c>
      <c r="K1843" s="4">
        <f>I1843*J1843</f>
        <v/>
      </c>
      <c r="L1843" t="inlineStr">
        <is>
          <t>分納</t>
        </is>
      </c>
    </row>
    <row r="1844">
      <c r="A1844" t="inlineStr">
        <is>
          <t>SR077</t>
        </is>
      </c>
      <c r="B1844" t="inlineStr">
        <is>
          <t>営業担当077</t>
        </is>
      </c>
      <c r="C1844" t="inlineStr">
        <is>
          <t>第2営業部</t>
        </is>
      </c>
      <c r="D1844" s="3" t="n">
        <v>45985</v>
      </c>
      <c r="E1844" t="inlineStr">
        <is>
          <t>星和商会株式会社</t>
        </is>
      </c>
      <c r="F1844" t="inlineStr">
        <is>
          <t>宮城県</t>
        </is>
      </c>
      <c r="G1844" t="inlineStr">
        <is>
          <t>消耗品</t>
        </is>
      </c>
      <c r="H1844" t="inlineStr">
        <is>
          <t>ラベルロール</t>
        </is>
      </c>
      <c r="I1844" s="4" t="n">
        <v>3</v>
      </c>
      <c r="J1844" s="4" t="n">
        <v>10620</v>
      </c>
      <c r="K1844" s="4">
        <f>I1844*J1844</f>
        <v/>
      </c>
      <c r="L1844" t="inlineStr">
        <is>
          <t>新規開拓</t>
        </is>
      </c>
    </row>
    <row r="1845">
      <c r="A1845" t="inlineStr">
        <is>
          <t>SR077</t>
        </is>
      </c>
      <c r="B1845" t="inlineStr">
        <is>
          <t>営業担当077</t>
        </is>
      </c>
      <c r="C1845" t="inlineStr">
        <is>
          <t>第2営業部</t>
        </is>
      </c>
      <c r="D1845" s="3" t="n">
        <v>46002</v>
      </c>
      <c r="E1845" t="inlineStr">
        <is>
          <t>西日本機工株式会社</t>
        </is>
      </c>
      <c r="F1845" t="inlineStr">
        <is>
          <t>愛知県</t>
        </is>
      </c>
      <c r="G1845" t="inlineStr">
        <is>
          <t>保守サービス</t>
        </is>
      </c>
      <c r="H1845" t="inlineStr">
        <is>
          <t>オンサイト保守</t>
        </is>
      </c>
      <c r="I1845" s="4" t="n">
        <v>4</v>
      </c>
      <c r="J1845" s="4" t="n">
        <v>128600</v>
      </c>
      <c r="K1845" s="4">
        <f>I1845*J1845</f>
        <v/>
      </c>
      <c r="L1845" t="inlineStr">
        <is>
          <t>新規開拓</t>
        </is>
      </c>
    </row>
    <row r="1846">
      <c r="A1846" t="inlineStr">
        <is>
          <t>SR077</t>
        </is>
      </c>
      <c r="B1846" t="inlineStr">
        <is>
          <t>営業担当077</t>
        </is>
      </c>
      <c r="C1846" t="inlineStr">
        <is>
          <t>第2営業部</t>
        </is>
      </c>
      <c r="D1846" s="3" t="n">
        <v>46006</v>
      </c>
      <c r="E1846" t="inlineStr">
        <is>
          <t>桜井メディカル有限会社</t>
        </is>
      </c>
      <c r="F1846" t="inlineStr">
        <is>
          <t>福岡県</t>
        </is>
      </c>
      <c r="G1846" t="inlineStr">
        <is>
          <t>導入支援</t>
        </is>
      </c>
      <c r="H1846" t="inlineStr">
        <is>
          <t>データ移行支援</t>
        </is>
      </c>
      <c r="I1846" s="4" t="n">
        <v>5</v>
      </c>
      <c r="J1846" s="4" t="n">
        <v>330800</v>
      </c>
      <c r="K1846" s="4">
        <f>I1846*J1846</f>
        <v/>
      </c>
      <c r="L1846" t="inlineStr">
        <is>
          <t>値引き調整あり</t>
        </is>
      </c>
    </row>
    <row r="1847">
      <c r="A1847" t="inlineStr">
        <is>
          <t>SR077</t>
        </is>
      </c>
      <c r="B1847" t="inlineStr">
        <is>
          <t>営業担当077</t>
        </is>
      </c>
      <c r="C1847" t="inlineStr">
        <is>
          <t>第2営業部</t>
        </is>
      </c>
      <c r="D1847" s="3" t="n">
        <v>46024</v>
      </c>
      <c r="E1847" t="inlineStr">
        <is>
          <t>未来通信有限会社</t>
        </is>
      </c>
      <c r="F1847" t="inlineStr">
        <is>
          <t>広島県</t>
        </is>
      </c>
      <c r="G1847" t="inlineStr">
        <is>
          <t>ソフトウェア</t>
        </is>
      </c>
      <c r="H1847" t="inlineStr">
        <is>
          <t>帳票自動化ツール</t>
        </is>
      </c>
      <c r="I1847" s="4" t="n">
        <v>5</v>
      </c>
      <c r="J1847" s="4" t="n">
        <v>162800</v>
      </c>
      <c r="K1847" s="4">
        <f>I1847*J1847</f>
        <v/>
      </c>
      <c r="L1847" t="inlineStr"/>
    </row>
    <row r="1848">
      <c r="A1848" t="inlineStr">
        <is>
          <t>SR077</t>
        </is>
      </c>
      <c r="B1848" t="inlineStr">
        <is>
          <t>営業担当077</t>
        </is>
      </c>
      <c r="C1848" t="inlineStr">
        <is>
          <t>第2営業部</t>
        </is>
      </c>
      <c r="D1848" s="3" t="n">
        <v>46046</v>
      </c>
      <c r="E1848" t="inlineStr">
        <is>
          <t>北斗産業有限会社</t>
        </is>
      </c>
      <c r="F1848" t="inlineStr">
        <is>
          <t>大阪府</t>
        </is>
      </c>
      <c r="G1848" t="inlineStr">
        <is>
          <t>ソフトウェア</t>
        </is>
      </c>
      <c r="H1848" t="inlineStr">
        <is>
          <t>在庫管理クラウド</t>
        </is>
      </c>
      <c r="I1848" s="4" t="n">
        <v>1</v>
      </c>
      <c r="J1848" s="4" t="n">
        <v>183500</v>
      </c>
      <c r="K1848" s="4">
        <f>I1848*J1848</f>
        <v/>
      </c>
      <c r="L1848" t="inlineStr"/>
    </row>
    <row r="1849">
      <c r="A1849" t="inlineStr">
        <is>
          <t>SR077</t>
        </is>
      </c>
      <c r="B1849" t="inlineStr">
        <is>
          <t>営業担当077</t>
        </is>
      </c>
      <c r="C1849" t="inlineStr">
        <is>
          <t>第2営業部</t>
        </is>
      </c>
      <c r="D1849" s="3" t="n">
        <v>46064</v>
      </c>
      <c r="E1849" t="inlineStr">
        <is>
          <t>みらい物流(株)</t>
        </is>
      </c>
      <c r="F1849" t="inlineStr">
        <is>
          <t>北海道</t>
        </is>
      </c>
      <c r="G1849" t="inlineStr">
        <is>
          <t>ハードウェア</t>
        </is>
      </c>
      <c r="H1849" t="inlineStr">
        <is>
          <t>小型ハンディ端末</t>
        </is>
      </c>
      <c r="I1849" s="4" t="n">
        <v>2</v>
      </c>
      <c r="J1849" s="4" t="n">
        <v>76400</v>
      </c>
      <c r="K1849" s="4">
        <f>I1849*J1849</f>
        <v/>
      </c>
      <c r="L1849" t="inlineStr"/>
    </row>
    <row r="1850">
      <c r="A1850" t="inlineStr">
        <is>
          <t>SR077</t>
        </is>
      </c>
      <c r="B1850" t="inlineStr">
        <is>
          <t>営業担当077</t>
        </is>
      </c>
      <c r="C1850" t="inlineStr">
        <is>
          <t>第2営業部</t>
        </is>
      </c>
      <c r="D1850" s="3" t="n">
        <v>46081</v>
      </c>
      <c r="E1850" t="inlineStr">
        <is>
          <t>ライトホーム株式会社</t>
        </is>
      </c>
      <c r="F1850" t="inlineStr">
        <is>
          <t>兵庫県</t>
        </is>
      </c>
      <c r="G1850" t="inlineStr">
        <is>
          <t>ソフトウェア</t>
        </is>
      </c>
      <c r="H1850" t="inlineStr">
        <is>
          <t>帳票自動化ツール</t>
        </is>
      </c>
      <c r="I1850" s="4" t="n">
        <v>4</v>
      </c>
      <c r="J1850" s="4" t="n">
        <v>231700</v>
      </c>
      <c r="K1850" s="4">
        <f>I1850*J1850</f>
        <v/>
      </c>
      <c r="L1850" t="inlineStr">
        <is>
          <t>分納</t>
        </is>
      </c>
    </row>
    <row r="1851">
      <c r="A1851" t="inlineStr">
        <is>
          <t>SR077</t>
        </is>
      </c>
      <c r="B1851" t="inlineStr">
        <is>
          <t>営業担当077</t>
        </is>
      </c>
      <c r="C1851" t="inlineStr">
        <is>
          <t>第2営業部</t>
        </is>
      </c>
      <c r="D1851" s="3" t="n">
        <v>46093</v>
      </c>
      <c r="E1851" t="inlineStr">
        <is>
          <t>ライトホーム(株)</t>
        </is>
      </c>
      <c r="F1851" t="inlineStr">
        <is>
          <t>兵庫県</t>
        </is>
      </c>
      <c r="G1851" t="inlineStr">
        <is>
          <t>導入支援</t>
        </is>
      </c>
      <c r="H1851" t="inlineStr">
        <is>
          <t>データ移行支援</t>
        </is>
      </c>
      <c r="I1851" s="4" t="n">
        <v>3</v>
      </c>
      <c r="J1851" s="4" t="n">
        <v>151700</v>
      </c>
      <c r="K1851" s="4">
        <f>I1851*J1851</f>
        <v/>
      </c>
      <c r="L1851" t="inlineStr">
        <is>
          <t>リピート受注</t>
        </is>
      </c>
    </row>
    <row r="1852">
      <c r="A1852" t="inlineStr">
        <is>
          <t>SR077</t>
        </is>
      </c>
      <c r="B1852" t="inlineStr">
        <is>
          <t>営業担当077</t>
        </is>
      </c>
      <c r="C1852" t="inlineStr">
        <is>
          <t>第2営業部</t>
        </is>
      </c>
      <c r="D1852" s="3" t="n">
        <v>46094</v>
      </c>
      <c r="E1852" t="inlineStr">
        <is>
          <t>日新サービス株式会社</t>
        </is>
      </c>
      <c r="F1852" t="inlineStr">
        <is>
          <t>神奈川県</t>
        </is>
      </c>
      <c r="G1852" t="inlineStr">
        <is>
          <t>導入支援</t>
        </is>
      </c>
      <c r="H1852" t="inlineStr">
        <is>
          <t>データ移行支援</t>
        </is>
      </c>
      <c r="I1852" s="4" t="n">
        <v>3</v>
      </c>
      <c r="J1852" s="4" t="n">
        <v>289900</v>
      </c>
      <c r="K1852" s="4">
        <f>I1852*J1852</f>
        <v/>
      </c>
      <c r="L1852" t="inlineStr">
        <is>
          <t>キャンペーン適用</t>
        </is>
      </c>
    </row>
    <row r="1853">
      <c r="A1853" t="inlineStr">
        <is>
          <t>SR078</t>
        </is>
      </c>
      <c r="B1853" t="inlineStr">
        <is>
          <t>営業担当078</t>
        </is>
      </c>
      <c r="C1853" t="inlineStr">
        <is>
          <t>第3営業部</t>
        </is>
      </c>
      <c r="D1853" s="3" t="n">
        <v>45761</v>
      </c>
      <c r="E1853" t="inlineStr">
        <is>
          <t>オーシャン製作所株式会社</t>
        </is>
      </c>
      <c r="F1853" t="inlineStr">
        <is>
          <t>北海道</t>
        </is>
      </c>
      <c r="G1853" t="inlineStr">
        <is>
          <t>保守サービス</t>
        </is>
      </c>
      <c r="H1853" t="inlineStr">
        <is>
          <t>ヘルプデスク契約</t>
        </is>
      </c>
      <c r="I1853" s="4" t="n">
        <v>2</v>
      </c>
      <c r="J1853" s="4" t="n">
        <v>86000</v>
      </c>
      <c r="K1853" s="4">
        <f>I1853*J1853</f>
        <v/>
      </c>
      <c r="L1853" t="inlineStr">
        <is>
          <t>リピート受注</t>
        </is>
      </c>
    </row>
    <row r="1854">
      <c r="A1854" t="inlineStr">
        <is>
          <t>SR078</t>
        </is>
      </c>
      <c r="B1854" t="inlineStr">
        <is>
          <t>営業担当078</t>
        </is>
      </c>
      <c r="C1854" t="inlineStr">
        <is>
          <t>第3営業部</t>
        </is>
      </c>
      <c r="D1854" s="3" t="n">
        <v>45768</v>
      </c>
      <c r="E1854" t="inlineStr">
        <is>
          <t>未来通信(株)</t>
        </is>
      </c>
      <c r="F1854" t="inlineStr">
        <is>
          <t>福岡県</t>
        </is>
      </c>
      <c r="G1854" t="inlineStr">
        <is>
          <t>ソフトウェア</t>
        </is>
      </c>
      <c r="H1854" t="inlineStr">
        <is>
          <t>在庫管理クラウド</t>
        </is>
      </c>
      <c r="I1854" s="4" t="n">
        <v>1</v>
      </c>
      <c r="J1854" s="4" t="n">
        <v>382300</v>
      </c>
      <c r="K1854" s="4">
        <f>I1854*J1854</f>
        <v/>
      </c>
      <c r="L1854" t="inlineStr">
        <is>
          <t>新規開拓</t>
        </is>
      </c>
    </row>
    <row r="1855">
      <c r="A1855" t="inlineStr">
        <is>
          <t>SR078</t>
        </is>
      </c>
      <c r="B1855" t="inlineStr">
        <is>
          <t>営業担当078</t>
        </is>
      </c>
      <c r="C1855" t="inlineStr">
        <is>
          <t>第3営業部</t>
        </is>
      </c>
      <c r="D1855" s="3" t="n">
        <v>45786</v>
      </c>
      <c r="E1855" t="inlineStr">
        <is>
          <t>みらい物流(株)</t>
        </is>
      </c>
      <c r="F1855" t="inlineStr">
        <is>
          <t>大阪府</t>
        </is>
      </c>
      <c r="G1855" t="inlineStr">
        <is>
          <t>保守サービス</t>
        </is>
      </c>
      <c r="H1855" t="inlineStr">
        <is>
          <t>ヘルプデスク契約</t>
        </is>
      </c>
      <c r="I1855" s="4" t="n">
        <v>1</v>
      </c>
      <c r="J1855" s="4" t="n">
        <v>38300</v>
      </c>
      <c r="K1855" s="4">
        <f>I1855*J1855</f>
        <v/>
      </c>
      <c r="L1855" t="inlineStr"/>
    </row>
    <row r="1856">
      <c r="A1856" t="inlineStr">
        <is>
          <t>SR078</t>
        </is>
      </c>
      <c r="B1856" t="inlineStr">
        <is>
          <t>営業担当078</t>
        </is>
      </c>
      <c r="C1856" t="inlineStr">
        <is>
          <t>第3営業部</t>
        </is>
      </c>
      <c r="D1856" s="3" t="n">
        <v>45801</v>
      </c>
      <c r="E1856" t="inlineStr">
        <is>
          <t>北斗産業有限会社</t>
        </is>
      </c>
      <c r="F1856" t="inlineStr">
        <is>
          <t>宮城県</t>
        </is>
      </c>
      <c r="G1856" t="inlineStr">
        <is>
          <t>ソフトウェア</t>
        </is>
      </c>
      <c r="H1856" t="inlineStr">
        <is>
          <t>AIチャットボット</t>
        </is>
      </c>
      <c r="I1856" s="4" t="n">
        <v>1</v>
      </c>
      <c r="J1856" s="4" t="n">
        <v>859700</v>
      </c>
      <c r="K1856" s="4">
        <f>I1856*J1856</f>
        <v/>
      </c>
      <c r="L1856" t="inlineStr"/>
    </row>
    <row r="1857">
      <c r="A1857" t="inlineStr">
        <is>
          <t>SR078</t>
        </is>
      </c>
      <c r="B1857" t="inlineStr">
        <is>
          <t>営業担当078</t>
        </is>
      </c>
      <c r="C1857" t="inlineStr">
        <is>
          <t>第3営業部</t>
        </is>
      </c>
      <c r="D1857" s="3" t="n">
        <v>45819</v>
      </c>
      <c r="E1857" t="inlineStr">
        <is>
          <t>星和商会(株)</t>
        </is>
      </c>
      <c r="F1857" t="inlineStr">
        <is>
          <t>兵庫県</t>
        </is>
      </c>
      <c r="G1857" t="inlineStr">
        <is>
          <t>ソフトウェア</t>
        </is>
      </c>
      <c r="H1857" t="inlineStr">
        <is>
          <t>帳票自動化ツール</t>
        </is>
      </c>
      <c r="I1857" s="4" t="n">
        <v>3</v>
      </c>
      <c r="J1857" s="4" t="n">
        <v>334600</v>
      </c>
      <c r="K1857" s="4">
        <f>I1857*J1857</f>
        <v/>
      </c>
      <c r="L1857" t="inlineStr">
        <is>
          <t>新規開拓</t>
        </is>
      </c>
    </row>
    <row r="1858">
      <c r="A1858" t="inlineStr">
        <is>
          <t>SR078</t>
        </is>
      </c>
      <c r="B1858" t="inlineStr">
        <is>
          <t>営業担当078</t>
        </is>
      </c>
      <c r="C1858" t="inlineStr">
        <is>
          <t>第3営業部</t>
        </is>
      </c>
      <c r="D1858" s="3" t="n">
        <v>45834</v>
      </c>
      <c r="E1858" t="inlineStr">
        <is>
          <t>中央設備株式会社</t>
        </is>
      </c>
      <c r="F1858" t="inlineStr">
        <is>
          <t>大阪府</t>
        </is>
      </c>
      <c r="G1858" t="inlineStr">
        <is>
          <t>ハードウェア</t>
        </is>
      </c>
      <c r="H1858" t="inlineStr">
        <is>
          <t>ラベルプリンター</t>
        </is>
      </c>
      <c r="I1858" s="4" t="n">
        <v>1</v>
      </c>
      <c r="J1858" s="4" t="n">
        <v>45800</v>
      </c>
      <c r="K1858" s="4">
        <f>I1858*J1858</f>
        <v/>
      </c>
      <c r="L1858" t="inlineStr">
        <is>
          <t>大型案件</t>
        </is>
      </c>
    </row>
    <row r="1859">
      <c r="A1859" t="inlineStr">
        <is>
          <t>SR078</t>
        </is>
      </c>
      <c r="B1859" t="inlineStr">
        <is>
          <t>営業担当078</t>
        </is>
      </c>
      <c r="C1859" t="inlineStr">
        <is>
          <t>第3営業部</t>
        </is>
      </c>
      <c r="D1859" s="3" t="n">
        <v>45862</v>
      </c>
      <c r="E1859" t="inlineStr">
        <is>
          <t>ネクストソリューション(株)</t>
        </is>
      </c>
      <c r="F1859" t="inlineStr">
        <is>
          <t>広島県</t>
        </is>
      </c>
      <c r="G1859" t="inlineStr">
        <is>
          <t>保守サービス</t>
        </is>
      </c>
      <c r="H1859" t="inlineStr">
        <is>
          <t>オンサイト保守</t>
        </is>
      </c>
      <c r="I1859" s="4" t="n">
        <v>3</v>
      </c>
      <c r="J1859" s="4" t="n">
        <v>151800</v>
      </c>
      <c r="K1859" s="4">
        <f>I1859*J1859</f>
        <v/>
      </c>
      <c r="L1859" t="inlineStr">
        <is>
          <t>大型案件</t>
        </is>
      </c>
    </row>
    <row r="1860">
      <c r="A1860" t="inlineStr">
        <is>
          <t>SR078</t>
        </is>
      </c>
      <c r="B1860" t="inlineStr">
        <is>
          <t>営業担当078</t>
        </is>
      </c>
      <c r="C1860" t="inlineStr">
        <is>
          <t>第3営業部</t>
        </is>
      </c>
      <c r="D1860" s="3" t="n">
        <v>45863</v>
      </c>
      <c r="E1860" t="inlineStr">
        <is>
          <t>みらい物流株式会社</t>
        </is>
      </c>
      <c r="F1860" t="inlineStr">
        <is>
          <t>東京都</t>
        </is>
      </c>
      <c r="G1860" t="inlineStr">
        <is>
          <t>ソフトウェア</t>
        </is>
      </c>
      <c r="H1860" t="inlineStr">
        <is>
          <t>帳票自動化ツール</t>
        </is>
      </c>
      <c r="I1860" s="4" t="n">
        <v>5</v>
      </c>
      <c r="J1860" s="4" t="n">
        <v>178800</v>
      </c>
      <c r="K1860" s="4">
        <f>I1860*J1860</f>
        <v/>
      </c>
      <c r="L1860" t="inlineStr"/>
    </row>
    <row r="1861">
      <c r="A1861" t="inlineStr">
        <is>
          <t>SR078</t>
        </is>
      </c>
      <c r="B1861" t="inlineStr">
        <is>
          <t>営業担当078</t>
        </is>
      </c>
      <c r="C1861" t="inlineStr">
        <is>
          <t>第3営業部</t>
        </is>
      </c>
      <c r="D1861" s="3" t="n">
        <v>45877</v>
      </c>
      <c r="E1861" t="inlineStr">
        <is>
          <t>星和商会株式会社</t>
        </is>
      </c>
      <c r="F1861" t="inlineStr">
        <is>
          <t>東京都</t>
        </is>
      </c>
      <c r="G1861" t="inlineStr">
        <is>
          <t>保守サービス</t>
        </is>
      </c>
      <c r="H1861" t="inlineStr">
        <is>
          <t>オンサイト保守</t>
        </is>
      </c>
      <c r="I1861" s="4" t="n">
        <v>4</v>
      </c>
      <c r="J1861" s="4" t="n">
        <v>134500</v>
      </c>
      <c r="K1861" s="4">
        <f>I1861*J1861</f>
        <v/>
      </c>
      <c r="L1861" t="inlineStr">
        <is>
          <t>新規開拓</t>
        </is>
      </c>
    </row>
    <row r="1862">
      <c r="A1862" t="inlineStr">
        <is>
          <t>SR078</t>
        </is>
      </c>
      <c r="B1862" t="inlineStr">
        <is>
          <t>営業担当078</t>
        </is>
      </c>
      <c r="C1862" t="inlineStr">
        <is>
          <t>第3営業部</t>
        </is>
      </c>
      <c r="D1862" s="3" t="n">
        <v>45888</v>
      </c>
      <c r="E1862" t="inlineStr">
        <is>
          <t>白峰化学有限会社</t>
        </is>
      </c>
      <c r="F1862" t="inlineStr">
        <is>
          <t>北海道</t>
        </is>
      </c>
      <c r="G1862" t="inlineStr">
        <is>
          <t>ソフトウェア</t>
        </is>
      </c>
      <c r="H1862" t="inlineStr">
        <is>
          <t>在庫管理クラウド</t>
        </is>
      </c>
      <c r="I1862" s="4" t="n">
        <v>1</v>
      </c>
      <c r="J1862" s="4" t="n">
        <v>468400</v>
      </c>
      <c r="K1862" s="4">
        <f>I1862*J1862</f>
        <v/>
      </c>
      <c r="L1862" t="inlineStr"/>
    </row>
    <row r="1863">
      <c r="A1863" t="inlineStr">
        <is>
          <t>SR078</t>
        </is>
      </c>
      <c r="B1863" t="inlineStr">
        <is>
          <t>営業担当078</t>
        </is>
      </c>
      <c r="C1863" t="inlineStr">
        <is>
          <t>第3営業部</t>
        </is>
      </c>
      <c r="D1863" s="3" t="n">
        <v>45907</v>
      </c>
      <c r="E1863" t="inlineStr">
        <is>
          <t>みらい物流株式会社</t>
        </is>
      </c>
      <c r="F1863" t="inlineStr">
        <is>
          <t>大阪府</t>
        </is>
      </c>
      <c r="G1863" t="inlineStr">
        <is>
          <t>ソフトウェア</t>
        </is>
      </c>
      <c r="H1863" t="inlineStr">
        <is>
          <t>在庫管理クラウド</t>
        </is>
      </c>
      <c r="I1863" s="4" t="n">
        <v>4</v>
      </c>
      <c r="J1863" s="4" t="n">
        <v>460800</v>
      </c>
      <c r="K1863" s="4">
        <f>I1863*J1863</f>
        <v/>
      </c>
      <c r="L1863" t="inlineStr">
        <is>
          <t>大型案件</t>
        </is>
      </c>
    </row>
    <row r="1864">
      <c r="A1864" t="inlineStr">
        <is>
          <t>SR078</t>
        </is>
      </c>
      <c r="B1864" t="inlineStr">
        <is>
          <t>営業担当078</t>
        </is>
      </c>
      <c r="C1864" t="inlineStr">
        <is>
          <t>第3営業部</t>
        </is>
      </c>
      <c r="D1864" s="3" t="n">
        <v>45926</v>
      </c>
      <c r="E1864" t="inlineStr">
        <is>
          <t>日新サービス(株)</t>
        </is>
      </c>
      <c r="F1864" t="inlineStr">
        <is>
          <t>広島県</t>
        </is>
      </c>
      <c r="G1864" t="inlineStr">
        <is>
          <t>導入支援</t>
        </is>
      </c>
      <c r="H1864" t="inlineStr">
        <is>
          <t>初期設定支援</t>
        </is>
      </c>
      <c r="I1864" s="4" t="n">
        <v>2</v>
      </c>
      <c r="J1864" s="4" t="n">
        <v>201100</v>
      </c>
      <c r="K1864" s="4">
        <f>I1864*J1864</f>
        <v/>
      </c>
      <c r="L1864" t="inlineStr">
        <is>
          <t>キャンペーン適用</t>
        </is>
      </c>
    </row>
    <row r="1865">
      <c r="A1865" t="inlineStr">
        <is>
          <t>SR078</t>
        </is>
      </c>
      <c r="B1865" t="inlineStr">
        <is>
          <t>営業担当078</t>
        </is>
      </c>
      <c r="C1865" t="inlineStr">
        <is>
          <t>第3営業部</t>
        </is>
      </c>
      <c r="D1865" s="3" t="n">
        <v>45937</v>
      </c>
      <c r="E1865" t="inlineStr">
        <is>
          <t>北斗産業有限会社</t>
        </is>
      </c>
      <c r="F1865" t="inlineStr">
        <is>
          <t>大阪府</t>
        </is>
      </c>
      <c r="G1865" t="inlineStr">
        <is>
          <t>導入支援</t>
        </is>
      </c>
      <c r="H1865" t="inlineStr">
        <is>
          <t>データ移行支援</t>
        </is>
      </c>
      <c r="I1865" s="4" t="n">
        <v>5</v>
      </c>
      <c r="J1865" s="4" t="n">
        <v>158900</v>
      </c>
      <c r="K1865" s="4">
        <f>I1865*J1865</f>
        <v/>
      </c>
      <c r="L1865" t="inlineStr">
        <is>
          <t>分納</t>
        </is>
      </c>
    </row>
    <row r="1866">
      <c r="A1866" t="inlineStr">
        <is>
          <t>SR078</t>
        </is>
      </c>
      <c r="B1866" t="inlineStr">
        <is>
          <t>営業担当078</t>
        </is>
      </c>
      <c r="C1866" t="inlineStr">
        <is>
          <t>第3営業部</t>
        </is>
      </c>
      <c r="D1866" s="3" t="n">
        <v>45944</v>
      </c>
      <c r="E1866" t="inlineStr">
        <is>
          <t>青葉商事株式会社</t>
        </is>
      </c>
      <c r="F1866" t="inlineStr">
        <is>
          <t>北海道</t>
        </is>
      </c>
      <c r="G1866" t="inlineStr">
        <is>
          <t>導入支援</t>
        </is>
      </c>
      <c r="H1866" t="inlineStr">
        <is>
          <t>操作研修パック</t>
        </is>
      </c>
      <c r="I1866" s="4" t="n">
        <v>2</v>
      </c>
      <c r="J1866" s="4" t="n">
        <v>111800</v>
      </c>
      <c r="K1866" s="4">
        <f>I1866*J1866</f>
        <v/>
      </c>
      <c r="L1866" t="inlineStr">
        <is>
          <t>新規開拓</t>
        </is>
      </c>
    </row>
    <row r="1867">
      <c r="A1867" t="inlineStr">
        <is>
          <t>SR078</t>
        </is>
      </c>
      <c r="B1867" t="inlineStr">
        <is>
          <t>営業担当078</t>
        </is>
      </c>
      <c r="C1867" t="inlineStr">
        <is>
          <t>第3営業部</t>
        </is>
      </c>
      <c r="D1867" s="3" t="n">
        <v>45962</v>
      </c>
      <c r="E1867" t="inlineStr">
        <is>
          <t>アーク電機有限会社</t>
        </is>
      </c>
      <c r="F1867" t="inlineStr">
        <is>
          <t>福岡県</t>
        </is>
      </c>
      <c r="G1867" t="inlineStr">
        <is>
          <t>ハードウェア</t>
        </is>
      </c>
      <c r="H1867" t="inlineStr">
        <is>
          <t>小型ハンディ端末</t>
        </is>
      </c>
      <c r="I1867" s="4" t="n">
        <v>2</v>
      </c>
      <c r="J1867" s="4" t="n">
        <v>54700</v>
      </c>
      <c r="K1867" s="4">
        <f>I1867*J1867</f>
        <v/>
      </c>
      <c r="L1867" t="inlineStr"/>
    </row>
    <row r="1868">
      <c r="A1868" t="inlineStr">
        <is>
          <t>SR078</t>
        </is>
      </c>
      <c r="B1868" t="inlineStr">
        <is>
          <t>営業担当078</t>
        </is>
      </c>
      <c r="C1868" t="inlineStr">
        <is>
          <t>第3営業部</t>
        </is>
      </c>
      <c r="D1868" s="3" t="n">
        <v>45988</v>
      </c>
      <c r="E1868" t="inlineStr">
        <is>
          <t>東洋フーズ有限会社</t>
        </is>
      </c>
      <c r="F1868" t="inlineStr">
        <is>
          <t>広島県</t>
        </is>
      </c>
      <c r="G1868" t="inlineStr">
        <is>
          <t>消耗品</t>
        </is>
      </c>
      <c r="H1868" t="inlineStr">
        <is>
          <t>交換用ヘッド</t>
        </is>
      </c>
      <c r="I1868" s="4" t="n">
        <v>3</v>
      </c>
      <c r="J1868" s="4" t="n">
        <v>31210</v>
      </c>
      <c r="K1868" s="4">
        <f>I1868*J1868</f>
        <v/>
      </c>
      <c r="L1868" t="inlineStr">
        <is>
          <t>リピート受注</t>
        </is>
      </c>
    </row>
    <row r="1869">
      <c r="A1869" t="inlineStr">
        <is>
          <t>SR078</t>
        </is>
      </c>
      <c r="B1869" t="inlineStr">
        <is>
          <t>営業担当078</t>
        </is>
      </c>
      <c r="C1869" t="inlineStr">
        <is>
          <t>第3営業部</t>
        </is>
      </c>
      <c r="D1869" s="3" t="n">
        <v>46004</v>
      </c>
      <c r="E1869" t="inlineStr">
        <is>
          <t>ネクストソリューション株式会社</t>
        </is>
      </c>
      <c r="F1869" t="inlineStr">
        <is>
          <t>神奈川県</t>
        </is>
      </c>
      <c r="G1869" t="inlineStr">
        <is>
          <t>保守サービス</t>
        </is>
      </c>
      <c r="H1869" t="inlineStr">
        <is>
          <t>年間保守契約</t>
        </is>
      </c>
      <c r="I1869" s="4" t="n">
        <v>1</v>
      </c>
      <c r="J1869" s="4" t="n">
        <v>263700</v>
      </c>
      <c r="K1869" s="4">
        <f>I1869*J1869</f>
        <v/>
      </c>
      <c r="L1869" t="inlineStr">
        <is>
          <t>キャンペーン適用</t>
        </is>
      </c>
    </row>
    <row r="1870">
      <c r="A1870" t="inlineStr">
        <is>
          <t>SR078</t>
        </is>
      </c>
      <c r="B1870" t="inlineStr">
        <is>
          <t>営業担当078</t>
        </is>
      </c>
      <c r="C1870" t="inlineStr">
        <is>
          <t>第3営業部</t>
        </is>
      </c>
      <c r="D1870" s="3" t="n">
        <v>46015</v>
      </c>
      <c r="E1870" t="inlineStr">
        <is>
          <t>星和商会株式会社</t>
        </is>
      </c>
      <c r="F1870" t="inlineStr">
        <is>
          <t>広島県</t>
        </is>
      </c>
      <c r="G1870" t="inlineStr">
        <is>
          <t>ハードウェア</t>
        </is>
      </c>
      <c r="H1870" t="inlineStr">
        <is>
          <t>産業用タブレット</t>
        </is>
      </c>
      <c r="I1870" s="4" t="n">
        <v>1</v>
      </c>
      <c r="J1870" s="4" t="n">
        <v>86000</v>
      </c>
      <c r="K1870" s="4">
        <f>I1870*J1870</f>
        <v/>
      </c>
      <c r="L1870" t="inlineStr">
        <is>
          <t>大型案件</t>
        </is>
      </c>
    </row>
    <row r="1871">
      <c r="A1871" t="inlineStr">
        <is>
          <t>SR078</t>
        </is>
      </c>
      <c r="B1871" t="inlineStr">
        <is>
          <t>営業担当078</t>
        </is>
      </c>
      <c r="C1871" t="inlineStr">
        <is>
          <t>第3営業部</t>
        </is>
      </c>
      <c r="D1871" s="3" t="n">
        <v>46028</v>
      </c>
      <c r="E1871" t="inlineStr">
        <is>
          <t>サンライズ建設有限会社</t>
        </is>
      </c>
      <c r="F1871" t="inlineStr">
        <is>
          <t>神奈川県</t>
        </is>
      </c>
      <c r="G1871" t="inlineStr">
        <is>
          <t>ハードウェア</t>
        </is>
      </c>
      <c r="H1871" t="inlineStr">
        <is>
          <t>小型ハンディ端末</t>
        </is>
      </c>
      <c r="I1871" s="4" t="n">
        <v>4</v>
      </c>
      <c r="J1871" s="4" t="n">
        <v>96100</v>
      </c>
      <c r="K1871" s="4">
        <f>I1871*J1871</f>
        <v/>
      </c>
      <c r="L1871" t="inlineStr">
        <is>
          <t>キャンペーン適用</t>
        </is>
      </c>
    </row>
    <row r="1872">
      <c r="A1872" t="inlineStr">
        <is>
          <t>SR078</t>
        </is>
      </c>
      <c r="B1872" t="inlineStr">
        <is>
          <t>営業担当078</t>
        </is>
      </c>
      <c r="C1872" t="inlineStr">
        <is>
          <t>第3営業部</t>
        </is>
      </c>
      <c r="D1872" s="3" t="n">
        <v>46031</v>
      </c>
      <c r="E1872" t="inlineStr">
        <is>
          <t>グリーンテック有限会社</t>
        </is>
      </c>
      <c r="F1872" t="inlineStr">
        <is>
          <t>兵庫県</t>
        </is>
      </c>
      <c r="G1872" t="inlineStr">
        <is>
          <t>ハードウェア</t>
        </is>
      </c>
      <c r="H1872" t="inlineStr">
        <is>
          <t>産業用タブレット</t>
        </is>
      </c>
      <c r="I1872" s="4" t="n">
        <v>1</v>
      </c>
      <c r="J1872" s="4" t="n">
        <v>87200</v>
      </c>
      <c r="K1872" s="4">
        <f>I1872*J1872</f>
        <v/>
      </c>
      <c r="L1872" t="inlineStr"/>
    </row>
    <row r="1873">
      <c r="A1873" t="inlineStr">
        <is>
          <t>SR078</t>
        </is>
      </c>
      <c r="B1873" t="inlineStr">
        <is>
          <t>営業担当078</t>
        </is>
      </c>
      <c r="C1873" t="inlineStr">
        <is>
          <t>第3営業部</t>
        </is>
      </c>
      <c r="D1873" s="3" t="n">
        <v>46067</v>
      </c>
      <c r="E1873" t="inlineStr">
        <is>
          <t>西日本機工(株)</t>
        </is>
      </c>
      <c r="F1873" t="inlineStr">
        <is>
          <t>東京都</t>
        </is>
      </c>
      <c r="G1873" t="inlineStr">
        <is>
          <t>保守サービス</t>
        </is>
      </c>
      <c r="H1873" t="inlineStr">
        <is>
          <t>年間保守契約</t>
        </is>
      </c>
      <c r="I1873" s="4" t="n">
        <v>1</v>
      </c>
      <c r="J1873" s="4" t="n">
        <v>192400</v>
      </c>
      <c r="K1873" s="4">
        <f>I1873*J1873</f>
        <v/>
      </c>
      <c r="L1873" t="inlineStr">
        <is>
          <t>分納</t>
        </is>
      </c>
    </row>
    <row r="1874">
      <c r="A1874" t="inlineStr">
        <is>
          <t>SR078</t>
        </is>
      </c>
      <c r="B1874" t="inlineStr">
        <is>
          <t>営業担当078</t>
        </is>
      </c>
      <c r="C1874" t="inlineStr">
        <is>
          <t>第3営業部</t>
        </is>
      </c>
      <c r="D1874" s="3" t="n">
        <v>46081</v>
      </c>
      <c r="E1874" t="inlineStr">
        <is>
          <t>オーシャン製作所株式会社</t>
        </is>
      </c>
      <c r="F1874" t="inlineStr">
        <is>
          <t>福岡県</t>
        </is>
      </c>
      <c r="G1874" t="inlineStr">
        <is>
          <t>導入支援</t>
        </is>
      </c>
      <c r="H1874" t="inlineStr">
        <is>
          <t>操作研修パック</t>
        </is>
      </c>
      <c r="I1874" s="4" t="n">
        <v>5</v>
      </c>
      <c r="J1874" s="4" t="n">
        <v>90700</v>
      </c>
      <c r="K1874" s="4">
        <f>I1874*J1874</f>
        <v/>
      </c>
      <c r="L1874" t="inlineStr">
        <is>
          <t>キャンペーン適用</t>
        </is>
      </c>
    </row>
    <row r="1875">
      <c r="A1875" t="inlineStr">
        <is>
          <t>SR078</t>
        </is>
      </c>
      <c r="B1875" t="inlineStr">
        <is>
          <t>営業担当078</t>
        </is>
      </c>
      <c r="C1875" t="inlineStr">
        <is>
          <t>第3営業部</t>
        </is>
      </c>
      <c r="D1875" s="3" t="n">
        <v>46098</v>
      </c>
      <c r="E1875" t="inlineStr">
        <is>
          <t>サンライズ建設株式会社</t>
        </is>
      </c>
      <c r="F1875" t="inlineStr">
        <is>
          <t>宮城県</t>
        </is>
      </c>
      <c r="G1875" t="inlineStr">
        <is>
          <t>保守サービス</t>
        </is>
      </c>
      <c r="H1875" t="inlineStr">
        <is>
          <t>オンサイト保守</t>
        </is>
      </c>
      <c r="I1875" s="4" t="n">
        <v>2</v>
      </c>
      <c r="J1875" s="4" t="n">
        <v>148600</v>
      </c>
      <c r="K1875" s="4">
        <f>I1875*J1875</f>
        <v/>
      </c>
      <c r="L1875" t="inlineStr"/>
    </row>
    <row r="1876">
      <c r="A1876" t="inlineStr">
        <is>
          <t>SR078</t>
        </is>
      </c>
      <c r="B1876" t="inlineStr">
        <is>
          <t>営業担当078</t>
        </is>
      </c>
      <c r="C1876" t="inlineStr">
        <is>
          <t>第3営業部</t>
        </is>
      </c>
      <c r="D1876" s="3" t="n">
        <v>46101</v>
      </c>
      <c r="E1876" t="inlineStr">
        <is>
          <t>サンライズ建設株式会社</t>
        </is>
      </c>
      <c r="F1876" t="inlineStr">
        <is>
          <t>愛知県</t>
        </is>
      </c>
      <c r="G1876" t="inlineStr">
        <is>
          <t>消耗品</t>
        </is>
      </c>
      <c r="H1876" t="inlineStr">
        <is>
          <t>保守用バッテリー</t>
        </is>
      </c>
      <c r="I1876" s="4" t="n">
        <v>13</v>
      </c>
      <c r="J1876" s="4" t="n">
        <v>10230</v>
      </c>
      <c r="K1876" s="4">
        <f>I1876*J1876</f>
        <v/>
      </c>
      <c r="L1876" t="inlineStr">
        <is>
          <t>キャンペーン適用</t>
        </is>
      </c>
    </row>
    <row r="1877">
      <c r="A1877" t="inlineStr">
        <is>
          <t>SR079</t>
        </is>
      </c>
      <c r="B1877" t="inlineStr">
        <is>
          <t>営業担当079</t>
        </is>
      </c>
      <c r="C1877" t="inlineStr">
        <is>
          <t>パートナー営業部</t>
        </is>
      </c>
      <c r="D1877" s="3" t="n">
        <v>45748</v>
      </c>
      <c r="E1877" t="inlineStr">
        <is>
          <t>青葉商事有限会社</t>
        </is>
      </c>
      <c r="F1877" t="inlineStr">
        <is>
          <t>宮城県</t>
        </is>
      </c>
      <c r="G1877" t="inlineStr">
        <is>
          <t>ソフトウェア</t>
        </is>
      </c>
      <c r="H1877" t="inlineStr">
        <is>
          <t>帳票自動化ツール</t>
        </is>
      </c>
      <c r="I1877" s="4" t="n">
        <v>4</v>
      </c>
      <c r="J1877" s="4" t="n">
        <v>210400</v>
      </c>
      <c r="K1877" s="4">
        <f>I1877*J1877</f>
        <v/>
      </c>
      <c r="L1877" t="inlineStr">
        <is>
          <t>分納</t>
        </is>
      </c>
    </row>
    <row r="1878">
      <c r="A1878" t="inlineStr">
        <is>
          <t>SR079</t>
        </is>
      </c>
      <c r="B1878" t="inlineStr">
        <is>
          <t>営業担当079</t>
        </is>
      </c>
      <c r="C1878" t="inlineStr">
        <is>
          <t>パートナー営業部</t>
        </is>
      </c>
      <c r="D1878" s="3" t="n">
        <v>45763</v>
      </c>
      <c r="E1878" t="inlineStr">
        <is>
          <t>青葉商事(株)</t>
        </is>
      </c>
      <c r="F1878" t="inlineStr">
        <is>
          <t>福岡県</t>
        </is>
      </c>
      <c r="G1878" t="inlineStr">
        <is>
          <t>保守サービス</t>
        </is>
      </c>
      <c r="H1878" t="inlineStr">
        <is>
          <t>ヘルプデスク契約</t>
        </is>
      </c>
      <c r="I1878" s="4" t="n">
        <v>3</v>
      </c>
      <c r="J1878" s="4" t="n">
        <v>106000</v>
      </c>
      <c r="K1878" s="4">
        <f>I1878*J1878</f>
        <v/>
      </c>
      <c r="L1878" t="inlineStr">
        <is>
          <t>キャンペーン適用</t>
        </is>
      </c>
    </row>
    <row r="1879">
      <c r="A1879" t="inlineStr">
        <is>
          <t>SR079</t>
        </is>
      </c>
      <c r="B1879" t="inlineStr">
        <is>
          <t>営業担当079</t>
        </is>
      </c>
      <c r="C1879" t="inlineStr">
        <is>
          <t>パートナー営業部</t>
        </is>
      </c>
      <c r="D1879" s="3" t="n">
        <v>45797</v>
      </c>
      <c r="E1879" t="inlineStr">
        <is>
          <t>中央設備有限会社</t>
        </is>
      </c>
      <c r="F1879" t="inlineStr">
        <is>
          <t>福岡県</t>
        </is>
      </c>
      <c r="G1879" t="inlineStr">
        <is>
          <t>消耗品</t>
        </is>
      </c>
      <c r="H1879" t="inlineStr">
        <is>
          <t>保守用バッテリー</t>
        </is>
      </c>
      <c r="I1879" s="4" t="n">
        <v>6</v>
      </c>
      <c r="J1879" s="4" t="n">
        <v>13440</v>
      </c>
      <c r="K1879" s="4">
        <f>I1879*J1879</f>
        <v/>
      </c>
      <c r="L1879" t="inlineStr"/>
    </row>
    <row r="1880">
      <c r="A1880" t="inlineStr">
        <is>
          <t>SR079</t>
        </is>
      </c>
      <c r="B1880" t="inlineStr">
        <is>
          <t>営業担当079</t>
        </is>
      </c>
      <c r="C1880" t="inlineStr">
        <is>
          <t>パートナー営業部</t>
        </is>
      </c>
      <c r="D1880" s="3" t="n">
        <v>45798</v>
      </c>
      <c r="E1880" t="inlineStr">
        <is>
          <t>日新サービス有限会社</t>
        </is>
      </c>
      <c r="F1880" t="inlineStr">
        <is>
          <t>福岡県</t>
        </is>
      </c>
      <c r="G1880" t="inlineStr">
        <is>
          <t>消耗品</t>
        </is>
      </c>
      <c r="H1880" t="inlineStr">
        <is>
          <t>保守用バッテリー</t>
        </is>
      </c>
      <c r="I1880" s="4" t="n">
        <v>13</v>
      </c>
      <c r="J1880" s="4" t="n">
        <v>12230</v>
      </c>
      <c r="K1880" s="4">
        <f>I1880*J1880</f>
        <v/>
      </c>
      <c r="L1880" t="inlineStr"/>
    </row>
    <row r="1881">
      <c r="A1881" t="inlineStr">
        <is>
          <t>SR079</t>
        </is>
      </c>
      <c r="B1881" t="inlineStr">
        <is>
          <t>営業担当079</t>
        </is>
      </c>
      <c r="C1881" t="inlineStr">
        <is>
          <t>パートナー営業部</t>
        </is>
      </c>
      <c r="D1881" s="3" t="n">
        <v>45817</v>
      </c>
      <c r="E1881" t="inlineStr">
        <is>
          <t>白峰化学(株)</t>
        </is>
      </c>
      <c r="F1881" t="inlineStr">
        <is>
          <t>愛知県</t>
        </is>
      </c>
      <c r="G1881" t="inlineStr">
        <is>
          <t>消耗品</t>
        </is>
      </c>
      <c r="H1881" t="inlineStr">
        <is>
          <t>保守用バッテリー</t>
        </is>
      </c>
      <c r="I1881" s="4" t="n">
        <v>5</v>
      </c>
      <c r="J1881" s="4" t="n">
        <v>9130</v>
      </c>
      <c r="K1881" s="4">
        <f>I1881*J1881</f>
        <v/>
      </c>
      <c r="L1881" t="inlineStr"/>
    </row>
    <row r="1882">
      <c r="A1882" t="inlineStr">
        <is>
          <t>SR079</t>
        </is>
      </c>
      <c r="B1882" t="inlineStr">
        <is>
          <t>営業担当079</t>
        </is>
      </c>
      <c r="C1882" t="inlineStr">
        <is>
          <t>パートナー営業部</t>
        </is>
      </c>
      <c r="D1882" s="3" t="n">
        <v>45820</v>
      </c>
      <c r="E1882" t="inlineStr">
        <is>
          <t>星和商会(株)</t>
        </is>
      </c>
      <c r="F1882" t="inlineStr">
        <is>
          <t>大阪府</t>
        </is>
      </c>
      <c r="G1882" t="inlineStr">
        <is>
          <t>ソフトウェア</t>
        </is>
      </c>
      <c r="H1882" t="inlineStr">
        <is>
          <t>AIチャットボット</t>
        </is>
      </c>
      <c r="I1882" s="4" t="n">
        <v>3</v>
      </c>
      <c r="J1882" s="4" t="n">
        <v>591600</v>
      </c>
      <c r="K1882" s="4">
        <f>I1882*J1882</f>
        <v/>
      </c>
      <c r="L1882" t="inlineStr">
        <is>
          <t>大型案件</t>
        </is>
      </c>
    </row>
    <row r="1883">
      <c r="A1883" t="inlineStr">
        <is>
          <t>SR079</t>
        </is>
      </c>
      <c r="B1883" t="inlineStr">
        <is>
          <t>営業担当079</t>
        </is>
      </c>
      <c r="C1883" t="inlineStr">
        <is>
          <t>パートナー営業部</t>
        </is>
      </c>
      <c r="D1883" s="3" t="n">
        <v>45845</v>
      </c>
      <c r="E1883" t="inlineStr">
        <is>
          <t>オーシャン製作所有限会社</t>
        </is>
      </c>
      <c r="F1883" t="inlineStr">
        <is>
          <t>愛知県</t>
        </is>
      </c>
      <c r="G1883" t="inlineStr">
        <is>
          <t>保守サービス</t>
        </is>
      </c>
      <c r="H1883" t="inlineStr">
        <is>
          <t>ヘルプデスク契約</t>
        </is>
      </c>
      <c r="I1883" s="4" t="n">
        <v>4</v>
      </c>
      <c r="J1883" s="4" t="n">
        <v>116500</v>
      </c>
      <c r="K1883" s="4">
        <f>I1883*J1883</f>
        <v/>
      </c>
      <c r="L1883" t="inlineStr">
        <is>
          <t>リピート受注</t>
        </is>
      </c>
    </row>
    <row r="1884">
      <c r="A1884" t="inlineStr">
        <is>
          <t>SR079</t>
        </is>
      </c>
      <c r="B1884" t="inlineStr">
        <is>
          <t>営業担当079</t>
        </is>
      </c>
      <c r="C1884" t="inlineStr">
        <is>
          <t>パートナー営業部</t>
        </is>
      </c>
      <c r="D1884" s="3" t="n">
        <v>45849</v>
      </c>
      <c r="E1884" t="inlineStr">
        <is>
          <t>青葉商事株式会社</t>
        </is>
      </c>
      <c r="F1884" t="inlineStr">
        <is>
          <t>東京都</t>
        </is>
      </c>
      <c r="G1884" t="inlineStr">
        <is>
          <t>保守サービス</t>
        </is>
      </c>
      <c r="H1884" t="inlineStr">
        <is>
          <t>ヘルプデスク契約</t>
        </is>
      </c>
      <c r="I1884" s="4" t="n">
        <v>4</v>
      </c>
      <c r="J1884" s="4" t="n">
        <v>73700</v>
      </c>
      <c r="K1884" s="4">
        <f>I1884*J1884</f>
        <v/>
      </c>
      <c r="L1884" t="inlineStr"/>
    </row>
    <row r="1885">
      <c r="A1885" t="inlineStr">
        <is>
          <t>SR079</t>
        </is>
      </c>
      <c r="B1885" t="inlineStr">
        <is>
          <t>営業担当079</t>
        </is>
      </c>
      <c r="C1885" t="inlineStr">
        <is>
          <t>パートナー営業部</t>
        </is>
      </c>
      <c r="D1885" s="3" t="n">
        <v>45880</v>
      </c>
      <c r="E1885" t="inlineStr">
        <is>
          <t>日新サービス有限会社</t>
        </is>
      </c>
      <c r="F1885" t="inlineStr">
        <is>
          <t>東京都</t>
        </is>
      </c>
      <c r="G1885" t="inlineStr">
        <is>
          <t>導入支援</t>
        </is>
      </c>
      <c r="H1885" t="inlineStr">
        <is>
          <t>操作研修パック</t>
        </is>
      </c>
      <c r="I1885" s="4" t="n">
        <v>3</v>
      </c>
      <c r="J1885" s="4" t="n">
        <v>111000</v>
      </c>
      <c r="K1885" s="4">
        <f>I1885*J1885</f>
        <v/>
      </c>
      <c r="L1885" t="inlineStr"/>
    </row>
    <row r="1886">
      <c r="A1886" t="inlineStr">
        <is>
          <t>SR079</t>
        </is>
      </c>
      <c r="B1886" t="inlineStr">
        <is>
          <t>営業担当079</t>
        </is>
      </c>
      <c r="C1886" t="inlineStr">
        <is>
          <t>パートナー営業部</t>
        </is>
      </c>
      <c r="D1886" s="3" t="n">
        <v>45887</v>
      </c>
      <c r="E1886" t="inlineStr">
        <is>
          <t>オーシャン製作所有限会社</t>
        </is>
      </c>
      <c r="F1886" t="inlineStr">
        <is>
          <t>北海道</t>
        </is>
      </c>
      <c r="G1886" t="inlineStr">
        <is>
          <t>ハードウェア</t>
        </is>
      </c>
      <c r="H1886" t="inlineStr">
        <is>
          <t>小型ハンディ端末</t>
        </is>
      </c>
      <c r="I1886" s="4" t="n">
        <v>3</v>
      </c>
      <c r="J1886" s="4" t="n">
        <v>68400</v>
      </c>
      <c r="K1886" s="4">
        <f>I1886*J1886</f>
        <v/>
      </c>
      <c r="L1886" t="inlineStr">
        <is>
          <t>大型案件</t>
        </is>
      </c>
    </row>
    <row r="1887">
      <c r="A1887" t="inlineStr">
        <is>
          <t>SR079</t>
        </is>
      </c>
      <c r="B1887" t="inlineStr">
        <is>
          <t>営業担当079</t>
        </is>
      </c>
      <c r="C1887" t="inlineStr">
        <is>
          <t>パートナー営業部</t>
        </is>
      </c>
      <c r="D1887" s="3" t="n">
        <v>45911</v>
      </c>
      <c r="E1887" t="inlineStr">
        <is>
          <t>ライトホーム株式会社</t>
        </is>
      </c>
      <c r="F1887" t="inlineStr">
        <is>
          <t>神奈川県</t>
        </is>
      </c>
      <c r="G1887" t="inlineStr">
        <is>
          <t>保守サービス</t>
        </is>
      </c>
      <c r="H1887" t="inlineStr">
        <is>
          <t>ヘルプデスク契約</t>
        </is>
      </c>
      <c r="I1887" s="4" t="n">
        <v>5</v>
      </c>
      <c r="J1887" s="4" t="n">
        <v>40000</v>
      </c>
      <c r="K1887" s="4">
        <f>I1887*J1887</f>
        <v/>
      </c>
      <c r="L1887" t="inlineStr">
        <is>
          <t>値引き調整あり</t>
        </is>
      </c>
    </row>
    <row r="1888">
      <c r="A1888" t="inlineStr">
        <is>
          <t>SR079</t>
        </is>
      </c>
      <c r="B1888" t="inlineStr">
        <is>
          <t>営業担当079</t>
        </is>
      </c>
      <c r="C1888" t="inlineStr">
        <is>
          <t>パートナー営業部</t>
        </is>
      </c>
      <c r="D1888" s="3" t="n">
        <v>45927</v>
      </c>
      <c r="E1888" t="inlineStr">
        <is>
          <t>桜井メディカル(株)</t>
        </is>
      </c>
      <c r="F1888" t="inlineStr">
        <is>
          <t>兵庫県</t>
        </is>
      </c>
      <c r="G1888" t="inlineStr">
        <is>
          <t>導入支援</t>
        </is>
      </c>
      <c r="H1888" t="inlineStr">
        <is>
          <t>初期設定支援</t>
        </is>
      </c>
      <c r="I1888" s="4" t="n">
        <v>3</v>
      </c>
      <c r="J1888" s="4" t="n">
        <v>154600</v>
      </c>
      <c r="K1888" s="4">
        <f>I1888*J1888</f>
        <v/>
      </c>
      <c r="L1888" t="inlineStr"/>
    </row>
    <row r="1889">
      <c r="A1889" t="inlineStr">
        <is>
          <t>SR079</t>
        </is>
      </c>
      <c r="B1889" t="inlineStr">
        <is>
          <t>営業担当079</t>
        </is>
      </c>
      <c r="C1889" t="inlineStr">
        <is>
          <t>パートナー営業部</t>
        </is>
      </c>
      <c r="D1889" s="3" t="n">
        <v>45932</v>
      </c>
      <c r="E1889" t="inlineStr">
        <is>
          <t>グリーンテック(株)</t>
        </is>
      </c>
      <c r="F1889" t="inlineStr">
        <is>
          <t>大阪府</t>
        </is>
      </c>
      <c r="G1889" t="inlineStr">
        <is>
          <t>ソフトウェア</t>
        </is>
      </c>
      <c r="H1889" t="inlineStr">
        <is>
          <t>営業支援SaaS</t>
        </is>
      </c>
      <c r="I1889" s="4" t="n">
        <v>2</v>
      </c>
      <c r="J1889" s="4" t="n">
        <v>161800</v>
      </c>
      <c r="K1889" s="4">
        <f>I1889*J1889</f>
        <v/>
      </c>
      <c r="L1889" t="inlineStr">
        <is>
          <t>値引き調整あり</t>
        </is>
      </c>
    </row>
    <row r="1890">
      <c r="A1890" t="inlineStr">
        <is>
          <t>SR079</t>
        </is>
      </c>
      <c r="B1890" t="inlineStr">
        <is>
          <t>営業担当079</t>
        </is>
      </c>
      <c r="C1890" t="inlineStr">
        <is>
          <t>パートナー営業部</t>
        </is>
      </c>
      <c r="D1890" s="3" t="n">
        <v>45943</v>
      </c>
      <c r="E1890" t="inlineStr">
        <is>
          <t>グリーンテック有限会社</t>
        </is>
      </c>
      <c r="F1890" t="inlineStr">
        <is>
          <t>北海道</t>
        </is>
      </c>
      <c r="G1890" t="inlineStr">
        <is>
          <t>ソフトウェア</t>
        </is>
      </c>
      <c r="H1890" t="inlineStr">
        <is>
          <t>AIチャットボット</t>
        </is>
      </c>
      <c r="I1890" s="4" t="n">
        <v>4</v>
      </c>
      <c r="J1890" s="4" t="n">
        <v>743600</v>
      </c>
      <c r="K1890" s="4">
        <f>I1890*J1890</f>
        <v/>
      </c>
      <c r="L1890" t="inlineStr">
        <is>
          <t>リピート受注</t>
        </is>
      </c>
    </row>
    <row r="1891">
      <c r="A1891" t="inlineStr">
        <is>
          <t>SR079</t>
        </is>
      </c>
      <c r="B1891" t="inlineStr">
        <is>
          <t>営業担当079</t>
        </is>
      </c>
      <c r="C1891" t="inlineStr">
        <is>
          <t>パートナー営業部</t>
        </is>
      </c>
      <c r="D1891" s="3" t="n">
        <v>45964</v>
      </c>
      <c r="E1891" t="inlineStr">
        <is>
          <t>白峰化学(株)</t>
        </is>
      </c>
      <c r="F1891" t="inlineStr">
        <is>
          <t>愛知県</t>
        </is>
      </c>
      <c r="G1891" t="inlineStr">
        <is>
          <t>保守サービス</t>
        </is>
      </c>
      <c r="H1891" t="inlineStr">
        <is>
          <t>ヘルプデスク契約</t>
        </is>
      </c>
      <c r="I1891" s="4" t="n">
        <v>2</v>
      </c>
      <c r="J1891" s="4" t="n">
        <v>73200</v>
      </c>
      <c r="K1891" s="4">
        <f>I1891*J1891</f>
        <v/>
      </c>
      <c r="L1891" t="inlineStr"/>
    </row>
    <row r="1892">
      <c r="A1892" t="inlineStr">
        <is>
          <t>SR079</t>
        </is>
      </c>
      <c r="B1892" t="inlineStr">
        <is>
          <t>営業担当079</t>
        </is>
      </c>
      <c r="C1892" t="inlineStr">
        <is>
          <t>パートナー営業部</t>
        </is>
      </c>
      <c r="D1892" s="3" t="n">
        <v>45967</v>
      </c>
      <c r="E1892" t="inlineStr">
        <is>
          <t>桜井メディカル株式会社</t>
        </is>
      </c>
      <c r="F1892" t="inlineStr">
        <is>
          <t>北海道</t>
        </is>
      </c>
      <c r="G1892" t="inlineStr">
        <is>
          <t>保守サービス</t>
        </is>
      </c>
      <c r="H1892" t="inlineStr">
        <is>
          <t>オンサイト保守</t>
        </is>
      </c>
      <c r="I1892" s="4" t="n">
        <v>1</v>
      </c>
      <c r="J1892" s="4" t="n">
        <v>124500</v>
      </c>
      <c r="K1892" s="4">
        <f>I1892*J1892</f>
        <v/>
      </c>
      <c r="L1892" t="inlineStr">
        <is>
          <t>新規開拓</t>
        </is>
      </c>
    </row>
    <row r="1893">
      <c r="A1893" t="inlineStr">
        <is>
          <t>SR079</t>
        </is>
      </c>
      <c r="B1893" t="inlineStr">
        <is>
          <t>営業担当079</t>
        </is>
      </c>
      <c r="C1893" t="inlineStr">
        <is>
          <t>パートナー営業部</t>
        </is>
      </c>
      <c r="D1893" s="3" t="n">
        <v>46007</v>
      </c>
      <c r="E1893" t="inlineStr">
        <is>
          <t>桜井メディカル株式会社</t>
        </is>
      </c>
      <c r="F1893" t="inlineStr">
        <is>
          <t>東京都</t>
        </is>
      </c>
      <c r="G1893" t="inlineStr">
        <is>
          <t>保守サービス</t>
        </is>
      </c>
      <c r="H1893" t="inlineStr">
        <is>
          <t>オンサイト保守</t>
        </is>
      </c>
      <c r="I1893" s="4" t="n">
        <v>5</v>
      </c>
      <c r="J1893" s="4" t="n">
        <v>138800</v>
      </c>
      <c r="K1893" s="4">
        <f>I1893*J1893</f>
        <v/>
      </c>
      <c r="L1893" t="inlineStr">
        <is>
          <t>値引き調整あり</t>
        </is>
      </c>
    </row>
    <row r="1894">
      <c r="A1894" t="inlineStr">
        <is>
          <t>SR079</t>
        </is>
      </c>
      <c r="B1894" t="inlineStr">
        <is>
          <t>営業担当079</t>
        </is>
      </c>
      <c r="C1894" t="inlineStr">
        <is>
          <t>パートナー営業部</t>
        </is>
      </c>
      <c r="D1894" s="3" t="n">
        <v>46016</v>
      </c>
      <c r="E1894" t="inlineStr">
        <is>
          <t>みらい物流(株)</t>
        </is>
      </c>
      <c r="F1894" t="inlineStr">
        <is>
          <t>宮城県</t>
        </is>
      </c>
      <c r="G1894" t="inlineStr">
        <is>
          <t>消耗品</t>
        </is>
      </c>
      <c r="H1894" t="inlineStr">
        <is>
          <t>ラベルロール</t>
        </is>
      </c>
      <c r="I1894" s="4" t="n">
        <v>9</v>
      </c>
      <c r="J1894" s="4" t="n">
        <v>10720</v>
      </c>
      <c r="K1894" s="4">
        <f>I1894*J1894</f>
        <v/>
      </c>
      <c r="L1894" t="inlineStr">
        <is>
          <t>キャンペーン適用</t>
        </is>
      </c>
    </row>
    <row r="1895">
      <c r="A1895" t="inlineStr">
        <is>
          <t>SR079</t>
        </is>
      </c>
      <c r="B1895" t="inlineStr">
        <is>
          <t>営業担当079</t>
        </is>
      </c>
      <c r="C1895" t="inlineStr">
        <is>
          <t>パートナー営業部</t>
        </is>
      </c>
      <c r="D1895" s="3" t="n">
        <v>46027</v>
      </c>
      <c r="E1895" t="inlineStr">
        <is>
          <t>未来通信(株)</t>
        </is>
      </c>
      <c r="F1895" t="inlineStr">
        <is>
          <t>広島県</t>
        </is>
      </c>
      <c r="G1895" t="inlineStr">
        <is>
          <t>保守サービス</t>
        </is>
      </c>
      <c r="H1895" t="inlineStr">
        <is>
          <t>ヘルプデスク契約</t>
        </is>
      </c>
      <c r="I1895" s="4" t="n">
        <v>5</v>
      </c>
      <c r="J1895" s="4" t="n">
        <v>56400</v>
      </c>
      <c r="K1895" s="4">
        <f>I1895*J1895</f>
        <v/>
      </c>
      <c r="L1895" t="inlineStr">
        <is>
          <t>大型案件</t>
        </is>
      </c>
    </row>
    <row r="1896">
      <c r="A1896" t="inlineStr">
        <is>
          <t>SR079</t>
        </is>
      </c>
      <c r="B1896" t="inlineStr">
        <is>
          <t>営業担当079</t>
        </is>
      </c>
      <c r="C1896" t="inlineStr">
        <is>
          <t>パートナー営業部</t>
        </is>
      </c>
      <c r="D1896" s="3" t="n">
        <v>46045</v>
      </c>
      <c r="E1896" t="inlineStr">
        <is>
          <t>グリーンテック有限会社</t>
        </is>
      </c>
      <c r="F1896" t="inlineStr">
        <is>
          <t>大阪府</t>
        </is>
      </c>
      <c r="G1896" t="inlineStr">
        <is>
          <t>ハードウェア</t>
        </is>
      </c>
      <c r="H1896" t="inlineStr">
        <is>
          <t>ネットワークカメラ</t>
        </is>
      </c>
      <c r="I1896" s="4" t="n">
        <v>2</v>
      </c>
      <c r="J1896" s="4" t="n">
        <v>35800</v>
      </c>
      <c r="K1896" s="4">
        <f>I1896*J1896</f>
        <v/>
      </c>
      <c r="L1896" t="inlineStr">
        <is>
          <t>リピート受注</t>
        </is>
      </c>
    </row>
    <row r="1897">
      <c r="A1897" t="inlineStr">
        <is>
          <t>SR079</t>
        </is>
      </c>
      <c r="B1897" t="inlineStr">
        <is>
          <t>営業担当079</t>
        </is>
      </c>
      <c r="C1897" t="inlineStr">
        <is>
          <t>パートナー営業部</t>
        </is>
      </c>
      <c r="D1897" s="3" t="n">
        <v>46061</v>
      </c>
      <c r="E1897" t="inlineStr">
        <is>
          <t>桜井メディカル株式会社</t>
        </is>
      </c>
      <c r="F1897" t="inlineStr">
        <is>
          <t>京都府</t>
        </is>
      </c>
      <c r="G1897" t="inlineStr">
        <is>
          <t>ソフトウェア</t>
        </is>
      </c>
      <c r="H1897" t="inlineStr">
        <is>
          <t>在庫管理クラウド</t>
        </is>
      </c>
      <c r="I1897" s="4" t="n">
        <v>2</v>
      </c>
      <c r="J1897" s="4" t="n">
        <v>376000</v>
      </c>
      <c r="K1897" s="4">
        <f>I1897*J1897</f>
        <v/>
      </c>
      <c r="L1897" t="inlineStr"/>
    </row>
    <row r="1898">
      <c r="A1898" t="inlineStr">
        <is>
          <t>SR079</t>
        </is>
      </c>
      <c r="B1898" t="inlineStr">
        <is>
          <t>営業担当079</t>
        </is>
      </c>
      <c r="C1898" t="inlineStr">
        <is>
          <t>パートナー営業部</t>
        </is>
      </c>
      <c r="D1898" s="3" t="n">
        <v>46073</v>
      </c>
      <c r="E1898" t="inlineStr">
        <is>
          <t>ライトホーム株式会社</t>
        </is>
      </c>
      <c r="F1898" t="inlineStr">
        <is>
          <t>神奈川県</t>
        </is>
      </c>
      <c r="G1898" t="inlineStr">
        <is>
          <t>ソフトウェア</t>
        </is>
      </c>
      <c r="H1898" t="inlineStr">
        <is>
          <t>営業支援SaaS</t>
        </is>
      </c>
      <c r="I1898" s="4" t="n">
        <v>5</v>
      </c>
      <c r="J1898" s="4" t="n">
        <v>326400</v>
      </c>
      <c r="K1898" s="4">
        <f>I1898*J1898</f>
        <v/>
      </c>
      <c r="L1898" t="inlineStr">
        <is>
          <t>リピート受注</t>
        </is>
      </c>
    </row>
    <row r="1899">
      <c r="A1899" t="inlineStr">
        <is>
          <t>SR079</t>
        </is>
      </c>
      <c r="B1899" t="inlineStr">
        <is>
          <t>営業担当079</t>
        </is>
      </c>
      <c r="C1899" t="inlineStr">
        <is>
          <t>パートナー営業部</t>
        </is>
      </c>
      <c r="D1899" s="3" t="n">
        <v>46083</v>
      </c>
      <c r="E1899" t="inlineStr">
        <is>
          <t>桜井メディカル株式会社</t>
        </is>
      </c>
      <c r="F1899" t="inlineStr">
        <is>
          <t>福岡県</t>
        </is>
      </c>
      <c r="G1899" t="inlineStr">
        <is>
          <t>ハードウェア</t>
        </is>
      </c>
      <c r="H1899" t="inlineStr">
        <is>
          <t>ラベルプリンター</t>
        </is>
      </c>
      <c r="I1899" s="4" t="n">
        <v>3</v>
      </c>
      <c r="J1899" s="4" t="n">
        <v>57800</v>
      </c>
      <c r="K1899" s="4">
        <f>I1899*J1899</f>
        <v/>
      </c>
      <c r="L1899" t="inlineStr">
        <is>
          <t>キャンペーン適用</t>
        </is>
      </c>
    </row>
    <row r="1900">
      <c r="A1900" t="inlineStr">
        <is>
          <t>SR079</t>
        </is>
      </c>
      <c r="B1900" t="inlineStr">
        <is>
          <t>営業担当079</t>
        </is>
      </c>
      <c r="C1900" t="inlineStr">
        <is>
          <t>パートナー営業部</t>
        </is>
      </c>
      <c r="D1900" s="3" t="n">
        <v>46089</v>
      </c>
      <c r="E1900" t="inlineStr">
        <is>
          <t>日新サービス(株)</t>
        </is>
      </c>
      <c r="F1900" t="inlineStr">
        <is>
          <t>東京都</t>
        </is>
      </c>
      <c r="G1900" t="inlineStr">
        <is>
          <t>保守サービス</t>
        </is>
      </c>
      <c r="H1900" t="inlineStr">
        <is>
          <t>オンサイト保守</t>
        </is>
      </c>
      <c r="I1900" s="4" t="n">
        <v>2</v>
      </c>
      <c r="J1900" s="4" t="n">
        <v>69500</v>
      </c>
      <c r="K1900" s="4">
        <f>I1900*J1900</f>
        <v/>
      </c>
      <c r="L1900" t="inlineStr">
        <is>
          <t>リピート受注</t>
        </is>
      </c>
    </row>
    <row r="1901">
      <c r="A1901" t="inlineStr">
        <is>
          <t>SR080</t>
        </is>
      </c>
      <c r="B1901" t="inlineStr">
        <is>
          <t>営業担当080</t>
        </is>
      </c>
      <c r="C1901" t="inlineStr">
        <is>
          <t>インサイドセールス部</t>
        </is>
      </c>
      <c r="D1901" s="3" t="n">
        <v>45748</v>
      </c>
      <c r="E1901" t="inlineStr">
        <is>
          <t>大和精機(株)</t>
        </is>
      </c>
      <c r="F1901" t="inlineStr">
        <is>
          <t>広島県</t>
        </is>
      </c>
      <c r="G1901" t="inlineStr">
        <is>
          <t>ソフトウェア</t>
        </is>
      </c>
      <c r="H1901" t="inlineStr">
        <is>
          <t>AIチャットボット</t>
        </is>
      </c>
      <c r="I1901" s="4" t="n">
        <v>5</v>
      </c>
      <c r="J1901" s="4" t="n">
        <v>305600</v>
      </c>
      <c r="K1901" s="4">
        <f>I1901*J1901</f>
        <v/>
      </c>
      <c r="L1901" t="inlineStr"/>
    </row>
    <row r="1902">
      <c r="A1902" t="inlineStr">
        <is>
          <t>SR080</t>
        </is>
      </c>
      <c r="B1902" t="inlineStr">
        <is>
          <t>営業担当080</t>
        </is>
      </c>
      <c r="C1902" t="inlineStr">
        <is>
          <t>インサイドセールス部</t>
        </is>
      </c>
      <c r="D1902" s="3" t="n">
        <v>45757</v>
      </c>
      <c r="E1902" t="inlineStr">
        <is>
          <t>白峰化学(株)</t>
        </is>
      </c>
      <c r="F1902" t="inlineStr">
        <is>
          <t>兵庫県</t>
        </is>
      </c>
      <c r="G1902" t="inlineStr">
        <is>
          <t>ハードウェア</t>
        </is>
      </c>
      <c r="H1902" t="inlineStr">
        <is>
          <t>産業用タブレット</t>
        </is>
      </c>
      <c r="I1902" s="4" t="n">
        <v>1</v>
      </c>
      <c r="J1902" s="4" t="n">
        <v>105600</v>
      </c>
      <c r="K1902" s="4">
        <f>I1902*J1902</f>
        <v/>
      </c>
      <c r="L1902" t="inlineStr">
        <is>
          <t>大型案件</t>
        </is>
      </c>
    </row>
    <row r="1903">
      <c r="A1903" t="inlineStr">
        <is>
          <t>SR080</t>
        </is>
      </c>
      <c r="B1903" t="inlineStr">
        <is>
          <t>営業担当080</t>
        </is>
      </c>
      <c r="C1903" t="inlineStr">
        <is>
          <t>インサイドセールス部</t>
        </is>
      </c>
      <c r="D1903" s="3" t="n">
        <v>45784</v>
      </c>
      <c r="E1903" t="inlineStr">
        <is>
          <t>星和商会株式会社</t>
        </is>
      </c>
      <c r="F1903" t="inlineStr">
        <is>
          <t>愛知県</t>
        </is>
      </c>
      <c r="G1903" t="inlineStr">
        <is>
          <t>ハードウェア</t>
        </is>
      </c>
      <c r="H1903" t="inlineStr">
        <is>
          <t>ネットワークカメラ</t>
        </is>
      </c>
      <c r="I1903" s="4" t="n">
        <v>1</v>
      </c>
      <c r="J1903" s="4" t="n">
        <v>59700</v>
      </c>
      <c r="K1903" s="4">
        <f>I1903*J1903</f>
        <v/>
      </c>
      <c r="L1903" t="inlineStr"/>
    </row>
    <row r="1904">
      <c r="A1904" t="inlineStr">
        <is>
          <t>SR080</t>
        </is>
      </c>
      <c r="B1904" t="inlineStr">
        <is>
          <t>営業担当080</t>
        </is>
      </c>
      <c r="C1904" t="inlineStr">
        <is>
          <t>インサイドセールス部</t>
        </is>
      </c>
      <c r="D1904" s="3" t="n">
        <v>45798</v>
      </c>
      <c r="E1904" t="inlineStr">
        <is>
          <t>東洋フーズ(株)</t>
        </is>
      </c>
      <c r="F1904" t="inlineStr">
        <is>
          <t>北海道</t>
        </is>
      </c>
      <c r="G1904" t="inlineStr">
        <is>
          <t>ソフトウェア</t>
        </is>
      </c>
      <c r="H1904" t="inlineStr">
        <is>
          <t>帳票自動化ツール</t>
        </is>
      </c>
      <c r="I1904" s="4" t="n">
        <v>4</v>
      </c>
      <c r="J1904" s="4" t="n">
        <v>417700</v>
      </c>
      <c r="K1904" s="4">
        <f>I1904*J1904</f>
        <v/>
      </c>
      <c r="L1904" t="inlineStr"/>
    </row>
    <row r="1905">
      <c r="A1905" t="inlineStr">
        <is>
          <t>SR080</t>
        </is>
      </c>
      <c r="B1905" t="inlineStr">
        <is>
          <t>営業担当080</t>
        </is>
      </c>
      <c r="C1905" t="inlineStr">
        <is>
          <t>インサイドセールス部</t>
        </is>
      </c>
      <c r="D1905" s="3" t="n">
        <v>45818</v>
      </c>
      <c r="E1905" t="inlineStr">
        <is>
          <t>北斗産業株式会社</t>
        </is>
      </c>
      <c r="F1905" t="inlineStr">
        <is>
          <t>神奈川県</t>
        </is>
      </c>
      <c r="G1905" t="inlineStr">
        <is>
          <t>ハードウェア</t>
        </is>
      </c>
      <c r="H1905" t="inlineStr">
        <is>
          <t>ラベルプリンター</t>
        </is>
      </c>
      <c r="I1905" s="4" t="n">
        <v>4</v>
      </c>
      <c r="J1905" s="4" t="n">
        <v>85600</v>
      </c>
      <c r="K1905" s="4">
        <f>I1905*J1905</f>
        <v/>
      </c>
      <c r="L1905" t="inlineStr">
        <is>
          <t>大型案件</t>
        </is>
      </c>
    </row>
    <row r="1906">
      <c r="A1906" t="inlineStr">
        <is>
          <t>SR080</t>
        </is>
      </c>
      <c r="B1906" t="inlineStr">
        <is>
          <t>営業担当080</t>
        </is>
      </c>
      <c r="C1906" t="inlineStr">
        <is>
          <t>インサイドセールス部</t>
        </is>
      </c>
      <c r="D1906" s="3" t="n">
        <v>45827</v>
      </c>
      <c r="E1906" t="inlineStr">
        <is>
          <t>福岡流通有限会社</t>
        </is>
      </c>
      <c r="F1906" t="inlineStr">
        <is>
          <t>福岡県</t>
        </is>
      </c>
      <c r="G1906" t="inlineStr">
        <is>
          <t>導入支援</t>
        </is>
      </c>
      <c r="H1906" t="inlineStr">
        <is>
          <t>初期設定支援</t>
        </is>
      </c>
      <c r="I1906" s="4" t="n">
        <v>2</v>
      </c>
      <c r="J1906" s="4" t="n">
        <v>159800</v>
      </c>
      <c r="K1906" s="4">
        <f>I1906*J1906</f>
        <v/>
      </c>
      <c r="L1906" t="inlineStr"/>
    </row>
    <row r="1907">
      <c r="A1907" t="inlineStr">
        <is>
          <t>SR080</t>
        </is>
      </c>
      <c r="B1907" t="inlineStr">
        <is>
          <t>営業担当080</t>
        </is>
      </c>
      <c r="C1907" t="inlineStr">
        <is>
          <t>インサイドセールス部</t>
        </is>
      </c>
      <c r="D1907" s="3" t="n">
        <v>45842</v>
      </c>
      <c r="E1907" t="inlineStr">
        <is>
          <t>青葉商事(株)</t>
        </is>
      </c>
      <c r="F1907" t="inlineStr">
        <is>
          <t>福岡県</t>
        </is>
      </c>
      <c r="G1907" t="inlineStr">
        <is>
          <t>ソフトウェア</t>
        </is>
      </c>
      <c r="H1907" t="inlineStr">
        <is>
          <t>在庫管理クラウド</t>
        </is>
      </c>
      <c r="I1907" s="4" t="n">
        <v>1</v>
      </c>
      <c r="J1907" s="4" t="n">
        <v>476800</v>
      </c>
      <c r="K1907" s="4">
        <f>I1907*J1907</f>
        <v/>
      </c>
      <c r="L1907" t="inlineStr">
        <is>
          <t>大型案件</t>
        </is>
      </c>
    </row>
    <row r="1908">
      <c r="A1908" t="inlineStr">
        <is>
          <t>SR080</t>
        </is>
      </c>
      <c r="B1908" t="inlineStr">
        <is>
          <t>営業担当080</t>
        </is>
      </c>
      <c r="C1908" t="inlineStr">
        <is>
          <t>インサイドセールス部</t>
        </is>
      </c>
      <c r="D1908" s="3" t="n">
        <v>45859</v>
      </c>
      <c r="E1908" t="inlineStr">
        <is>
          <t>ライトホーム(株)</t>
        </is>
      </c>
      <c r="F1908" t="inlineStr">
        <is>
          <t>神奈川県</t>
        </is>
      </c>
      <c r="G1908" t="inlineStr">
        <is>
          <t>消耗品</t>
        </is>
      </c>
      <c r="H1908" t="inlineStr">
        <is>
          <t>保守用バッテリー</t>
        </is>
      </c>
      <c r="I1908" s="4" t="n">
        <v>9</v>
      </c>
      <c r="J1908" s="4" t="n">
        <v>13750</v>
      </c>
      <c r="K1908" s="4">
        <f>I1908*J1908</f>
        <v/>
      </c>
      <c r="L1908" t="inlineStr"/>
    </row>
    <row r="1909">
      <c r="A1909" t="inlineStr">
        <is>
          <t>SR080</t>
        </is>
      </c>
      <c r="B1909" t="inlineStr">
        <is>
          <t>営業担当080</t>
        </is>
      </c>
      <c r="C1909" t="inlineStr">
        <is>
          <t>インサイドセールス部</t>
        </is>
      </c>
      <c r="D1909" s="3" t="n">
        <v>45884</v>
      </c>
      <c r="E1909" t="inlineStr">
        <is>
          <t>星和商会有限会社</t>
        </is>
      </c>
      <c r="F1909" t="inlineStr">
        <is>
          <t>京都府</t>
        </is>
      </c>
      <c r="G1909" t="inlineStr">
        <is>
          <t>保守サービス</t>
        </is>
      </c>
      <c r="H1909" t="inlineStr">
        <is>
          <t>オンサイト保守</t>
        </is>
      </c>
      <c r="I1909" s="4" t="n">
        <v>1</v>
      </c>
      <c r="J1909" s="4" t="n">
        <v>155300</v>
      </c>
      <c r="K1909" s="4">
        <f>I1909*J1909</f>
        <v/>
      </c>
      <c r="L1909" t="inlineStr">
        <is>
          <t>分納</t>
        </is>
      </c>
    </row>
    <row r="1910">
      <c r="A1910" t="inlineStr">
        <is>
          <t>SR080</t>
        </is>
      </c>
      <c r="B1910" t="inlineStr">
        <is>
          <t>営業担当080</t>
        </is>
      </c>
      <c r="C1910" t="inlineStr">
        <is>
          <t>インサイドセールス部</t>
        </is>
      </c>
      <c r="D1910" s="3" t="n">
        <v>45896</v>
      </c>
      <c r="E1910" t="inlineStr">
        <is>
          <t>東洋フーズ有限会社</t>
        </is>
      </c>
      <c r="F1910" t="inlineStr">
        <is>
          <t>神奈川県</t>
        </is>
      </c>
      <c r="G1910" t="inlineStr">
        <is>
          <t>保守サービス</t>
        </is>
      </c>
      <c r="H1910" t="inlineStr">
        <is>
          <t>年間保守契約</t>
        </is>
      </c>
      <c r="I1910" s="4" t="n">
        <v>3</v>
      </c>
      <c r="J1910" s="4" t="n">
        <v>166600</v>
      </c>
      <c r="K1910" s="4">
        <f>I1910*J1910</f>
        <v/>
      </c>
      <c r="L1910" t="inlineStr">
        <is>
          <t>キャンペーン適用</t>
        </is>
      </c>
    </row>
    <row r="1911">
      <c r="A1911" t="inlineStr">
        <is>
          <t>SR080</t>
        </is>
      </c>
      <c r="B1911" t="inlineStr">
        <is>
          <t>営業担当080</t>
        </is>
      </c>
      <c r="C1911" t="inlineStr">
        <is>
          <t>インサイドセールス部</t>
        </is>
      </c>
      <c r="D1911" s="3" t="n">
        <v>45903</v>
      </c>
      <c r="E1911" t="inlineStr">
        <is>
          <t>グリーンテック株式会社</t>
        </is>
      </c>
      <c r="F1911" t="inlineStr">
        <is>
          <t>大阪府</t>
        </is>
      </c>
      <c r="G1911" t="inlineStr">
        <is>
          <t>導入支援</t>
        </is>
      </c>
      <c r="H1911" t="inlineStr">
        <is>
          <t>操作研修パック</t>
        </is>
      </c>
      <c r="I1911" s="4" t="n">
        <v>4</v>
      </c>
      <c r="J1911" s="4" t="n">
        <v>36100</v>
      </c>
      <c r="K1911" s="4">
        <f>I1911*J1911</f>
        <v/>
      </c>
      <c r="L1911" t="inlineStr"/>
    </row>
    <row r="1912">
      <c r="A1912" t="inlineStr">
        <is>
          <t>SR080</t>
        </is>
      </c>
      <c r="B1912" t="inlineStr">
        <is>
          <t>営業担当080</t>
        </is>
      </c>
      <c r="C1912" t="inlineStr">
        <is>
          <t>インサイドセールス部</t>
        </is>
      </c>
      <c r="D1912" s="3" t="n">
        <v>45904</v>
      </c>
      <c r="E1912" t="inlineStr">
        <is>
          <t>サンライズ建設(株)</t>
        </is>
      </c>
      <c r="F1912" t="inlineStr">
        <is>
          <t>東京都</t>
        </is>
      </c>
      <c r="G1912" t="inlineStr">
        <is>
          <t>導入支援</t>
        </is>
      </c>
      <c r="H1912" t="inlineStr">
        <is>
          <t>操作研修パック</t>
        </is>
      </c>
      <c r="I1912" s="4" t="n">
        <v>5</v>
      </c>
      <c r="J1912" s="4" t="n">
        <v>113000</v>
      </c>
      <c r="K1912" s="4">
        <f>I1912*J1912</f>
        <v/>
      </c>
      <c r="L1912" t="inlineStr">
        <is>
          <t>大型案件</t>
        </is>
      </c>
    </row>
    <row r="1913">
      <c r="A1913" t="inlineStr">
        <is>
          <t>SR080</t>
        </is>
      </c>
      <c r="B1913" t="inlineStr">
        <is>
          <t>営業担当080</t>
        </is>
      </c>
      <c r="C1913" t="inlineStr">
        <is>
          <t>インサイドセールス部</t>
        </is>
      </c>
      <c r="D1913" s="3" t="n">
        <v>45936</v>
      </c>
      <c r="E1913" t="inlineStr">
        <is>
          <t>中央設備株式会社</t>
        </is>
      </c>
      <c r="F1913" t="inlineStr">
        <is>
          <t>宮城県</t>
        </is>
      </c>
      <c r="G1913" t="inlineStr">
        <is>
          <t>ソフトウェア</t>
        </is>
      </c>
      <c r="H1913" t="inlineStr">
        <is>
          <t>営業支援SaaS</t>
        </is>
      </c>
      <c r="I1913" s="4" t="n">
        <v>2</v>
      </c>
      <c r="J1913" s="4" t="n">
        <v>353500</v>
      </c>
      <c r="K1913" s="4">
        <f>I1913*J1913</f>
        <v/>
      </c>
      <c r="L1913" t="inlineStr">
        <is>
          <t>リピート受注</t>
        </is>
      </c>
    </row>
    <row r="1914">
      <c r="A1914" t="inlineStr">
        <is>
          <t>SR080</t>
        </is>
      </c>
      <c r="B1914" t="inlineStr">
        <is>
          <t>営業担当080</t>
        </is>
      </c>
      <c r="C1914" t="inlineStr">
        <is>
          <t>インサイドセールス部</t>
        </is>
      </c>
      <c r="D1914" s="3" t="n">
        <v>45946</v>
      </c>
      <c r="E1914" t="inlineStr">
        <is>
          <t>アーク電機(株)</t>
        </is>
      </c>
      <c r="F1914" t="inlineStr">
        <is>
          <t>宮城県</t>
        </is>
      </c>
      <c r="G1914" t="inlineStr">
        <is>
          <t>ハードウェア</t>
        </is>
      </c>
      <c r="H1914" t="inlineStr">
        <is>
          <t>産業用タブレット</t>
        </is>
      </c>
      <c r="I1914" s="4" t="n">
        <v>5</v>
      </c>
      <c r="J1914" s="4" t="n">
        <v>72500</v>
      </c>
      <c r="K1914" s="4">
        <f>I1914*J1914</f>
        <v/>
      </c>
      <c r="L1914" t="inlineStr"/>
    </row>
    <row r="1915">
      <c r="A1915" t="inlineStr">
        <is>
          <t>SR080</t>
        </is>
      </c>
      <c r="B1915" t="inlineStr">
        <is>
          <t>営業担当080</t>
        </is>
      </c>
      <c r="C1915" t="inlineStr">
        <is>
          <t>インサイドセールス部</t>
        </is>
      </c>
      <c r="D1915" s="3" t="n">
        <v>45986</v>
      </c>
      <c r="E1915" t="inlineStr">
        <is>
          <t>未来通信有限会社</t>
        </is>
      </c>
      <c r="F1915" t="inlineStr">
        <is>
          <t>神奈川県</t>
        </is>
      </c>
      <c r="G1915" t="inlineStr">
        <is>
          <t>導入支援</t>
        </is>
      </c>
      <c r="H1915" t="inlineStr">
        <is>
          <t>初期設定支援</t>
        </is>
      </c>
      <c r="I1915" s="4" t="n">
        <v>3</v>
      </c>
      <c r="J1915" s="4" t="n">
        <v>54900</v>
      </c>
      <c r="K1915" s="4">
        <f>I1915*J1915</f>
        <v/>
      </c>
      <c r="L1915" t="inlineStr">
        <is>
          <t>リピート受注</t>
        </is>
      </c>
    </row>
    <row r="1916">
      <c r="A1916" t="inlineStr">
        <is>
          <t>SR080</t>
        </is>
      </c>
      <c r="B1916" t="inlineStr">
        <is>
          <t>営業担当080</t>
        </is>
      </c>
      <c r="C1916" t="inlineStr">
        <is>
          <t>インサイドセールス部</t>
        </is>
      </c>
      <c r="D1916" s="3" t="n">
        <v>45988</v>
      </c>
      <c r="E1916" t="inlineStr">
        <is>
          <t>東洋フーズ有限会社</t>
        </is>
      </c>
      <c r="F1916" t="inlineStr">
        <is>
          <t>神奈川県</t>
        </is>
      </c>
      <c r="G1916" t="inlineStr">
        <is>
          <t>保守サービス</t>
        </is>
      </c>
      <c r="H1916" t="inlineStr">
        <is>
          <t>オンサイト保守</t>
        </is>
      </c>
      <c r="I1916" s="4" t="n">
        <v>1</v>
      </c>
      <c r="J1916" s="4" t="n">
        <v>172600</v>
      </c>
      <c r="K1916" s="4">
        <f>I1916*J1916</f>
        <v/>
      </c>
      <c r="L1916" t="inlineStr">
        <is>
          <t>大型案件</t>
        </is>
      </c>
    </row>
    <row r="1917">
      <c r="A1917" t="inlineStr">
        <is>
          <t>SR080</t>
        </is>
      </c>
      <c r="B1917" t="inlineStr">
        <is>
          <t>営業担当080</t>
        </is>
      </c>
      <c r="C1917" t="inlineStr">
        <is>
          <t>インサイドセールス部</t>
        </is>
      </c>
      <c r="D1917" s="3" t="n">
        <v>46010</v>
      </c>
      <c r="E1917" t="inlineStr">
        <is>
          <t>未来通信株式会社</t>
        </is>
      </c>
      <c r="F1917" t="inlineStr">
        <is>
          <t>京都府</t>
        </is>
      </c>
      <c r="G1917" t="inlineStr">
        <is>
          <t>ソフトウェア</t>
        </is>
      </c>
      <c r="H1917" t="inlineStr">
        <is>
          <t>帳票自動化ツール</t>
        </is>
      </c>
      <c r="I1917" s="4" t="n">
        <v>1</v>
      </c>
      <c r="J1917" s="4" t="n">
        <v>238600</v>
      </c>
      <c r="K1917" s="4">
        <f>I1917*J1917</f>
        <v/>
      </c>
      <c r="L1917" t="inlineStr"/>
    </row>
    <row r="1918">
      <c r="A1918" t="inlineStr">
        <is>
          <t>SR080</t>
        </is>
      </c>
      <c r="B1918" t="inlineStr">
        <is>
          <t>営業担当080</t>
        </is>
      </c>
      <c r="C1918" t="inlineStr">
        <is>
          <t>インサイドセールス部</t>
        </is>
      </c>
      <c r="D1918" s="3" t="n">
        <v>46019</v>
      </c>
      <c r="E1918" t="inlineStr">
        <is>
          <t>東洋フーズ株式会社</t>
        </is>
      </c>
      <c r="F1918" t="inlineStr">
        <is>
          <t>広島県</t>
        </is>
      </c>
      <c r="G1918" t="inlineStr">
        <is>
          <t>ソフトウェア</t>
        </is>
      </c>
      <c r="H1918" t="inlineStr">
        <is>
          <t>在庫管理クラウド</t>
        </is>
      </c>
      <c r="I1918" s="4" t="n">
        <v>5</v>
      </c>
      <c r="J1918" s="4" t="n">
        <v>358300</v>
      </c>
      <c r="K1918" s="4">
        <f>I1918*J1918</f>
        <v/>
      </c>
      <c r="L1918" t="inlineStr">
        <is>
          <t>値引き調整あり</t>
        </is>
      </c>
    </row>
    <row r="1919">
      <c r="A1919" t="inlineStr">
        <is>
          <t>SR080</t>
        </is>
      </c>
      <c r="B1919" t="inlineStr">
        <is>
          <t>営業担当080</t>
        </is>
      </c>
      <c r="C1919" t="inlineStr">
        <is>
          <t>インサイドセールス部</t>
        </is>
      </c>
      <c r="D1919" s="3" t="n">
        <v>46045</v>
      </c>
      <c r="E1919" t="inlineStr">
        <is>
          <t>ネクストソリューション株式会社</t>
        </is>
      </c>
      <c r="F1919" t="inlineStr">
        <is>
          <t>東京都</t>
        </is>
      </c>
      <c r="G1919" t="inlineStr">
        <is>
          <t>保守サービス</t>
        </is>
      </c>
      <c r="H1919" t="inlineStr">
        <is>
          <t>オンサイト保守</t>
        </is>
      </c>
      <c r="I1919" s="4" t="n">
        <v>1</v>
      </c>
      <c r="J1919" s="4" t="n">
        <v>162400</v>
      </c>
      <c r="K1919" s="4">
        <f>I1919*J1919</f>
        <v/>
      </c>
      <c r="L1919" t="inlineStr">
        <is>
          <t>新規開拓</t>
        </is>
      </c>
    </row>
    <row r="1920">
      <c r="A1920" t="inlineStr">
        <is>
          <t>SR080</t>
        </is>
      </c>
      <c r="B1920" t="inlineStr">
        <is>
          <t>営業担当080</t>
        </is>
      </c>
      <c r="C1920" t="inlineStr">
        <is>
          <t>インサイドセールス部</t>
        </is>
      </c>
      <c r="D1920" s="3" t="n">
        <v>46050</v>
      </c>
      <c r="E1920" t="inlineStr">
        <is>
          <t>オーシャン製作所株式会社</t>
        </is>
      </c>
      <c r="F1920" t="inlineStr">
        <is>
          <t>広島県</t>
        </is>
      </c>
      <c r="G1920" t="inlineStr">
        <is>
          <t>導入支援</t>
        </is>
      </c>
      <c r="H1920" t="inlineStr">
        <is>
          <t>操作研修パック</t>
        </is>
      </c>
      <c r="I1920" s="4" t="n">
        <v>3</v>
      </c>
      <c r="J1920" s="4" t="n">
        <v>123700</v>
      </c>
      <c r="K1920" s="4">
        <f>I1920*J1920</f>
        <v/>
      </c>
      <c r="L1920" t="inlineStr">
        <is>
          <t>キャンペーン適用</t>
        </is>
      </c>
    </row>
    <row r="1921">
      <c r="A1921" t="inlineStr">
        <is>
          <t>SR080</t>
        </is>
      </c>
      <c r="B1921" t="inlineStr">
        <is>
          <t>営業担当080</t>
        </is>
      </c>
      <c r="C1921" t="inlineStr">
        <is>
          <t>インサイドセールス部</t>
        </is>
      </c>
      <c r="D1921" s="3" t="n">
        <v>46068</v>
      </c>
      <c r="E1921" t="inlineStr">
        <is>
          <t>ネクストソリューション有限会社</t>
        </is>
      </c>
      <c r="F1921" t="inlineStr">
        <is>
          <t>福岡県</t>
        </is>
      </c>
      <c r="G1921" t="inlineStr">
        <is>
          <t>保守サービス</t>
        </is>
      </c>
      <c r="H1921" t="inlineStr">
        <is>
          <t>ヘルプデスク契約</t>
        </is>
      </c>
      <c r="I1921" s="4" t="n">
        <v>3</v>
      </c>
      <c r="J1921" s="4" t="n">
        <v>110300</v>
      </c>
      <c r="K1921" s="4">
        <f>I1921*J1921</f>
        <v/>
      </c>
      <c r="L1921" t="inlineStr">
        <is>
          <t>値引き調整あり</t>
        </is>
      </c>
    </row>
    <row r="1922">
      <c r="A1922" t="inlineStr">
        <is>
          <t>SR080</t>
        </is>
      </c>
      <c r="B1922" t="inlineStr">
        <is>
          <t>営業担当080</t>
        </is>
      </c>
      <c r="C1922" t="inlineStr">
        <is>
          <t>インサイドセールス部</t>
        </is>
      </c>
      <c r="D1922" s="3" t="n">
        <v>46073</v>
      </c>
      <c r="E1922" t="inlineStr">
        <is>
          <t>西日本機工(株)</t>
        </is>
      </c>
      <c r="F1922" t="inlineStr">
        <is>
          <t>広島県</t>
        </is>
      </c>
      <c r="G1922" t="inlineStr">
        <is>
          <t>消耗品</t>
        </is>
      </c>
      <c r="H1922" t="inlineStr">
        <is>
          <t>交換用ヘッド</t>
        </is>
      </c>
      <c r="I1922" s="4" t="n">
        <v>5</v>
      </c>
      <c r="J1922" s="4" t="n">
        <v>39320</v>
      </c>
      <c r="K1922" s="4">
        <f>I1922*J1922</f>
        <v/>
      </c>
      <c r="L1922" t="inlineStr">
        <is>
          <t>大型案件</t>
        </is>
      </c>
    </row>
    <row r="1923">
      <c r="A1923" t="inlineStr">
        <is>
          <t>SR080</t>
        </is>
      </c>
      <c r="B1923" t="inlineStr">
        <is>
          <t>営業担当080</t>
        </is>
      </c>
      <c r="C1923" t="inlineStr">
        <is>
          <t>インサイドセールス部</t>
        </is>
      </c>
      <c r="D1923" s="3" t="n">
        <v>46084</v>
      </c>
      <c r="E1923" t="inlineStr">
        <is>
          <t>ライトホーム株式会社</t>
        </is>
      </c>
      <c r="F1923" t="inlineStr">
        <is>
          <t>東京都</t>
        </is>
      </c>
      <c r="G1923" t="inlineStr">
        <is>
          <t>ソフトウェア</t>
        </is>
      </c>
      <c r="H1923" t="inlineStr">
        <is>
          <t>在庫管理クラウド</t>
        </is>
      </c>
      <c r="I1923" s="4" t="n">
        <v>1</v>
      </c>
      <c r="J1923" s="4" t="n">
        <v>292300</v>
      </c>
      <c r="K1923" s="4">
        <f>I1923*J1923</f>
        <v/>
      </c>
      <c r="L1923" t="inlineStr"/>
    </row>
    <row r="1924">
      <c r="A1924" t="inlineStr">
        <is>
          <t>SR080</t>
        </is>
      </c>
      <c r="B1924" t="inlineStr">
        <is>
          <t>営業担当080</t>
        </is>
      </c>
      <c r="C1924" t="inlineStr">
        <is>
          <t>インサイドセールス部</t>
        </is>
      </c>
      <c r="D1924" s="3" t="n">
        <v>46099</v>
      </c>
      <c r="E1924" t="inlineStr">
        <is>
          <t>グリーンテック(株)</t>
        </is>
      </c>
      <c r="F1924" t="inlineStr">
        <is>
          <t>北海道</t>
        </is>
      </c>
      <c r="G1924" t="inlineStr">
        <is>
          <t>導入支援</t>
        </is>
      </c>
      <c r="H1924" t="inlineStr">
        <is>
          <t>初期設定支援</t>
        </is>
      </c>
      <c r="I1924" s="4" t="n">
        <v>5</v>
      </c>
      <c r="J1924" s="4" t="n">
        <v>132200</v>
      </c>
      <c r="K1924" s="4">
        <f>I1924*J1924</f>
        <v/>
      </c>
      <c r="L1924" t="inlineStr">
        <is>
          <t>新規開拓</t>
        </is>
      </c>
    </row>
    <row r="1925">
      <c r="A1925" t="inlineStr">
        <is>
          <t>SR081</t>
        </is>
      </c>
      <c r="B1925" t="inlineStr">
        <is>
          <t>営業担当081</t>
        </is>
      </c>
      <c r="C1925" t="inlineStr">
        <is>
          <t>第1営業部</t>
        </is>
      </c>
      <c r="D1925" s="3" t="n">
        <v>45760</v>
      </c>
      <c r="E1925" t="inlineStr">
        <is>
          <t>福岡流通株式会社</t>
        </is>
      </c>
      <c r="F1925" t="inlineStr">
        <is>
          <t>神奈川県</t>
        </is>
      </c>
      <c r="G1925" t="inlineStr">
        <is>
          <t>導入支援</t>
        </is>
      </c>
      <c r="H1925" t="inlineStr">
        <is>
          <t>操作研修パック</t>
        </is>
      </c>
      <c r="I1925" s="4" t="n">
        <v>5</v>
      </c>
      <c r="J1925" s="4" t="n">
        <v>127900</v>
      </c>
      <c r="K1925" s="4">
        <f>I1925*J1925</f>
        <v/>
      </c>
      <c r="L1925" t="inlineStr"/>
    </row>
    <row r="1926">
      <c r="A1926" t="inlineStr">
        <is>
          <t>SR081</t>
        </is>
      </c>
      <c r="B1926" t="inlineStr">
        <is>
          <t>営業担当081</t>
        </is>
      </c>
      <c r="C1926" t="inlineStr">
        <is>
          <t>第1営業部</t>
        </is>
      </c>
      <c r="D1926" s="3" t="n">
        <v>45762</v>
      </c>
      <c r="E1926" t="inlineStr">
        <is>
          <t>福岡流通(株)</t>
        </is>
      </c>
      <c r="F1926" t="inlineStr">
        <is>
          <t>福岡県</t>
        </is>
      </c>
      <c r="G1926" t="inlineStr">
        <is>
          <t>導入支援</t>
        </is>
      </c>
      <c r="H1926" t="inlineStr">
        <is>
          <t>操作研修パック</t>
        </is>
      </c>
      <c r="I1926" s="4" t="n">
        <v>5</v>
      </c>
      <c r="J1926" s="4" t="n">
        <v>113500</v>
      </c>
      <c r="K1926" s="4">
        <f>I1926*J1926</f>
        <v/>
      </c>
      <c r="L1926" t="inlineStr">
        <is>
          <t>新規開拓</t>
        </is>
      </c>
    </row>
    <row r="1927">
      <c r="A1927" t="inlineStr">
        <is>
          <t>SR081</t>
        </is>
      </c>
      <c r="B1927" t="inlineStr">
        <is>
          <t>営業担当081</t>
        </is>
      </c>
      <c r="C1927" t="inlineStr">
        <is>
          <t>第1営業部</t>
        </is>
      </c>
      <c r="D1927" s="3" t="n">
        <v>45791</v>
      </c>
      <c r="E1927" t="inlineStr">
        <is>
          <t>みらい物流有限会社</t>
        </is>
      </c>
      <c r="F1927" t="inlineStr">
        <is>
          <t>神奈川県</t>
        </is>
      </c>
      <c r="G1927" t="inlineStr">
        <is>
          <t>ハードウェア</t>
        </is>
      </c>
      <c r="H1927" t="inlineStr">
        <is>
          <t>ラベルプリンター</t>
        </is>
      </c>
      <c r="I1927" s="4" t="n">
        <v>3</v>
      </c>
      <c r="J1927" s="4" t="n">
        <v>71000</v>
      </c>
      <c r="K1927" s="4">
        <f>I1927*J1927</f>
        <v/>
      </c>
      <c r="L1927" t="inlineStr">
        <is>
          <t>分納</t>
        </is>
      </c>
    </row>
    <row r="1928">
      <c r="A1928" t="inlineStr">
        <is>
          <t>SR081</t>
        </is>
      </c>
      <c r="B1928" t="inlineStr">
        <is>
          <t>営業担当081</t>
        </is>
      </c>
      <c r="C1928" t="inlineStr">
        <is>
          <t>第1営業部</t>
        </is>
      </c>
      <c r="D1928" s="3" t="n">
        <v>45799</v>
      </c>
      <c r="E1928" t="inlineStr">
        <is>
          <t>ネクストソリューション株式会社</t>
        </is>
      </c>
      <c r="F1928" t="inlineStr">
        <is>
          <t>広島県</t>
        </is>
      </c>
      <c r="G1928" t="inlineStr">
        <is>
          <t>保守サービス</t>
        </is>
      </c>
      <c r="H1928" t="inlineStr">
        <is>
          <t>オンサイト保守</t>
        </is>
      </c>
      <c r="I1928" s="4" t="n">
        <v>1</v>
      </c>
      <c r="J1928" s="4" t="n">
        <v>92300</v>
      </c>
      <c r="K1928" s="4">
        <f>I1928*J1928</f>
        <v/>
      </c>
      <c r="L1928" t="inlineStr">
        <is>
          <t>分納</t>
        </is>
      </c>
    </row>
    <row r="1929">
      <c r="A1929" t="inlineStr">
        <is>
          <t>SR081</t>
        </is>
      </c>
      <c r="B1929" t="inlineStr">
        <is>
          <t>営業担当081</t>
        </is>
      </c>
      <c r="C1929" t="inlineStr">
        <is>
          <t>第1営業部</t>
        </is>
      </c>
      <c r="D1929" s="3" t="n">
        <v>45823</v>
      </c>
      <c r="E1929" t="inlineStr">
        <is>
          <t>九州エナジー有限会社</t>
        </is>
      </c>
      <c r="F1929" t="inlineStr">
        <is>
          <t>福岡県</t>
        </is>
      </c>
      <c r="G1929" t="inlineStr">
        <is>
          <t>ソフトウェア</t>
        </is>
      </c>
      <c r="H1929" t="inlineStr">
        <is>
          <t>帳票自動化ツール</t>
        </is>
      </c>
      <c r="I1929" s="4" t="n">
        <v>5</v>
      </c>
      <c r="J1929" s="4" t="n">
        <v>406000</v>
      </c>
      <c r="K1929" s="4">
        <f>I1929*J1929</f>
        <v/>
      </c>
      <c r="L1929" t="inlineStr"/>
    </row>
    <row r="1930">
      <c r="A1930" t="inlineStr">
        <is>
          <t>SR081</t>
        </is>
      </c>
      <c r="B1930" t="inlineStr">
        <is>
          <t>営業担当081</t>
        </is>
      </c>
      <c r="C1930" t="inlineStr">
        <is>
          <t>第1営業部</t>
        </is>
      </c>
      <c r="D1930" s="3" t="n">
        <v>45836</v>
      </c>
      <c r="E1930" t="inlineStr">
        <is>
          <t>日新サービス有限会社</t>
        </is>
      </c>
      <c r="F1930" t="inlineStr">
        <is>
          <t>大阪府</t>
        </is>
      </c>
      <c r="G1930" t="inlineStr">
        <is>
          <t>導入支援</t>
        </is>
      </c>
      <c r="H1930" t="inlineStr">
        <is>
          <t>操作研修パック</t>
        </is>
      </c>
      <c r="I1930" s="4" t="n">
        <v>5</v>
      </c>
      <c r="J1930" s="4" t="n">
        <v>101800</v>
      </c>
      <c r="K1930" s="4">
        <f>I1930*J1930</f>
        <v/>
      </c>
      <c r="L1930" t="inlineStr">
        <is>
          <t>分納</t>
        </is>
      </c>
    </row>
    <row r="1931">
      <c r="A1931" t="inlineStr">
        <is>
          <t>SR081</t>
        </is>
      </c>
      <c r="B1931" t="inlineStr">
        <is>
          <t>営業担当081</t>
        </is>
      </c>
      <c r="C1931" t="inlineStr">
        <is>
          <t>第1営業部</t>
        </is>
      </c>
      <c r="D1931" s="3" t="n">
        <v>45839</v>
      </c>
      <c r="E1931" t="inlineStr">
        <is>
          <t>日新サービス株式会社</t>
        </is>
      </c>
      <c r="F1931" t="inlineStr">
        <is>
          <t>広島県</t>
        </is>
      </c>
      <c r="G1931" t="inlineStr">
        <is>
          <t>ソフトウェア</t>
        </is>
      </c>
      <c r="H1931" t="inlineStr">
        <is>
          <t>AIチャットボット</t>
        </is>
      </c>
      <c r="I1931" s="4" t="n">
        <v>3</v>
      </c>
      <c r="J1931" s="4" t="n">
        <v>695400</v>
      </c>
      <c r="K1931" s="4">
        <f>I1931*J1931</f>
        <v/>
      </c>
      <c r="L1931" t="inlineStr"/>
    </row>
    <row r="1932">
      <c r="A1932" t="inlineStr">
        <is>
          <t>SR081</t>
        </is>
      </c>
      <c r="B1932" t="inlineStr">
        <is>
          <t>営業担当081</t>
        </is>
      </c>
      <c r="C1932" t="inlineStr">
        <is>
          <t>第1営業部</t>
        </is>
      </c>
      <c r="D1932" s="3" t="n">
        <v>45858</v>
      </c>
      <c r="E1932" t="inlineStr">
        <is>
          <t>オーシャン製作所有限会社</t>
        </is>
      </c>
      <c r="F1932" t="inlineStr">
        <is>
          <t>福岡県</t>
        </is>
      </c>
      <c r="G1932" t="inlineStr">
        <is>
          <t>消耗品</t>
        </is>
      </c>
      <c r="H1932" t="inlineStr">
        <is>
          <t>ラベルロール</t>
        </is>
      </c>
      <c r="I1932" s="4" t="n">
        <v>14</v>
      </c>
      <c r="J1932" s="4" t="n">
        <v>6410</v>
      </c>
      <c r="K1932" s="4">
        <f>I1932*J1932</f>
        <v/>
      </c>
      <c r="L1932" t="inlineStr">
        <is>
          <t>キャンペーン適用</t>
        </is>
      </c>
    </row>
    <row r="1933">
      <c r="A1933" t="inlineStr">
        <is>
          <t>SR081</t>
        </is>
      </c>
      <c r="B1933" t="inlineStr">
        <is>
          <t>営業担当081</t>
        </is>
      </c>
      <c r="C1933" t="inlineStr">
        <is>
          <t>第1営業部</t>
        </is>
      </c>
      <c r="D1933" s="3" t="n">
        <v>45872</v>
      </c>
      <c r="E1933" t="inlineStr">
        <is>
          <t>桜井メディカル有限会社</t>
        </is>
      </c>
      <c r="F1933" t="inlineStr">
        <is>
          <t>大阪府</t>
        </is>
      </c>
      <c r="G1933" t="inlineStr">
        <is>
          <t>導入支援</t>
        </is>
      </c>
      <c r="H1933" t="inlineStr">
        <is>
          <t>データ移行支援</t>
        </is>
      </c>
      <c r="I1933" s="4" t="n">
        <v>3</v>
      </c>
      <c r="J1933" s="4" t="n">
        <v>178800</v>
      </c>
      <c r="K1933" s="4">
        <f>I1933*J1933</f>
        <v/>
      </c>
      <c r="L1933" t="inlineStr">
        <is>
          <t>分納</t>
        </is>
      </c>
    </row>
    <row r="1934">
      <c r="A1934" t="inlineStr">
        <is>
          <t>SR081</t>
        </is>
      </c>
      <c r="B1934" t="inlineStr">
        <is>
          <t>営業担当081</t>
        </is>
      </c>
      <c r="C1934" t="inlineStr">
        <is>
          <t>第1営業部</t>
        </is>
      </c>
      <c r="D1934" s="3" t="n">
        <v>45872</v>
      </c>
      <c r="E1934" t="inlineStr">
        <is>
          <t>アーク電機株式会社</t>
        </is>
      </c>
      <c r="F1934" t="inlineStr">
        <is>
          <t>京都府</t>
        </is>
      </c>
      <c r="G1934" t="inlineStr">
        <is>
          <t>消耗品</t>
        </is>
      </c>
      <c r="H1934" t="inlineStr">
        <is>
          <t>ラベルロール</t>
        </is>
      </c>
      <c r="I1934" s="4" t="n">
        <v>9</v>
      </c>
      <c r="J1934" s="4" t="n">
        <v>4320</v>
      </c>
      <c r="K1934" s="4">
        <f>I1934*J1934</f>
        <v/>
      </c>
      <c r="L1934" t="inlineStr"/>
    </row>
    <row r="1935">
      <c r="A1935" t="inlineStr">
        <is>
          <t>SR081</t>
        </is>
      </c>
      <c r="B1935" t="inlineStr">
        <is>
          <t>営業担当081</t>
        </is>
      </c>
      <c r="C1935" t="inlineStr">
        <is>
          <t>第1営業部</t>
        </is>
      </c>
      <c r="D1935" s="3" t="n">
        <v>45902</v>
      </c>
      <c r="E1935" t="inlineStr">
        <is>
          <t>オーシャン製作所(株)</t>
        </is>
      </c>
      <c r="F1935" t="inlineStr">
        <is>
          <t>京都府</t>
        </is>
      </c>
      <c r="G1935" t="inlineStr">
        <is>
          <t>導入支援</t>
        </is>
      </c>
      <c r="H1935" t="inlineStr">
        <is>
          <t>初期設定支援</t>
        </is>
      </c>
      <c r="I1935" s="4" t="n">
        <v>5</v>
      </c>
      <c r="J1935" s="4" t="n">
        <v>134000</v>
      </c>
      <c r="K1935" s="4">
        <f>I1935*J1935</f>
        <v/>
      </c>
      <c r="L1935" t="inlineStr"/>
    </row>
    <row r="1936">
      <c r="A1936" t="inlineStr">
        <is>
          <t>SR081</t>
        </is>
      </c>
      <c r="B1936" t="inlineStr">
        <is>
          <t>営業担当081</t>
        </is>
      </c>
      <c r="C1936" t="inlineStr">
        <is>
          <t>第1営業部</t>
        </is>
      </c>
      <c r="D1936" s="3" t="n">
        <v>45909</v>
      </c>
      <c r="E1936" t="inlineStr">
        <is>
          <t>九州エナジー有限会社</t>
        </is>
      </c>
      <c r="F1936" t="inlineStr">
        <is>
          <t>福岡県</t>
        </is>
      </c>
      <c r="G1936" t="inlineStr">
        <is>
          <t>ハードウェア</t>
        </is>
      </c>
      <c r="H1936" t="inlineStr">
        <is>
          <t>ラベルプリンター</t>
        </is>
      </c>
      <c r="I1936" s="4" t="n">
        <v>4</v>
      </c>
      <c r="J1936" s="4" t="n">
        <v>43900</v>
      </c>
      <c r="K1936" s="4">
        <f>I1936*J1936</f>
        <v/>
      </c>
      <c r="L1936" t="inlineStr">
        <is>
          <t>新規開拓</t>
        </is>
      </c>
    </row>
    <row r="1937">
      <c r="A1937" t="inlineStr">
        <is>
          <t>SR081</t>
        </is>
      </c>
      <c r="B1937" t="inlineStr">
        <is>
          <t>営業担当081</t>
        </is>
      </c>
      <c r="C1937" t="inlineStr">
        <is>
          <t>第1営業部</t>
        </is>
      </c>
      <c r="D1937" s="3" t="n">
        <v>45931</v>
      </c>
      <c r="E1937" t="inlineStr">
        <is>
          <t>グリーンテック有限会社</t>
        </is>
      </c>
      <c r="F1937" t="inlineStr">
        <is>
          <t>東京都</t>
        </is>
      </c>
      <c r="G1937" t="inlineStr">
        <is>
          <t>消耗品</t>
        </is>
      </c>
      <c r="H1937" t="inlineStr">
        <is>
          <t>保守用バッテリー</t>
        </is>
      </c>
      <c r="I1937" s="4" t="n">
        <v>2</v>
      </c>
      <c r="J1937" s="4" t="n">
        <v>16080</v>
      </c>
      <c r="K1937" s="4">
        <f>I1937*J1937</f>
        <v/>
      </c>
      <c r="L1937" t="inlineStr"/>
    </row>
    <row r="1938">
      <c r="A1938" t="inlineStr">
        <is>
          <t>SR081</t>
        </is>
      </c>
      <c r="B1938" t="inlineStr">
        <is>
          <t>営業担当081</t>
        </is>
      </c>
      <c r="C1938" t="inlineStr">
        <is>
          <t>第1営業部</t>
        </is>
      </c>
      <c r="D1938" s="3" t="n">
        <v>45954</v>
      </c>
      <c r="E1938" t="inlineStr">
        <is>
          <t>福岡流通有限会社</t>
        </is>
      </c>
      <c r="F1938" t="inlineStr">
        <is>
          <t>宮城県</t>
        </is>
      </c>
      <c r="G1938" t="inlineStr">
        <is>
          <t>消耗品</t>
        </is>
      </c>
      <c r="H1938" t="inlineStr">
        <is>
          <t>交換用ヘッド</t>
        </is>
      </c>
      <c r="I1938" s="4" t="n">
        <v>14</v>
      </c>
      <c r="J1938" s="4" t="n">
        <v>28080</v>
      </c>
      <c r="K1938" s="4">
        <f>I1938*J1938</f>
        <v/>
      </c>
      <c r="L1938" t="inlineStr">
        <is>
          <t>大型案件</t>
        </is>
      </c>
    </row>
    <row r="1939">
      <c r="A1939" t="inlineStr">
        <is>
          <t>SR081</t>
        </is>
      </c>
      <c r="B1939" t="inlineStr">
        <is>
          <t>営業担当081</t>
        </is>
      </c>
      <c r="C1939" t="inlineStr">
        <is>
          <t>第1営業部</t>
        </is>
      </c>
      <c r="D1939" s="3" t="n">
        <v>45976</v>
      </c>
      <c r="E1939" t="inlineStr">
        <is>
          <t>未来通信有限会社</t>
        </is>
      </c>
      <c r="F1939" t="inlineStr">
        <is>
          <t>兵庫県</t>
        </is>
      </c>
      <c r="G1939" t="inlineStr">
        <is>
          <t>導入支援</t>
        </is>
      </c>
      <c r="H1939" t="inlineStr">
        <is>
          <t>操作研修パック</t>
        </is>
      </c>
      <c r="I1939" s="4" t="n">
        <v>1</v>
      </c>
      <c r="J1939" s="4" t="n">
        <v>81800</v>
      </c>
      <c r="K1939" s="4">
        <f>I1939*J1939</f>
        <v/>
      </c>
      <c r="L1939" t="inlineStr"/>
    </row>
    <row r="1940">
      <c r="A1940" t="inlineStr">
        <is>
          <t>SR081</t>
        </is>
      </c>
      <c r="B1940" t="inlineStr">
        <is>
          <t>営業担当081</t>
        </is>
      </c>
      <c r="C1940" t="inlineStr">
        <is>
          <t>第1営業部</t>
        </is>
      </c>
      <c r="D1940" s="3" t="n">
        <v>45980</v>
      </c>
      <c r="E1940" t="inlineStr">
        <is>
          <t>福岡流通有限会社</t>
        </is>
      </c>
      <c r="F1940" t="inlineStr">
        <is>
          <t>宮城県</t>
        </is>
      </c>
      <c r="G1940" t="inlineStr">
        <is>
          <t>ソフトウェア</t>
        </is>
      </c>
      <c r="H1940" t="inlineStr">
        <is>
          <t>営業支援SaaS</t>
        </is>
      </c>
      <c r="I1940" s="4" t="n">
        <v>4</v>
      </c>
      <c r="J1940" s="4" t="n">
        <v>183700</v>
      </c>
      <c r="K1940" s="4">
        <f>I1940*J1940</f>
        <v/>
      </c>
      <c r="L1940" t="inlineStr">
        <is>
          <t>大型案件</t>
        </is>
      </c>
    </row>
    <row r="1941">
      <c r="A1941" t="inlineStr">
        <is>
          <t>SR081</t>
        </is>
      </c>
      <c r="B1941" t="inlineStr">
        <is>
          <t>営業担当081</t>
        </is>
      </c>
      <c r="C1941" t="inlineStr">
        <is>
          <t>第1営業部</t>
        </is>
      </c>
      <c r="D1941" s="3" t="n">
        <v>46014</v>
      </c>
      <c r="E1941" t="inlineStr">
        <is>
          <t>大和精機(株)</t>
        </is>
      </c>
      <c r="F1941" t="inlineStr">
        <is>
          <t>福岡県</t>
        </is>
      </c>
      <c r="G1941" t="inlineStr">
        <is>
          <t>導入支援</t>
        </is>
      </c>
      <c r="H1941" t="inlineStr">
        <is>
          <t>データ移行支援</t>
        </is>
      </c>
      <c r="I1941" s="4" t="n">
        <v>2</v>
      </c>
      <c r="J1941" s="4" t="n">
        <v>96300</v>
      </c>
      <c r="K1941" s="4">
        <f>I1941*J1941</f>
        <v/>
      </c>
      <c r="L1941" t="inlineStr">
        <is>
          <t>リピート受注</t>
        </is>
      </c>
    </row>
    <row r="1942">
      <c r="A1942" t="inlineStr">
        <is>
          <t>SR081</t>
        </is>
      </c>
      <c r="B1942" t="inlineStr">
        <is>
          <t>営業担当081</t>
        </is>
      </c>
      <c r="C1942" t="inlineStr">
        <is>
          <t>第1営業部</t>
        </is>
      </c>
      <c r="D1942" s="3" t="n">
        <v>46014</v>
      </c>
      <c r="E1942" t="inlineStr">
        <is>
          <t>青葉商事有限会社</t>
        </is>
      </c>
      <c r="F1942" t="inlineStr">
        <is>
          <t>大阪府</t>
        </is>
      </c>
      <c r="G1942" t="inlineStr">
        <is>
          <t>導入支援</t>
        </is>
      </c>
      <c r="H1942" t="inlineStr">
        <is>
          <t>初期設定支援</t>
        </is>
      </c>
      <c r="I1942" s="4" t="n">
        <v>1</v>
      </c>
      <c r="J1942" s="4" t="n">
        <v>192300</v>
      </c>
      <c r="K1942" s="4">
        <f>I1942*J1942</f>
        <v/>
      </c>
      <c r="L1942" t="inlineStr">
        <is>
          <t>リピート受注</t>
        </is>
      </c>
    </row>
    <row r="1943">
      <c r="A1943" t="inlineStr">
        <is>
          <t>SR081</t>
        </is>
      </c>
      <c r="B1943" t="inlineStr">
        <is>
          <t>営業担当081</t>
        </is>
      </c>
      <c r="C1943" t="inlineStr">
        <is>
          <t>第1営業部</t>
        </is>
      </c>
      <c r="D1943" s="3" t="n">
        <v>46030</v>
      </c>
      <c r="E1943" t="inlineStr">
        <is>
          <t>日新サービス(株)</t>
        </is>
      </c>
      <c r="F1943" t="inlineStr">
        <is>
          <t>愛知県</t>
        </is>
      </c>
      <c r="G1943" t="inlineStr">
        <is>
          <t>消耗品</t>
        </is>
      </c>
      <c r="H1943" t="inlineStr">
        <is>
          <t>交換用ヘッド</t>
        </is>
      </c>
      <c r="I1943" s="4" t="n">
        <v>2</v>
      </c>
      <c r="J1943" s="4" t="n">
        <v>19820</v>
      </c>
      <c r="K1943" s="4">
        <f>I1943*J1943</f>
        <v/>
      </c>
      <c r="L1943" t="inlineStr"/>
    </row>
    <row r="1944">
      <c r="A1944" t="inlineStr">
        <is>
          <t>SR081</t>
        </is>
      </c>
      <c r="B1944" t="inlineStr">
        <is>
          <t>営業担当081</t>
        </is>
      </c>
      <c r="C1944" t="inlineStr">
        <is>
          <t>第1営業部</t>
        </is>
      </c>
      <c r="D1944" s="3" t="n">
        <v>46042</v>
      </c>
      <c r="E1944" t="inlineStr">
        <is>
          <t>オーシャン製作所(株)</t>
        </is>
      </c>
      <c r="F1944" t="inlineStr">
        <is>
          <t>大阪府</t>
        </is>
      </c>
      <c r="G1944" t="inlineStr">
        <is>
          <t>ハードウェア</t>
        </is>
      </c>
      <c r="H1944" t="inlineStr">
        <is>
          <t>産業用タブレット</t>
        </is>
      </c>
      <c r="I1944" s="4" t="n">
        <v>2</v>
      </c>
      <c r="J1944" s="4" t="n">
        <v>117300</v>
      </c>
      <c r="K1944" s="4">
        <f>I1944*J1944</f>
        <v/>
      </c>
      <c r="L1944" t="inlineStr">
        <is>
          <t>分納</t>
        </is>
      </c>
    </row>
    <row r="1945">
      <c r="A1945" t="inlineStr">
        <is>
          <t>SR081</t>
        </is>
      </c>
      <c r="B1945" t="inlineStr">
        <is>
          <t>営業担当081</t>
        </is>
      </c>
      <c r="C1945" t="inlineStr">
        <is>
          <t>第1営業部</t>
        </is>
      </c>
      <c r="D1945" s="3" t="n">
        <v>46054</v>
      </c>
      <c r="E1945" t="inlineStr">
        <is>
          <t>青葉商事(株)</t>
        </is>
      </c>
      <c r="F1945" t="inlineStr">
        <is>
          <t>大阪府</t>
        </is>
      </c>
      <c r="G1945" t="inlineStr">
        <is>
          <t>ハードウェア</t>
        </is>
      </c>
      <c r="H1945" t="inlineStr">
        <is>
          <t>小型ハンディ端末</t>
        </is>
      </c>
      <c r="I1945" s="4" t="n">
        <v>1</v>
      </c>
      <c r="J1945" s="4" t="n">
        <v>51800</v>
      </c>
      <c r="K1945" s="4">
        <f>I1945*J1945</f>
        <v/>
      </c>
      <c r="L1945" t="inlineStr">
        <is>
          <t>リピート受注</t>
        </is>
      </c>
    </row>
    <row r="1946">
      <c r="A1946" t="inlineStr">
        <is>
          <t>SR081</t>
        </is>
      </c>
      <c r="B1946" t="inlineStr">
        <is>
          <t>営業担当081</t>
        </is>
      </c>
      <c r="C1946" t="inlineStr">
        <is>
          <t>第1営業部</t>
        </is>
      </c>
      <c r="D1946" s="3" t="n">
        <v>46061</v>
      </c>
      <c r="E1946" t="inlineStr">
        <is>
          <t>青葉商事(株)</t>
        </is>
      </c>
      <c r="F1946" t="inlineStr">
        <is>
          <t>福岡県</t>
        </is>
      </c>
      <c r="G1946" t="inlineStr">
        <is>
          <t>導入支援</t>
        </is>
      </c>
      <c r="H1946" t="inlineStr">
        <is>
          <t>初期設定支援</t>
        </is>
      </c>
      <c r="I1946" s="4" t="n">
        <v>3</v>
      </c>
      <c r="J1946" s="4" t="n">
        <v>87400</v>
      </c>
      <c r="K1946" s="4">
        <f>I1946*J1946</f>
        <v/>
      </c>
      <c r="L1946" t="inlineStr">
        <is>
          <t>大型案件</t>
        </is>
      </c>
    </row>
    <row r="1947">
      <c r="A1947" t="inlineStr">
        <is>
          <t>SR081</t>
        </is>
      </c>
      <c r="B1947" t="inlineStr">
        <is>
          <t>営業担当081</t>
        </is>
      </c>
      <c r="C1947" t="inlineStr">
        <is>
          <t>第1営業部</t>
        </is>
      </c>
      <c r="D1947" s="3" t="n">
        <v>46092</v>
      </c>
      <c r="E1947" t="inlineStr">
        <is>
          <t>星和商会(株)</t>
        </is>
      </c>
      <c r="F1947" t="inlineStr">
        <is>
          <t>愛知県</t>
        </is>
      </c>
      <c r="G1947" t="inlineStr">
        <is>
          <t>導入支援</t>
        </is>
      </c>
      <c r="H1947" t="inlineStr">
        <is>
          <t>操作研修パック</t>
        </is>
      </c>
      <c r="I1947" s="4" t="n">
        <v>1</v>
      </c>
      <c r="J1947" s="4" t="n">
        <v>50700</v>
      </c>
      <c r="K1947" s="4">
        <f>I1947*J1947</f>
        <v/>
      </c>
      <c r="L1947" t="inlineStr"/>
    </row>
    <row r="1948">
      <c r="A1948" t="inlineStr">
        <is>
          <t>SR081</t>
        </is>
      </c>
      <c r="B1948" t="inlineStr">
        <is>
          <t>営業担当081</t>
        </is>
      </c>
      <c r="C1948" t="inlineStr">
        <is>
          <t>第1営業部</t>
        </is>
      </c>
      <c r="D1948" s="3" t="n">
        <v>46096</v>
      </c>
      <c r="E1948" t="inlineStr">
        <is>
          <t>中央設備(株)</t>
        </is>
      </c>
      <c r="F1948" t="inlineStr">
        <is>
          <t>北海道</t>
        </is>
      </c>
      <c r="G1948" t="inlineStr">
        <is>
          <t>導入支援</t>
        </is>
      </c>
      <c r="H1948" t="inlineStr">
        <is>
          <t>初期設定支援</t>
        </is>
      </c>
      <c r="I1948" s="4" t="n">
        <v>5</v>
      </c>
      <c r="J1948" s="4" t="n">
        <v>111400</v>
      </c>
      <c r="K1948" s="4">
        <f>I1948*J1948</f>
        <v/>
      </c>
      <c r="L1948" t="inlineStr">
        <is>
          <t>新規開拓</t>
        </is>
      </c>
    </row>
    <row r="1949">
      <c r="A1949" t="inlineStr">
        <is>
          <t>SR082</t>
        </is>
      </c>
      <c r="B1949" t="inlineStr">
        <is>
          <t>営業担当082</t>
        </is>
      </c>
      <c r="C1949" t="inlineStr">
        <is>
          <t>第2営業部</t>
        </is>
      </c>
      <c r="D1949" s="3" t="n">
        <v>45752</v>
      </c>
      <c r="E1949" t="inlineStr">
        <is>
          <t>グリーンテック有限会社</t>
        </is>
      </c>
      <c r="F1949" t="inlineStr">
        <is>
          <t>兵庫県</t>
        </is>
      </c>
      <c r="G1949" t="inlineStr">
        <is>
          <t>消耗品</t>
        </is>
      </c>
      <c r="H1949" t="inlineStr">
        <is>
          <t>ラベルロール</t>
        </is>
      </c>
      <c r="I1949" s="4" t="n">
        <v>8</v>
      </c>
      <c r="J1949" s="4" t="n">
        <v>12360</v>
      </c>
      <c r="K1949" s="4">
        <f>I1949*J1949</f>
        <v/>
      </c>
      <c r="L1949" t="inlineStr">
        <is>
          <t>新規開拓</t>
        </is>
      </c>
    </row>
    <row r="1950">
      <c r="A1950" t="inlineStr">
        <is>
          <t>SR082</t>
        </is>
      </c>
      <c r="B1950" t="inlineStr">
        <is>
          <t>営業担当082</t>
        </is>
      </c>
      <c r="C1950" t="inlineStr">
        <is>
          <t>第2営業部</t>
        </is>
      </c>
      <c r="D1950" s="3" t="n">
        <v>45755</v>
      </c>
      <c r="E1950" t="inlineStr">
        <is>
          <t>未来通信(株)</t>
        </is>
      </c>
      <c r="F1950" t="inlineStr">
        <is>
          <t>東京都</t>
        </is>
      </c>
      <c r="G1950" t="inlineStr">
        <is>
          <t>導入支援</t>
        </is>
      </c>
      <c r="H1950" t="inlineStr">
        <is>
          <t>初期設定支援</t>
        </is>
      </c>
      <c r="I1950" s="4" t="n">
        <v>3</v>
      </c>
      <c r="J1950" s="4" t="n">
        <v>209800</v>
      </c>
      <c r="K1950" s="4">
        <f>I1950*J1950</f>
        <v/>
      </c>
      <c r="L1950" t="inlineStr">
        <is>
          <t>キャンペーン適用</t>
        </is>
      </c>
    </row>
    <row r="1951">
      <c r="A1951" t="inlineStr">
        <is>
          <t>SR082</t>
        </is>
      </c>
      <c r="B1951" t="inlineStr">
        <is>
          <t>営業担当082</t>
        </is>
      </c>
      <c r="C1951" t="inlineStr">
        <is>
          <t>第2営業部</t>
        </is>
      </c>
      <c r="D1951" s="3" t="n">
        <v>45778</v>
      </c>
      <c r="E1951" t="inlineStr">
        <is>
          <t>東洋フーズ有限会社</t>
        </is>
      </c>
      <c r="F1951" t="inlineStr">
        <is>
          <t>北海道</t>
        </is>
      </c>
      <c r="G1951" t="inlineStr">
        <is>
          <t>導入支援</t>
        </is>
      </c>
      <c r="H1951" t="inlineStr">
        <is>
          <t>データ移行支援</t>
        </is>
      </c>
      <c r="I1951" s="4" t="n">
        <v>5</v>
      </c>
      <c r="J1951" s="4" t="n">
        <v>172000</v>
      </c>
      <c r="K1951" s="4">
        <f>I1951*J1951</f>
        <v/>
      </c>
      <c r="L1951" t="inlineStr"/>
    </row>
    <row r="1952">
      <c r="A1952" t="inlineStr">
        <is>
          <t>SR082</t>
        </is>
      </c>
      <c r="B1952" t="inlineStr">
        <is>
          <t>営業担当082</t>
        </is>
      </c>
      <c r="C1952" t="inlineStr">
        <is>
          <t>第2営業部</t>
        </is>
      </c>
      <c r="D1952" s="3" t="n">
        <v>45803</v>
      </c>
      <c r="E1952" t="inlineStr">
        <is>
          <t>アーク電機株式会社</t>
        </is>
      </c>
      <c r="F1952" t="inlineStr">
        <is>
          <t>京都府</t>
        </is>
      </c>
      <c r="G1952" t="inlineStr">
        <is>
          <t>保守サービス</t>
        </is>
      </c>
      <c r="H1952" t="inlineStr">
        <is>
          <t>ヘルプデスク契約</t>
        </is>
      </c>
      <c r="I1952" s="4" t="n">
        <v>5</v>
      </c>
      <c r="J1952" s="4" t="n">
        <v>46800</v>
      </c>
      <c r="K1952" s="4">
        <f>I1952*J1952</f>
        <v/>
      </c>
      <c r="L1952" t="inlineStr">
        <is>
          <t>キャンペーン適用</t>
        </is>
      </c>
    </row>
    <row r="1953">
      <c r="A1953" t="inlineStr">
        <is>
          <t>SR082</t>
        </is>
      </c>
      <c r="B1953" t="inlineStr">
        <is>
          <t>営業担当082</t>
        </is>
      </c>
      <c r="C1953" t="inlineStr">
        <is>
          <t>第2営業部</t>
        </is>
      </c>
      <c r="D1953" s="3" t="n">
        <v>45824</v>
      </c>
      <c r="E1953" t="inlineStr">
        <is>
          <t>北斗産業(株)</t>
        </is>
      </c>
      <c r="F1953" t="inlineStr">
        <is>
          <t>宮城県</t>
        </is>
      </c>
      <c r="G1953" t="inlineStr">
        <is>
          <t>消耗品</t>
        </is>
      </c>
      <c r="H1953" t="inlineStr">
        <is>
          <t>交換用ヘッド</t>
        </is>
      </c>
      <c r="I1953" s="4" t="n">
        <v>7</v>
      </c>
      <c r="J1953" s="4" t="n">
        <v>14740</v>
      </c>
      <c r="K1953" s="4">
        <f>I1953*J1953</f>
        <v/>
      </c>
      <c r="L1953" t="inlineStr"/>
    </row>
    <row r="1954">
      <c r="A1954" t="inlineStr">
        <is>
          <t>SR082</t>
        </is>
      </c>
      <c r="B1954" t="inlineStr">
        <is>
          <t>営業担当082</t>
        </is>
      </c>
      <c r="C1954" t="inlineStr">
        <is>
          <t>第2営業部</t>
        </is>
      </c>
      <c r="D1954" s="3" t="n">
        <v>45824</v>
      </c>
      <c r="E1954" t="inlineStr">
        <is>
          <t>ライトホーム有限会社</t>
        </is>
      </c>
      <c r="F1954" t="inlineStr">
        <is>
          <t>宮城県</t>
        </is>
      </c>
      <c r="G1954" t="inlineStr">
        <is>
          <t>ハードウェア</t>
        </is>
      </c>
      <c r="H1954" t="inlineStr">
        <is>
          <t>小型ハンディ端末</t>
        </is>
      </c>
      <c r="I1954" s="4" t="n">
        <v>5</v>
      </c>
      <c r="J1954" s="4" t="n">
        <v>74400</v>
      </c>
      <c r="K1954" s="4">
        <f>I1954*J1954</f>
        <v/>
      </c>
      <c r="L1954" t="inlineStr">
        <is>
          <t>分納</t>
        </is>
      </c>
    </row>
    <row r="1955">
      <c r="A1955" t="inlineStr">
        <is>
          <t>SR082</t>
        </is>
      </c>
      <c r="B1955" t="inlineStr">
        <is>
          <t>営業担当082</t>
        </is>
      </c>
      <c r="C1955" t="inlineStr">
        <is>
          <t>第2営業部</t>
        </is>
      </c>
      <c r="D1955" s="3" t="n">
        <v>45841</v>
      </c>
      <c r="E1955" t="inlineStr">
        <is>
          <t>未来通信有限会社</t>
        </is>
      </c>
      <c r="F1955" t="inlineStr">
        <is>
          <t>北海道</t>
        </is>
      </c>
      <c r="G1955" t="inlineStr">
        <is>
          <t>導入支援</t>
        </is>
      </c>
      <c r="H1955" t="inlineStr">
        <is>
          <t>データ移行支援</t>
        </is>
      </c>
      <c r="I1955" s="4" t="n">
        <v>5</v>
      </c>
      <c r="J1955" s="4" t="n">
        <v>179600</v>
      </c>
      <c r="K1955" s="4">
        <f>I1955*J1955</f>
        <v/>
      </c>
      <c r="L1955" t="inlineStr"/>
    </row>
    <row r="1956">
      <c r="A1956" t="inlineStr">
        <is>
          <t>SR082</t>
        </is>
      </c>
      <c r="B1956" t="inlineStr">
        <is>
          <t>営業担当082</t>
        </is>
      </c>
      <c r="C1956" t="inlineStr">
        <is>
          <t>第2営業部</t>
        </is>
      </c>
      <c r="D1956" s="3" t="n">
        <v>45863</v>
      </c>
      <c r="E1956" t="inlineStr">
        <is>
          <t>みらい物流(株)</t>
        </is>
      </c>
      <c r="F1956" t="inlineStr">
        <is>
          <t>兵庫県</t>
        </is>
      </c>
      <c r="G1956" t="inlineStr">
        <is>
          <t>ソフトウェア</t>
        </is>
      </c>
      <c r="H1956" t="inlineStr">
        <is>
          <t>AIチャットボット</t>
        </is>
      </c>
      <c r="I1956" s="4" t="n">
        <v>1</v>
      </c>
      <c r="J1956" s="4" t="n">
        <v>710100</v>
      </c>
      <c r="K1956" s="4">
        <f>I1956*J1956</f>
        <v/>
      </c>
      <c r="L1956" t="inlineStr"/>
    </row>
    <row r="1957">
      <c r="A1957" t="inlineStr">
        <is>
          <t>SR082</t>
        </is>
      </c>
      <c r="B1957" t="inlineStr">
        <is>
          <t>営業担当082</t>
        </is>
      </c>
      <c r="C1957" t="inlineStr">
        <is>
          <t>第2営業部</t>
        </is>
      </c>
      <c r="D1957" s="3" t="n">
        <v>45873</v>
      </c>
      <c r="E1957" t="inlineStr">
        <is>
          <t>青葉商事株式会社</t>
        </is>
      </c>
      <c r="F1957" t="inlineStr">
        <is>
          <t>大阪府</t>
        </is>
      </c>
      <c r="G1957" t="inlineStr">
        <is>
          <t>消耗品</t>
        </is>
      </c>
      <c r="H1957" t="inlineStr">
        <is>
          <t>ラベルロール</t>
        </is>
      </c>
      <c r="I1957" s="4" t="n">
        <v>11</v>
      </c>
      <c r="J1957" s="4" t="n">
        <v>6220</v>
      </c>
      <c r="K1957" s="4">
        <f>I1957*J1957</f>
        <v/>
      </c>
      <c r="L1957" t="inlineStr">
        <is>
          <t>分納</t>
        </is>
      </c>
    </row>
    <row r="1958">
      <c r="A1958" t="inlineStr">
        <is>
          <t>SR082</t>
        </is>
      </c>
      <c r="B1958" t="inlineStr">
        <is>
          <t>営業担当082</t>
        </is>
      </c>
      <c r="C1958" t="inlineStr">
        <is>
          <t>第2営業部</t>
        </is>
      </c>
      <c r="D1958" s="3" t="n">
        <v>45892</v>
      </c>
      <c r="E1958" t="inlineStr">
        <is>
          <t>グリーンテック有限会社</t>
        </is>
      </c>
      <c r="F1958" t="inlineStr">
        <is>
          <t>東京都</t>
        </is>
      </c>
      <c r="G1958" t="inlineStr">
        <is>
          <t>保守サービス</t>
        </is>
      </c>
      <c r="H1958" t="inlineStr">
        <is>
          <t>オンサイト保守</t>
        </is>
      </c>
      <c r="I1958" s="4" t="n">
        <v>4</v>
      </c>
      <c r="J1958" s="4" t="n">
        <v>97500</v>
      </c>
      <c r="K1958" s="4">
        <f>I1958*J1958</f>
        <v/>
      </c>
      <c r="L1958" t="inlineStr">
        <is>
          <t>分納</t>
        </is>
      </c>
    </row>
    <row r="1959">
      <c r="A1959" t="inlineStr">
        <is>
          <t>SR082</t>
        </is>
      </c>
      <c r="B1959" t="inlineStr">
        <is>
          <t>営業担当082</t>
        </is>
      </c>
      <c r="C1959" t="inlineStr">
        <is>
          <t>第2営業部</t>
        </is>
      </c>
      <c r="D1959" s="3" t="n">
        <v>45921</v>
      </c>
      <c r="E1959" t="inlineStr">
        <is>
          <t>オーシャン製作所(株)</t>
        </is>
      </c>
      <c r="F1959" t="inlineStr">
        <is>
          <t>京都府</t>
        </is>
      </c>
      <c r="G1959" t="inlineStr">
        <is>
          <t>消耗品</t>
        </is>
      </c>
      <c r="H1959" t="inlineStr">
        <is>
          <t>保守用バッテリー</t>
        </is>
      </c>
      <c r="I1959" s="4" t="n">
        <v>15</v>
      </c>
      <c r="J1959" s="4" t="n">
        <v>12110</v>
      </c>
      <c r="K1959" s="4">
        <f>I1959*J1959</f>
        <v/>
      </c>
      <c r="L1959" t="inlineStr">
        <is>
          <t>分納</t>
        </is>
      </c>
    </row>
    <row r="1960">
      <c r="A1960" t="inlineStr">
        <is>
          <t>SR082</t>
        </is>
      </c>
      <c r="B1960" t="inlineStr">
        <is>
          <t>営業担当082</t>
        </is>
      </c>
      <c r="C1960" t="inlineStr">
        <is>
          <t>第2営業部</t>
        </is>
      </c>
      <c r="D1960" s="3" t="n">
        <v>45922</v>
      </c>
      <c r="E1960" t="inlineStr">
        <is>
          <t>九州エナジー(株)</t>
        </is>
      </c>
      <c r="F1960" t="inlineStr">
        <is>
          <t>京都府</t>
        </is>
      </c>
      <c r="G1960" t="inlineStr">
        <is>
          <t>保守サービス</t>
        </is>
      </c>
      <c r="H1960" t="inlineStr">
        <is>
          <t>オンサイト保守</t>
        </is>
      </c>
      <c r="I1960" s="4" t="n">
        <v>1</v>
      </c>
      <c r="J1960" s="4" t="n">
        <v>174400</v>
      </c>
      <c r="K1960" s="4">
        <f>I1960*J1960</f>
        <v/>
      </c>
      <c r="L1960" t="inlineStr"/>
    </row>
    <row r="1961">
      <c r="A1961" t="inlineStr">
        <is>
          <t>SR082</t>
        </is>
      </c>
      <c r="B1961" t="inlineStr">
        <is>
          <t>営業担当082</t>
        </is>
      </c>
      <c r="C1961" t="inlineStr">
        <is>
          <t>第2営業部</t>
        </is>
      </c>
      <c r="D1961" s="3" t="n">
        <v>45947</v>
      </c>
      <c r="E1961" t="inlineStr">
        <is>
          <t>ネクストソリューション(株)</t>
        </is>
      </c>
      <c r="F1961" t="inlineStr">
        <is>
          <t>兵庫県</t>
        </is>
      </c>
      <c r="G1961" t="inlineStr">
        <is>
          <t>消耗品</t>
        </is>
      </c>
      <c r="H1961" t="inlineStr">
        <is>
          <t>交換用ヘッド</t>
        </is>
      </c>
      <c r="I1961" s="4" t="n">
        <v>10</v>
      </c>
      <c r="J1961" s="4" t="n">
        <v>36540</v>
      </c>
      <c r="K1961" s="4">
        <f>I1961*J1961</f>
        <v/>
      </c>
      <c r="L1961" t="inlineStr"/>
    </row>
    <row r="1962">
      <c r="A1962" t="inlineStr">
        <is>
          <t>SR082</t>
        </is>
      </c>
      <c r="B1962" t="inlineStr">
        <is>
          <t>営業担当082</t>
        </is>
      </c>
      <c r="C1962" t="inlineStr">
        <is>
          <t>第2営業部</t>
        </is>
      </c>
      <c r="D1962" s="3" t="n">
        <v>45949</v>
      </c>
      <c r="E1962" t="inlineStr">
        <is>
          <t>アーク電機株式会社</t>
        </is>
      </c>
      <c r="F1962" t="inlineStr">
        <is>
          <t>京都府</t>
        </is>
      </c>
      <c r="G1962" t="inlineStr">
        <is>
          <t>ソフトウェア</t>
        </is>
      </c>
      <c r="H1962" t="inlineStr">
        <is>
          <t>営業支援SaaS</t>
        </is>
      </c>
      <c r="I1962" s="4" t="n">
        <v>2</v>
      </c>
      <c r="J1962" s="4" t="n">
        <v>180300</v>
      </c>
      <c r="K1962" s="4">
        <f>I1962*J1962</f>
        <v/>
      </c>
      <c r="L1962" t="inlineStr">
        <is>
          <t>リピート受注</t>
        </is>
      </c>
    </row>
    <row r="1963">
      <c r="A1963" t="inlineStr">
        <is>
          <t>SR082</t>
        </is>
      </c>
      <c r="B1963" t="inlineStr">
        <is>
          <t>営業担当082</t>
        </is>
      </c>
      <c r="C1963" t="inlineStr">
        <is>
          <t>第2営業部</t>
        </is>
      </c>
      <c r="D1963" s="3" t="n">
        <v>45966</v>
      </c>
      <c r="E1963" t="inlineStr">
        <is>
          <t>日新サービス株式会社</t>
        </is>
      </c>
      <c r="F1963" t="inlineStr">
        <is>
          <t>北海道</t>
        </is>
      </c>
      <c r="G1963" t="inlineStr">
        <is>
          <t>ソフトウェア</t>
        </is>
      </c>
      <c r="H1963" t="inlineStr">
        <is>
          <t>在庫管理クラウド</t>
        </is>
      </c>
      <c r="I1963" s="4" t="n">
        <v>1</v>
      </c>
      <c r="J1963" s="4" t="n">
        <v>394800</v>
      </c>
      <c r="K1963" s="4">
        <f>I1963*J1963</f>
        <v/>
      </c>
      <c r="L1963" t="inlineStr">
        <is>
          <t>リピート受注</t>
        </is>
      </c>
    </row>
    <row r="1964">
      <c r="A1964" t="inlineStr">
        <is>
          <t>SR082</t>
        </is>
      </c>
      <c r="B1964" t="inlineStr">
        <is>
          <t>営業担当082</t>
        </is>
      </c>
      <c r="C1964" t="inlineStr">
        <is>
          <t>第2営業部</t>
        </is>
      </c>
      <c r="D1964" s="3" t="n">
        <v>45977</v>
      </c>
      <c r="E1964" t="inlineStr">
        <is>
          <t>オーシャン製作所株式会社</t>
        </is>
      </c>
      <c r="F1964" t="inlineStr">
        <is>
          <t>広島県</t>
        </is>
      </c>
      <c r="G1964" t="inlineStr">
        <is>
          <t>保守サービス</t>
        </is>
      </c>
      <c r="H1964" t="inlineStr">
        <is>
          <t>ヘルプデスク契約</t>
        </is>
      </c>
      <c r="I1964" s="4" t="n">
        <v>5</v>
      </c>
      <c r="J1964" s="4" t="n">
        <v>99100</v>
      </c>
      <c r="K1964" s="4">
        <f>I1964*J1964</f>
        <v/>
      </c>
      <c r="L1964" t="inlineStr"/>
    </row>
    <row r="1965">
      <c r="A1965" t="inlineStr">
        <is>
          <t>SR082</t>
        </is>
      </c>
      <c r="B1965" t="inlineStr">
        <is>
          <t>営業担当082</t>
        </is>
      </c>
      <c r="C1965" t="inlineStr">
        <is>
          <t>第2営業部</t>
        </is>
      </c>
      <c r="D1965" s="3" t="n">
        <v>46000</v>
      </c>
      <c r="E1965" t="inlineStr">
        <is>
          <t>未来通信(株)</t>
        </is>
      </c>
      <c r="F1965" t="inlineStr">
        <is>
          <t>神奈川県</t>
        </is>
      </c>
      <c r="G1965" t="inlineStr">
        <is>
          <t>消耗品</t>
        </is>
      </c>
      <c r="H1965" t="inlineStr">
        <is>
          <t>交換用ヘッド</t>
        </is>
      </c>
      <c r="I1965" s="4" t="n">
        <v>4</v>
      </c>
      <c r="J1965" s="4" t="n">
        <v>24820</v>
      </c>
      <c r="K1965" s="4">
        <f>I1965*J1965</f>
        <v/>
      </c>
      <c r="L1965" t="inlineStr">
        <is>
          <t>新規開拓</t>
        </is>
      </c>
    </row>
    <row r="1966">
      <c r="A1966" t="inlineStr">
        <is>
          <t>SR082</t>
        </is>
      </c>
      <c r="B1966" t="inlineStr">
        <is>
          <t>営業担当082</t>
        </is>
      </c>
      <c r="C1966" t="inlineStr">
        <is>
          <t>第2営業部</t>
        </is>
      </c>
      <c r="D1966" s="3" t="n">
        <v>46010</v>
      </c>
      <c r="E1966" t="inlineStr">
        <is>
          <t>大和精機株式会社</t>
        </is>
      </c>
      <c r="F1966" t="inlineStr">
        <is>
          <t>神奈川県</t>
        </is>
      </c>
      <c r="G1966" t="inlineStr">
        <is>
          <t>ハードウェア</t>
        </is>
      </c>
      <c r="H1966" t="inlineStr">
        <is>
          <t>ラベルプリンター</t>
        </is>
      </c>
      <c r="I1966" s="4" t="n">
        <v>2</v>
      </c>
      <c r="J1966" s="4" t="n">
        <v>82000</v>
      </c>
      <c r="K1966" s="4">
        <f>I1966*J1966</f>
        <v/>
      </c>
      <c r="L1966" t="inlineStr">
        <is>
          <t>分納</t>
        </is>
      </c>
    </row>
    <row r="1967">
      <c r="A1967" t="inlineStr">
        <is>
          <t>SR082</t>
        </is>
      </c>
      <c r="B1967" t="inlineStr">
        <is>
          <t>営業担当082</t>
        </is>
      </c>
      <c r="C1967" t="inlineStr">
        <is>
          <t>第2営業部</t>
        </is>
      </c>
      <c r="D1967" s="3" t="n">
        <v>46030</v>
      </c>
      <c r="E1967" t="inlineStr">
        <is>
          <t>星和商会株式会社</t>
        </is>
      </c>
      <c r="F1967" t="inlineStr">
        <is>
          <t>北海道</t>
        </is>
      </c>
      <c r="G1967" t="inlineStr">
        <is>
          <t>保守サービス</t>
        </is>
      </c>
      <c r="H1967" t="inlineStr">
        <is>
          <t>年間保守契約</t>
        </is>
      </c>
      <c r="I1967" s="4" t="n">
        <v>3</v>
      </c>
      <c r="J1967" s="4" t="n">
        <v>272000</v>
      </c>
      <c r="K1967" s="4">
        <f>I1967*J1967</f>
        <v/>
      </c>
      <c r="L1967" t="inlineStr">
        <is>
          <t>キャンペーン適用</t>
        </is>
      </c>
    </row>
    <row r="1968">
      <c r="A1968" t="inlineStr">
        <is>
          <t>SR082</t>
        </is>
      </c>
      <c r="B1968" t="inlineStr">
        <is>
          <t>営業担当082</t>
        </is>
      </c>
      <c r="C1968" t="inlineStr">
        <is>
          <t>第2営業部</t>
        </is>
      </c>
      <c r="D1968" s="3" t="n">
        <v>46048</v>
      </c>
      <c r="E1968" t="inlineStr">
        <is>
          <t>東洋フーズ株式会社</t>
        </is>
      </c>
      <c r="F1968" t="inlineStr">
        <is>
          <t>広島県</t>
        </is>
      </c>
      <c r="G1968" t="inlineStr">
        <is>
          <t>導入支援</t>
        </is>
      </c>
      <c r="H1968" t="inlineStr">
        <is>
          <t>データ移行支援</t>
        </is>
      </c>
      <c r="I1968" s="4" t="n">
        <v>2</v>
      </c>
      <c r="J1968" s="4" t="n">
        <v>120500</v>
      </c>
      <c r="K1968" s="4">
        <f>I1968*J1968</f>
        <v/>
      </c>
      <c r="L1968" t="inlineStr"/>
    </row>
    <row r="1969">
      <c r="A1969" t="inlineStr">
        <is>
          <t>SR082</t>
        </is>
      </c>
      <c r="B1969" t="inlineStr">
        <is>
          <t>営業担当082</t>
        </is>
      </c>
      <c r="C1969" t="inlineStr">
        <is>
          <t>第2営業部</t>
        </is>
      </c>
      <c r="D1969" s="3" t="n">
        <v>46062</v>
      </c>
      <c r="E1969" t="inlineStr">
        <is>
          <t>未来通信有限会社</t>
        </is>
      </c>
      <c r="F1969" t="inlineStr">
        <is>
          <t>宮城県</t>
        </is>
      </c>
      <c r="G1969" t="inlineStr">
        <is>
          <t>ハードウェア</t>
        </is>
      </c>
      <c r="H1969" t="inlineStr">
        <is>
          <t>小型ハンディ端末</t>
        </is>
      </c>
      <c r="I1969" s="4" t="n">
        <v>3</v>
      </c>
      <c r="J1969" s="4" t="n">
        <v>64400</v>
      </c>
      <c r="K1969" s="4">
        <f>I1969*J1969</f>
        <v/>
      </c>
      <c r="L1969" t="inlineStr">
        <is>
          <t>新規開拓</t>
        </is>
      </c>
    </row>
    <row r="1970">
      <c r="A1970" t="inlineStr">
        <is>
          <t>SR082</t>
        </is>
      </c>
      <c r="B1970" t="inlineStr">
        <is>
          <t>営業担当082</t>
        </is>
      </c>
      <c r="C1970" t="inlineStr">
        <is>
          <t>第2営業部</t>
        </is>
      </c>
      <c r="D1970" s="3" t="n">
        <v>46066</v>
      </c>
      <c r="E1970" t="inlineStr">
        <is>
          <t>九州エナジー有限会社</t>
        </is>
      </c>
      <c r="F1970" t="inlineStr">
        <is>
          <t>京都府</t>
        </is>
      </c>
      <c r="G1970" t="inlineStr">
        <is>
          <t>ソフトウェア</t>
        </is>
      </c>
      <c r="H1970" t="inlineStr">
        <is>
          <t>営業支援SaaS</t>
        </is>
      </c>
      <c r="I1970" s="4" t="n">
        <v>2</v>
      </c>
      <c r="J1970" s="4" t="n">
        <v>328800</v>
      </c>
      <c r="K1970" s="4">
        <f>I1970*J1970</f>
        <v/>
      </c>
      <c r="L1970" t="inlineStr"/>
    </row>
    <row r="1971">
      <c r="A1971" t="inlineStr">
        <is>
          <t>SR082</t>
        </is>
      </c>
      <c r="B1971" t="inlineStr">
        <is>
          <t>営業担当082</t>
        </is>
      </c>
      <c r="C1971" t="inlineStr">
        <is>
          <t>第2営業部</t>
        </is>
      </c>
      <c r="D1971" s="3" t="n">
        <v>46104</v>
      </c>
      <c r="E1971" t="inlineStr">
        <is>
          <t>九州エナジー有限会社</t>
        </is>
      </c>
      <c r="F1971" t="inlineStr">
        <is>
          <t>北海道</t>
        </is>
      </c>
      <c r="G1971" t="inlineStr">
        <is>
          <t>ハードウェア</t>
        </is>
      </c>
      <c r="H1971" t="inlineStr">
        <is>
          <t>ネットワークカメラ</t>
        </is>
      </c>
      <c r="I1971" s="4" t="n">
        <v>5</v>
      </c>
      <c r="J1971" s="4" t="n">
        <v>41700</v>
      </c>
      <c r="K1971" s="4">
        <f>I1971*J1971</f>
        <v/>
      </c>
      <c r="L1971" t="inlineStr"/>
    </row>
    <row r="1972">
      <c r="A1972" t="inlineStr">
        <is>
          <t>SR082</t>
        </is>
      </c>
      <c r="B1972" t="inlineStr">
        <is>
          <t>営業担当082</t>
        </is>
      </c>
      <c r="C1972" t="inlineStr">
        <is>
          <t>第2営業部</t>
        </is>
      </c>
      <c r="D1972" s="3" t="n">
        <v>46109</v>
      </c>
      <c r="E1972" t="inlineStr">
        <is>
          <t>みらい物流(株)</t>
        </is>
      </c>
      <c r="F1972" t="inlineStr">
        <is>
          <t>京都府</t>
        </is>
      </c>
      <c r="G1972" t="inlineStr">
        <is>
          <t>ソフトウェア</t>
        </is>
      </c>
      <c r="H1972" t="inlineStr">
        <is>
          <t>営業支援SaaS</t>
        </is>
      </c>
      <c r="I1972" s="4" t="n">
        <v>2</v>
      </c>
      <c r="J1972" s="4" t="n">
        <v>289300</v>
      </c>
      <c r="K1972" s="4">
        <f>I1972*J1972</f>
        <v/>
      </c>
      <c r="L1972" t="inlineStr">
        <is>
          <t>新規開拓</t>
        </is>
      </c>
    </row>
    <row r="1973">
      <c r="A1973" t="inlineStr">
        <is>
          <t>SR083</t>
        </is>
      </c>
      <c r="B1973" t="inlineStr">
        <is>
          <t>営業担当083</t>
        </is>
      </c>
      <c r="C1973" t="inlineStr">
        <is>
          <t>第3営業部</t>
        </is>
      </c>
      <c r="D1973" s="3" t="n">
        <v>45751</v>
      </c>
      <c r="E1973" t="inlineStr">
        <is>
          <t>中央設備株式会社</t>
        </is>
      </c>
      <c r="F1973" t="inlineStr">
        <is>
          <t>宮城県</t>
        </is>
      </c>
      <c r="G1973" t="inlineStr">
        <is>
          <t>ハードウェア</t>
        </is>
      </c>
      <c r="H1973" t="inlineStr">
        <is>
          <t>小型ハンディ端末</t>
        </is>
      </c>
      <c r="I1973" s="4" t="n">
        <v>4</v>
      </c>
      <c r="J1973" s="4" t="n">
        <v>61900</v>
      </c>
      <c r="K1973" s="4">
        <f>I1973*J1973</f>
        <v/>
      </c>
      <c r="L1973" t="inlineStr"/>
    </row>
    <row r="1974">
      <c r="A1974" t="inlineStr">
        <is>
          <t>SR083</t>
        </is>
      </c>
      <c r="B1974" t="inlineStr">
        <is>
          <t>営業担当083</t>
        </is>
      </c>
      <c r="C1974" t="inlineStr">
        <is>
          <t>第3営業部</t>
        </is>
      </c>
      <c r="D1974" s="3" t="n">
        <v>45771</v>
      </c>
      <c r="E1974" t="inlineStr">
        <is>
          <t>サンライズ建設有限会社</t>
        </is>
      </c>
      <c r="F1974" t="inlineStr">
        <is>
          <t>愛知県</t>
        </is>
      </c>
      <c r="G1974" t="inlineStr">
        <is>
          <t>ハードウェア</t>
        </is>
      </c>
      <c r="H1974" t="inlineStr">
        <is>
          <t>ラベルプリンター</t>
        </is>
      </c>
      <c r="I1974" s="4" t="n">
        <v>2</v>
      </c>
      <c r="J1974" s="4" t="n">
        <v>83400</v>
      </c>
      <c r="K1974" s="4">
        <f>I1974*J1974</f>
        <v/>
      </c>
      <c r="L1974" t="inlineStr">
        <is>
          <t>分納</t>
        </is>
      </c>
    </row>
    <row r="1975">
      <c r="A1975" t="inlineStr">
        <is>
          <t>SR083</t>
        </is>
      </c>
      <c r="B1975" t="inlineStr">
        <is>
          <t>営業担当083</t>
        </is>
      </c>
      <c r="C1975" t="inlineStr">
        <is>
          <t>第3営業部</t>
        </is>
      </c>
      <c r="D1975" s="3" t="n">
        <v>45785</v>
      </c>
      <c r="E1975" t="inlineStr">
        <is>
          <t>未来通信株式会社</t>
        </is>
      </c>
      <c r="F1975" t="inlineStr">
        <is>
          <t>東京都</t>
        </is>
      </c>
      <c r="G1975" t="inlineStr">
        <is>
          <t>ハードウェア</t>
        </is>
      </c>
      <c r="H1975" t="inlineStr">
        <is>
          <t>ラベルプリンター</t>
        </is>
      </c>
      <c r="I1975" s="4" t="n">
        <v>4</v>
      </c>
      <c r="J1975" s="4" t="n">
        <v>67600</v>
      </c>
      <c r="K1975" s="4">
        <f>I1975*J1975</f>
        <v/>
      </c>
      <c r="L1975" t="inlineStr">
        <is>
          <t>キャンペーン適用</t>
        </is>
      </c>
    </row>
    <row r="1976">
      <c r="A1976" t="inlineStr">
        <is>
          <t>SR083</t>
        </is>
      </c>
      <c r="B1976" t="inlineStr">
        <is>
          <t>営業担当083</t>
        </is>
      </c>
      <c r="C1976" t="inlineStr">
        <is>
          <t>第3営業部</t>
        </is>
      </c>
      <c r="D1976" s="3" t="n">
        <v>45789</v>
      </c>
      <c r="E1976" t="inlineStr">
        <is>
          <t>桜井メディカル(株)</t>
        </is>
      </c>
      <c r="F1976" t="inlineStr">
        <is>
          <t>広島県</t>
        </is>
      </c>
      <c r="G1976" t="inlineStr">
        <is>
          <t>保守サービス</t>
        </is>
      </c>
      <c r="H1976" t="inlineStr">
        <is>
          <t>ヘルプデスク契約</t>
        </is>
      </c>
      <c r="I1976" s="4" t="n">
        <v>4</v>
      </c>
      <c r="J1976" s="4" t="n">
        <v>91000</v>
      </c>
      <c r="K1976" s="4">
        <f>I1976*J1976</f>
        <v/>
      </c>
      <c r="L1976" t="inlineStr">
        <is>
          <t>新規開拓</t>
        </is>
      </c>
    </row>
    <row r="1977">
      <c r="A1977" t="inlineStr">
        <is>
          <t>SR083</t>
        </is>
      </c>
      <c r="B1977" t="inlineStr">
        <is>
          <t>営業担当083</t>
        </is>
      </c>
      <c r="C1977" t="inlineStr">
        <is>
          <t>第3営業部</t>
        </is>
      </c>
      <c r="D1977" s="3" t="n">
        <v>45813</v>
      </c>
      <c r="E1977" t="inlineStr">
        <is>
          <t>未来通信有限会社</t>
        </is>
      </c>
      <c r="F1977" t="inlineStr">
        <is>
          <t>大阪府</t>
        </is>
      </c>
      <c r="G1977" t="inlineStr">
        <is>
          <t>保守サービス</t>
        </is>
      </c>
      <c r="H1977" t="inlineStr">
        <is>
          <t>年間保守契約</t>
        </is>
      </c>
      <c r="I1977" s="4" t="n">
        <v>4</v>
      </c>
      <c r="J1977" s="4" t="n">
        <v>285500</v>
      </c>
      <c r="K1977" s="4">
        <f>I1977*J1977</f>
        <v/>
      </c>
      <c r="L1977" t="inlineStr">
        <is>
          <t>キャンペーン適用</t>
        </is>
      </c>
    </row>
    <row r="1978">
      <c r="A1978" t="inlineStr">
        <is>
          <t>SR083</t>
        </is>
      </c>
      <c r="B1978" t="inlineStr">
        <is>
          <t>営業担当083</t>
        </is>
      </c>
      <c r="C1978" t="inlineStr">
        <is>
          <t>第3営業部</t>
        </is>
      </c>
      <c r="D1978" s="3" t="n">
        <v>45823</v>
      </c>
      <c r="E1978" t="inlineStr">
        <is>
          <t>東洋フーズ株式会社</t>
        </is>
      </c>
      <c r="F1978" t="inlineStr">
        <is>
          <t>大阪府</t>
        </is>
      </c>
      <c r="G1978" t="inlineStr">
        <is>
          <t>ソフトウェア</t>
        </is>
      </c>
      <c r="H1978" t="inlineStr">
        <is>
          <t>AIチャットボット</t>
        </is>
      </c>
      <c r="I1978" s="4" t="n">
        <v>4</v>
      </c>
      <c r="J1978" s="4" t="n">
        <v>612500</v>
      </c>
      <c r="K1978" s="4">
        <f>I1978*J1978</f>
        <v/>
      </c>
      <c r="L1978" t="inlineStr"/>
    </row>
    <row r="1979">
      <c r="A1979" t="inlineStr">
        <is>
          <t>SR083</t>
        </is>
      </c>
      <c r="B1979" t="inlineStr">
        <is>
          <t>営業担当083</t>
        </is>
      </c>
      <c r="C1979" t="inlineStr">
        <is>
          <t>第3営業部</t>
        </is>
      </c>
      <c r="D1979" s="3" t="n">
        <v>45839</v>
      </c>
      <c r="E1979" t="inlineStr">
        <is>
          <t>みらい物流株式会社</t>
        </is>
      </c>
      <c r="F1979" t="inlineStr">
        <is>
          <t>神奈川県</t>
        </is>
      </c>
      <c r="G1979" t="inlineStr">
        <is>
          <t>導入支援</t>
        </is>
      </c>
      <c r="H1979" t="inlineStr">
        <is>
          <t>データ移行支援</t>
        </is>
      </c>
      <c r="I1979" s="4" t="n">
        <v>5</v>
      </c>
      <c r="J1979" s="4" t="n">
        <v>319000</v>
      </c>
      <c r="K1979" s="4">
        <f>I1979*J1979</f>
        <v/>
      </c>
      <c r="L1979" t="inlineStr">
        <is>
          <t>リピート受注</t>
        </is>
      </c>
    </row>
    <row r="1980">
      <c r="A1980" t="inlineStr">
        <is>
          <t>SR083</t>
        </is>
      </c>
      <c r="B1980" t="inlineStr">
        <is>
          <t>営業担当083</t>
        </is>
      </c>
      <c r="C1980" t="inlineStr">
        <is>
          <t>第3営業部</t>
        </is>
      </c>
      <c r="D1980" s="3" t="n">
        <v>45862</v>
      </c>
      <c r="E1980" t="inlineStr">
        <is>
          <t>日新サービス有限会社</t>
        </is>
      </c>
      <c r="F1980" t="inlineStr">
        <is>
          <t>宮城県</t>
        </is>
      </c>
      <c r="G1980" t="inlineStr">
        <is>
          <t>ソフトウェア</t>
        </is>
      </c>
      <c r="H1980" t="inlineStr">
        <is>
          <t>帳票自動化ツール</t>
        </is>
      </c>
      <c r="I1980" s="4" t="n">
        <v>2</v>
      </c>
      <c r="J1980" s="4" t="n">
        <v>351300</v>
      </c>
      <c r="K1980" s="4">
        <f>I1980*J1980</f>
        <v/>
      </c>
      <c r="L1980" t="inlineStr">
        <is>
          <t>キャンペーン適用</t>
        </is>
      </c>
    </row>
    <row r="1981">
      <c r="A1981" t="inlineStr">
        <is>
          <t>SR083</t>
        </is>
      </c>
      <c r="B1981" t="inlineStr">
        <is>
          <t>営業担当083</t>
        </is>
      </c>
      <c r="C1981" t="inlineStr">
        <is>
          <t>第3営業部</t>
        </is>
      </c>
      <c r="D1981" s="3" t="n">
        <v>45886</v>
      </c>
      <c r="E1981" t="inlineStr">
        <is>
          <t>星和商会(株)</t>
        </is>
      </c>
      <c r="F1981" t="inlineStr">
        <is>
          <t>愛知県</t>
        </is>
      </c>
      <c r="G1981" t="inlineStr">
        <is>
          <t>保守サービス</t>
        </is>
      </c>
      <c r="H1981" t="inlineStr">
        <is>
          <t>年間保守契約</t>
        </is>
      </c>
      <c r="I1981" s="4" t="n">
        <v>4</v>
      </c>
      <c r="J1981" s="4" t="n">
        <v>260500</v>
      </c>
      <c r="K1981" s="4">
        <f>I1981*J1981</f>
        <v/>
      </c>
      <c r="L1981" t="inlineStr"/>
    </row>
    <row r="1982">
      <c r="A1982" t="inlineStr">
        <is>
          <t>SR083</t>
        </is>
      </c>
      <c r="B1982" t="inlineStr">
        <is>
          <t>営業担当083</t>
        </is>
      </c>
      <c r="C1982" t="inlineStr">
        <is>
          <t>第3営業部</t>
        </is>
      </c>
      <c r="D1982" s="3" t="n">
        <v>45895</v>
      </c>
      <c r="E1982" t="inlineStr">
        <is>
          <t>大和精機(株)</t>
        </is>
      </c>
      <c r="F1982" t="inlineStr">
        <is>
          <t>北海道</t>
        </is>
      </c>
      <c r="G1982" t="inlineStr">
        <is>
          <t>ソフトウェア</t>
        </is>
      </c>
      <c r="H1982" t="inlineStr">
        <is>
          <t>AIチャットボット</t>
        </is>
      </c>
      <c r="I1982" s="4" t="n">
        <v>5</v>
      </c>
      <c r="J1982" s="4" t="n">
        <v>754300</v>
      </c>
      <c r="K1982" s="4">
        <f>I1982*J1982</f>
        <v/>
      </c>
      <c r="L1982" t="inlineStr">
        <is>
          <t>キャンペーン適用</t>
        </is>
      </c>
    </row>
    <row r="1983">
      <c r="A1983" t="inlineStr">
        <is>
          <t>SR083</t>
        </is>
      </c>
      <c r="B1983" t="inlineStr">
        <is>
          <t>営業担当083</t>
        </is>
      </c>
      <c r="C1983" t="inlineStr">
        <is>
          <t>第3営業部</t>
        </is>
      </c>
      <c r="D1983" s="3" t="n">
        <v>45916</v>
      </c>
      <c r="E1983" t="inlineStr">
        <is>
          <t>アーク電機(株)</t>
        </is>
      </c>
      <c r="F1983" t="inlineStr">
        <is>
          <t>北海道</t>
        </is>
      </c>
      <c r="G1983" t="inlineStr">
        <is>
          <t>ソフトウェア</t>
        </is>
      </c>
      <c r="H1983" t="inlineStr">
        <is>
          <t>営業支援SaaS</t>
        </is>
      </c>
      <c r="I1983" s="4" t="n">
        <v>2</v>
      </c>
      <c r="J1983" s="4" t="n">
        <v>170300</v>
      </c>
      <c r="K1983" s="4">
        <f>I1983*J1983</f>
        <v/>
      </c>
      <c r="L1983" t="inlineStr">
        <is>
          <t>新規開拓</t>
        </is>
      </c>
    </row>
    <row r="1984">
      <c r="A1984" t="inlineStr">
        <is>
          <t>SR083</t>
        </is>
      </c>
      <c r="B1984" t="inlineStr">
        <is>
          <t>営業担当083</t>
        </is>
      </c>
      <c r="C1984" t="inlineStr">
        <is>
          <t>第3営業部</t>
        </is>
      </c>
      <c r="D1984" s="3" t="n">
        <v>45927</v>
      </c>
      <c r="E1984" t="inlineStr">
        <is>
          <t>白峰化学有限会社</t>
        </is>
      </c>
      <c r="F1984" t="inlineStr">
        <is>
          <t>愛知県</t>
        </is>
      </c>
      <c r="G1984" t="inlineStr">
        <is>
          <t>保守サービス</t>
        </is>
      </c>
      <c r="H1984" t="inlineStr">
        <is>
          <t>年間保守契約</t>
        </is>
      </c>
      <c r="I1984" s="4" t="n">
        <v>1</v>
      </c>
      <c r="J1984" s="4" t="n">
        <v>214600</v>
      </c>
      <c r="K1984" s="4">
        <f>I1984*J1984</f>
        <v/>
      </c>
      <c r="L1984" t="inlineStr"/>
    </row>
    <row r="1985">
      <c r="A1985" t="inlineStr">
        <is>
          <t>SR083</t>
        </is>
      </c>
      <c r="B1985" t="inlineStr">
        <is>
          <t>営業担当083</t>
        </is>
      </c>
      <c r="C1985" t="inlineStr">
        <is>
          <t>第3営業部</t>
        </is>
      </c>
      <c r="D1985" s="3" t="n">
        <v>45955</v>
      </c>
      <c r="E1985" t="inlineStr">
        <is>
          <t>北斗産業株式会社</t>
        </is>
      </c>
      <c r="F1985" t="inlineStr">
        <is>
          <t>大阪府</t>
        </is>
      </c>
      <c r="G1985" t="inlineStr">
        <is>
          <t>保守サービス</t>
        </is>
      </c>
      <c r="H1985" t="inlineStr">
        <is>
          <t>年間保守契約</t>
        </is>
      </c>
      <c r="I1985" s="4" t="n">
        <v>5</v>
      </c>
      <c r="J1985" s="4" t="n">
        <v>279200</v>
      </c>
      <c r="K1985" s="4">
        <f>I1985*J1985</f>
        <v/>
      </c>
      <c r="L1985" t="inlineStr">
        <is>
          <t>リピート受注</t>
        </is>
      </c>
    </row>
    <row r="1986">
      <c r="A1986" t="inlineStr">
        <is>
          <t>SR083</t>
        </is>
      </c>
      <c r="B1986" t="inlineStr">
        <is>
          <t>営業担当083</t>
        </is>
      </c>
      <c r="C1986" t="inlineStr">
        <is>
          <t>第3営業部</t>
        </is>
      </c>
      <c r="D1986" s="3" t="n">
        <v>45956</v>
      </c>
      <c r="E1986" t="inlineStr">
        <is>
          <t>日新サービス株式会社</t>
        </is>
      </c>
      <c r="F1986" t="inlineStr">
        <is>
          <t>愛知県</t>
        </is>
      </c>
      <c r="G1986" t="inlineStr">
        <is>
          <t>保守サービス</t>
        </is>
      </c>
      <c r="H1986" t="inlineStr">
        <is>
          <t>オンサイト保守</t>
        </is>
      </c>
      <c r="I1986" s="4" t="n">
        <v>4</v>
      </c>
      <c r="J1986" s="4" t="n">
        <v>96100</v>
      </c>
      <c r="K1986" s="4">
        <f>I1986*J1986</f>
        <v/>
      </c>
      <c r="L1986" t="inlineStr">
        <is>
          <t>大型案件</t>
        </is>
      </c>
    </row>
    <row r="1987">
      <c r="A1987" t="inlineStr">
        <is>
          <t>SR083</t>
        </is>
      </c>
      <c r="B1987" t="inlineStr">
        <is>
          <t>営業担当083</t>
        </is>
      </c>
      <c r="C1987" t="inlineStr">
        <is>
          <t>第3営業部</t>
        </is>
      </c>
      <c r="D1987" s="3" t="n">
        <v>45966</v>
      </c>
      <c r="E1987" t="inlineStr">
        <is>
          <t>中央設備有限会社</t>
        </is>
      </c>
      <c r="F1987" t="inlineStr">
        <is>
          <t>宮城県</t>
        </is>
      </c>
      <c r="G1987" t="inlineStr">
        <is>
          <t>ハードウェア</t>
        </is>
      </c>
      <c r="H1987" t="inlineStr">
        <is>
          <t>産業用タブレット</t>
        </is>
      </c>
      <c r="I1987" s="4" t="n">
        <v>5</v>
      </c>
      <c r="J1987" s="4" t="n">
        <v>74100</v>
      </c>
      <c r="K1987" s="4">
        <f>I1987*J1987</f>
        <v/>
      </c>
      <c r="L1987" t="inlineStr"/>
    </row>
    <row r="1988">
      <c r="A1988" t="inlineStr">
        <is>
          <t>SR083</t>
        </is>
      </c>
      <c r="B1988" t="inlineStr">
        <is>
          <t>営業担当083</t>
        </is>
      </c>
      <c r="C1988" t="inlineStr">
        <is>
          <t>第3営業部</t>
        </is>
      </c>
      <c r="D1988" s="3" t="n">
        <v>45984</v>
      </c>
      <c r="E1988" t="inlineStr">
        <is>
          <t>サンライズ建設株式会社</t>
        </is>
      </c>
      <c r="F1988" t="inlineStr">
        <is>
          <t>宮城県</t>
        </is>
      </c>
      <c r="G1988" t="inlineStr">
        <is>
          <t>消耗品</t>
        </is>
      </c>
      <c r="H1988" t="inlineStr">
        <is>
          <t>保守用バッテリー</t>
        </is>
      </c>
      <c r="I1988" s="4" t="n">
        <v>1</v>
      </c>
      <c r="J1988" s="4" t="n">
        <v>17330</v>
      </c>
      <c r="K1988" s="4">
        <f>I1988*J1988</f>
        <v/>
      </c>
      <c r="L1988" t="inlineStr">
        <is>
          <t>大型案件</t>
        </is>
      </c>
    </row>
    <row r="1989">
      <c r="A1989" t="inlineStr">
        <is>
          <t>SR083</t>
        </is>
      </c>
      <c r="B1989" t="inlineStr">
        <is>
          <t>営業担当083</t>
        </is>
      </c>
      <c r="C1989" t="inlineStr">
        <is>
          <t>第3営業部</t>
        </is>
      </c>
      <c r="D1989" s="3" t="n">
        <v>45995</v>
      </c>
      <c r="E1989" t="inlineStr">
        <is>
          <t>オーシャン製作所有限会社</t>
        </is>
      </c>
      <c r="F1989" t="inlineStr">
        <is>
          <t>神奈川県</t>
        </is>
      </c>
      <c r="G1989" t="inlineStr">
        <is>
          <t>保守サービス</t>
        </is>
      </c>
      <c r="H1989" t="inlineStr">
        <is>
          <t>オンサイト保守</t>
        </is>
      </c>
      <c r="I1989" s="4" t="n">
        <v>2</v>
      </c>
      <c r="J1989" s="4" t="n">
        <v>87200</v>
      </c>
      <c r="K1989" s="4">
        <f>I1989*J1989</f>
        <v/>
      </c>
      <c r="L1989" t="inlineStr">
        <is>
          <t>大型案件</t>
        </is>
      </c>
    </row>
    <row r="1990">
      <c r="A1990" t="inlineStr">
        <is>
          <t>SR083</t>
        </is>
      </c>
      <c r="B1990" t="inlineStr">
        <is>
          <t>営業担当083</t>
        </is>
      </c>
      <c r="C1990" t="inlineStr">
        <is>
          <t>第3営業部</t>
        </is>
      </c>
      <c r="D1990" s="3" t="n">
        <v>46012</v>
      </c>
      <c r="E1990" t="inlineStr">
        <is>
          <t>みらい物流(株)</t>
        </is>
      </c>
      <c r="F1990" t="inlineStr">
        <is>
          <t>東京都</t>
        </is>
      </c>
      <c r="G1990" t="inlineStr">
        <is>
          <t>導入支援</t>
        </is>
      </c>
      <c r="H1990" t="inlineStr">
        <is>
          <t>操作研修パック</t>
        </is>
      </c>
      <c r="I1990" s="4" t="n">
        <v>3</v>
      </c>
      <c r="J1990" s="4" t="n">
        <v>103600</v>
      </c>
      <c r="K1990" s="4">
        <f>I1990*J1990</f>
        <v/>
      </c>
      <c r="L1990" t="inlineStr">
        <is>
          <t>キャンペーン適用</t>
        </is>
      </c>
    </row>
    <row r="1991">
      <c r="A1991" t="inlineStr">
        <is>
          <t>SR083</t>
        </is>
      </c>
      <c r="B1991" t="inlineStr">
        <is>
          <t>営業担当083</t>
        </is>
      </c>
      <c r="C1991" t="inlineStr">
        <is>
          <t>第3営業部</t>
        </is>
      </c>
      <c r="D1991" s="3" t="n">
        <v>46023</v>
      </c>
      <c r="E1991" t="inlineStr">
        <is>
          <t>ネクストソリューション(株)</t>
        </is>
      </c>
      <c r="F1991" t="inlineStr">
        <is>
          <t>広島県</t>
        </is>
      </c>
      <c r="G1991" t="inlineStr">
        <is>
          <t>導入支援</t>
        </is>
      </c>
      <c r="H1991" t="inlineStr">
        <is>
          <t>初期設定支援</t>
        </is>
      </c>
      <c r="I1991" s="4" t="n">
        <v>4</v>
      </c>
      <c r="J1991" s="4" t="n">
        <v>102200</v>
      </c>
      <c r="K1991" s="4">
        <f>I1991*J1991</f>
        <v/>
      </c>
      <c r="L1991" t="inlineStr">
        <is>
          <t>新規開拓</t>
        </is>
      </c>
    </row>
    <row r="1992">
      <c r="A1992" t="inlineStr">
        <is>
          <t>SR083</t>
        </is>
      </c>
      <c r="B1992" t="inlineStr">
        <is>
          <t>営業担当083</t>
        </is>
      </c>
      <c r="C1992" t="inlineStr">
        <is>
          <t>第3営業部</t>
        </is>
      </c>
      <c r="D1992" s="3" t="n">
        <v>46042</v>
      </c>
      <c r="E1992" t="inlineStr">
        <is>
          <t>ライトホーム有限会社</t>
        </is>
      </c>
      <c r="F1992" t="inlineStr">
        <is>
          <t>神奈川県</t>
        </is>
      </c>
      <c r="G1992" t="inlineStr">
        <is>
          <t>消耗品</t>
        </is>
      </c>
      <c r="H1992" t="inlineStr">
        <is>
          <t>保守用バッテリー</t>
        </is>
      </c>
      <c r="I1992" s="4" t="n">
        <v>14</v>
      </c>
      <c r="J1992" s="4" t="n">
        <v>10640</v>
      </c>
      <c r="K1992" s="4">
        <f>I1992*J1992</f>
        <v/>
      </c>
      <c r="L1992" t="inlineStr"/>
    </row>
    <row r="1993">
      <c r="A1993" t="inlineStr">
        <is>
          <t>SR083</t>
        </is>
      </c>
      <c r="B1993" t="inlineStr">
        <is>
          <t>営業担当083</t>
        </is>
      </c>
      <c r="C1993" t="inlineStr">
        <is>
          <t>第3営業部</t>
        </is>
      </c>
      <c r="D1993" s="3" t="n">
        <v>46054</v>
      </c>
      <c r="E1993" t="inlineStr">
        <is>
          <t>九州エナジー有限会社</t>
        </is>
      </c>
      <c r="F1993" t="inlineStr">
        <is>
          <t>北海道</t>
        </is>
      </c>
      <c r="G1993" t="inlineStr">
        <is>
          <t>ハードウェア</t>
        </is>
      </c>
      <c r="H1993" t="inlineStr">
        <is>
          <t>小型ハンディ端末</t>
        </is>
      </c>
      <c r="I1993" s="4" t="n">
        <v>4</v>
      </c>
      <c r="J1993" s="4" t="n">
        <v>65800</v>
      </c>
      <c r="K1993" s="4">
        <f>I1993*J1993</f>
        <v/>
      </c>
      <c r="L1993" t="inlineStr">
        <is>
          <t>値引き調整あり</t>
        </is>
      </c>
    </row>
    <row r="1994">
      <c r="A1994" t="inlineStr">
        <is>
          <t>SR083</t>
        </is>
      </c>
      <c r="B1994" t="inlineStr">
        <is>
          <t>営業担当083</t>
        </is>
      </c>
      <c r="C1994" t="inlineStr">
        <is>
          <t>第3営業部</t>
        </is>
      </c>
      <c r="D1994" s="3" t="n">
        <v>46061</v>
      </c>
      <c r="E1994" t="inlineStr">
        <is>
          <t>未来通信(株)</t>
        </is>
      </c>
      <c r="F1994" t="inlineStr">
        <is>
          <t>神奈川県</t>
        </is>
      </c>
      <c r="G1994" t="inlineStr">
        <is>
          <t>導入支援</t>
        </is>
      </c>
      <c r="H1994" t="inlineStr">
        <is>
          <t>初期設定支援</t>
        </is>
      </c>
      <c r="I1994" s="4" t="n">
        <v>2</v>
      </c>
      <c r="J1994" s="4" t="n">
        <v>94800</v>
      </c>
      <c r="K1994" s="4">
        <f>I1994*J1994</f>
        <v/>
      </c>
      <c r="L1994" t="inlineStr">
        <is>
          <t>値引き調整あり</t>
        </is>
      </c>
    </row>
    <row r="1995">
      <c r="A1995" t="inlineStr">
        <is>
          <t>SR083</t>
        </is>
      </c>
      <c r="B1995" t="inlineStr">
        <is>
          <t>営業担当083</t>
        </is>
      </c>
      <c r="C1995" t="inlineStr">
        <is>
          <t>第3営業部</t>
        </is>
      </c>
      <c r="D1995" s="3" t="n">
        <v>46101</v>
      </c>
      <c r="E1995" t="inlineStr">
        <is>
          <t>大和精機株式会社</t>
        </is>
      </c>
      <c r="F1995" t="inlineStr">
        <is>
          <t>東京都</t>
        </is>
      </c>
      <c r="G1995" t="inlineStr">
        <is>
          <t>導入支援</t>
        </is>
      </c>
      <c r="H1995" t="inlineStr">
        <is>
          <t>データ移行支援</t>
        </is>
      </c>
      <c r="I1995" s="4" t="n">
        <v>1</v>
      </c>
      <c r="J1995" s="4" t="n">
        <v>173600</v>
      </c>
      <c r="K1995" s="4">
        <f>I1995*J1995</f>
        <v/>
      </c>
      <c r="L1995" t="inlineStr"/>
    </row>
    <row r="1996">
      <c r="A1996" t="inlineStr">
        <is>
          <t>SR083</t>
        </is>
      </c>
      <c r="B1996" t="inlineStr">
        <is>
          <t>営業担当083</t>
        </is>
      </c>
      <c r="C1996" t="inlineStr">
        <is>
          <t>第3営業部</t>
        </is>
      </c>
      <c r="D1996" s="3" t="n">
        <v>46101</v>
      </c>
      <c r="E1996" t="inlineStr">
        <is>
          <t>青葉商事株式会社</t>
        </is>
      </c>
      <c r="F1996" t="inlineStr">
        <is>
          <t>大阪府</t>
        </is>
      </c>
      <c r="G1996" t="inlineStr">
        <is>
          <t>消耗品</t>
        </is>
      </c>
      <c r="H1996" t="inlineStr">
        <is>
          <t>交換用ヘッド</t>
        </is>
      </c>
      <c r="I1996" s="4" t="n">
        <v>10</v>
      </c>
      <c r="J1996" s="4" t="n">
        <v>23040</v>
      </c>
      <c r="K1996" s="4">
        <f>I1996*J1996</f>
        <v/>
      </c>
      <c r="L1996" t="inlineStr">
        <is>
          <t>分納</t>
        </is>
      </c>
    </row>
    <row r="1997">
      <c r="A1997" t="inlineStr">
        <is>
          <t>SR084</t>
        </is>
      </c>
      <c r="B1997" t="inlineStr">
        <is>
          <t>営業担当084</t>
        </is>
      </c>
      <c r="C1997" t="inlineStr">
        <is>
          <t>パートナー営業部</t>
        </is>
      </c>
      <c r="D1997" s="3" t="n">
        <v>45750</v>
      </c>
      <c r="E1997" t="inlineStr">
        <is>
          <t>ライトホーム(株)</t>
        </is>
      </c>
      <c r="F1997" t="inlineStr">
        <is>
          <t>神奈川県</t>
        </is>
      </c>
      <c r="G1997" t="inlineStr">
        <is>
          <t>ソフトウェア</t>
        </is>
      </c>
      <c r="H1997" t="inlineStr">
        <is>
          <t>AIチャットボット</t>
        </is>
      </c>
      <c r="I1997" s="4" t="n">
        <v>4</v>
      </c>
      <c r="J1997" s="4" t="n">
        <v>557900</v>
      </c>
      <c r="K1997" s="4">
        <f>I1997*J1997</f>
        <v/>
      </c>
      <c r="L1997" t="inlineStr">
        <is>
          <t>リピート受注</t>
        </is>
      </c>
    </row>
    <row r="1998">
      <c r="A1998" t="inlineStr">
        <is>
          <t>SR084</t>
        </is>
      </c>
      <c r="B1998" t="inlineStr">
        <is>
          <t>営業担当084</t>
        </is>
      </c>
      <c r="C1998" t="inlineStr">
        <is>
          <t>パートナー営業部</t>
        </is>
      </c>
      <c r="D1998" s="3" t="n">
        <v>45770</v>
      </c>
      <c r="E1998" t="inlineStr">
        <is>
          <t>西日本機工株式会社</t>
        </is>
      </c>
      <c r="F1998" t="inlineStr">
        <is>
          <t>兵庫県</t>
        </is>
      </c>
      <c r="G1998" t="inlineStr">
        <is>
          <t>消耗品</t>
        </is>
      </c>
      <c r="H1998" t="inlineStr">
        <is>
          <t>ラベルロール</t>
        </is>
      </c>
      <c r="I1998" s="4" t="n">
        <v>5</v>
      </c>
      <c r="J1998" s="4" t="n">
        <v>3820</v>
      </c>
      <c r="K1998" s="4">
        <f>I1998*J1998</f>
        <v/>
      </c>
      <c r="L1998" t="inlineStr">
        <is>
          <t>値引き調整あり</t>
        </is>
      </c>
    </row>
    <row r="1999">
      <c r="A1999" t="inlineStr">
        <is>
          <t>SR084</t>
        </is>
      </c>
      <c r="B1999" t="inlineStr">
        <is>
          <t>営業担当084</t>
        </is>
      </c>
      <c r="C1999" t="inlineStr">
        <is>
          <t>パートナー営業部</t>
        </is>
      </c>
      <c r="D1999" s="3" t="n">
        <v>45786</v>
      </c>
      <c r="E1999" t="inlineStr">
        <is>
          <t>白峰化学株式会社</t>
        </is>
      </c>
      <c r="F1999" t="inlineStr">
        <is>
          <t>神奈川県</t>
        </is>
      </c>
      <c r="G1999" t="inlineStr">
        <is>
          <t>ハードウェア</t>
        </is>
      </c>
      <c r="H1999" t="inlineStr">
        <is>
          <t>ネットワークカメラ</t>
        </is>
      </c>
      <c r="I1999" s="4" t="n">
        <v>3</v>
      </c>
      <c r="J1999" s="4" t="n">
        <v>43000</v>
      </c>
      <c r="K1999" s="4">
        <f>I1999*J1999</f>
        <v/>
      </c>
      <c r="L1999" t="inlineStr">
        <is>
          <t>大型案件</t>
        </is>
      </c>
    </row>
    <row r="2000">
      <c r="A2000" t="inlineStr">
        <is>
          <t>SR084</t>
        </is>
      </c>
      <c r="B2000" t="inlineStr">
        <is>
          <t>営業担当084</t>
        </is>
      </c>
      <c r="C2000" t="inlineStr">
        <is>
          <t>パートナー営業部</t>
        </is>
      </c>
      <c r="D2000" s="3" t="n">
        <v>45789</v>
      </c>
      <c r="E2000" t="inlineStr">
        <is>
          <t>青葉商事(株)</t>
        </is>
      </c>
      <c r="F2000" t="inlineStr">
        <is>
          <t>広島県</t>
        </is>
      </c>
      <c r="G2000" t="inlineStr">
        <is>
          <t>ハードウェア</t>
        </is>
      </c>
      <c r="H2000" t="inlineStr">
        <is>
          <t>産業用タブレット</t>
        </is>
      </c>
      <c r="I2000" s="4" t="n">
        <v>2</v>
      </c>
      <c r="J2000" s="4" t="n">
        <v>112500</v>
      </c>
      <c r="K2000" s="4">
        <f>I2000*J2000</f>
        <v/>
      </c>
      <c r="L2000" t="inlineStr"/>
    </row>
    <row r="2001">
      <c r="A2001" t="inlineStr">
        <is>
          <t>SR084</t>
        </is>
      </c>
      <c r="B2001" t="inlineStr">
        <is>
          <t>営業担当084</t>
        </is>
      </c>
      <c r="C2001" t="inlineStr">
        <is>
          <t>パートナー営業部</t>
        </is>
      </c>
      <c r="D2001" s="3" t="n">
        <v>45822</v>
      </c>
      <c r="E2001" t="inlineStr">
        <is>
          <t>サンライズ建設株式会社</t>
        </is>
      </c>
      <c r="F2001" t="inlineStr">
        <is>
          <t>京都府</t>
        </is>
      </c>
      <c r="G2001" t="inlineStr">
        <is>
          <t>ソフトウェア</t>
        </is>
      </c>
      <c r="H2001" t="inlineStr">
        <is>
          <t>営業支援SaaS</t>
        </is>
      </c>
      <c r="I2001" s="4" t="n">
        <v>1</v>
      </c>
      <c r="J2001" s="4" t="n">
        <v>141300</v>
      </c>
      <c r="K2001" s="4">
        <f>I2001*J2001</f>
        <v/>
      </c>
      <c r="L2001" t="inlineStr"/>
    </row>
    <row r="2002">
      <c r="A2002" t="inlineStr">
        <is>
          <t>SR084</t>
        </is>
      </c>
      <c r="B2002" t="inlineStr">
        <is>
          <t>営業担当084</t>
        </is>
      </c>
      <c r="C2002" t="inlineStr">
        <is>
          <t>パートナー営業部</t>
        </is>
      </c>
      <c r="D2002" s="3" t="n">
        <v>45823</v>
      </c>
      <c r="E2002" t="inlineStr">
        <is>
          <t>星和商会有限会社</t>
        </is>
      </c>
      <c r="F2002" t="inlineStr">
        <is>
          <t>福岡県</t>
        </is>
      </c>
      <c r="G2002" t="inlineStr">
        <is>
          <t>保守サービス</t>
        </is>
      </c>
      <c r="H2002" t="inlineStr">
        <is>
          <t>オンサイト保守</t>
        </is>
      </c>
      <c r="I2002" s="4" t="n">
        <v>2</v>
      </c>
      <c r="J2002" s="4" t="n">
        <v>69100</v>
      </c>
      <c r="K2002" s="4">
        <f>I2002*J2002</f>
        <v/>
      </c>
      <c r="L2002" t="inlineStr"/>
    </row>
    <row r="2003">
      <c r="A2003" t="inlineStr">
        <is>
          <t>SR084</t>
        </is>
      </c>
      <c r="B2003" t="inlineStr">
        <is>
          <t>営業担当084</t>
        </is>
      </c>
      <c r="C2003" t="inlineStr">
        <is>
          <t>パートナー営業部</t>
        </is>
      </c>
      <c r="D2003" s="3" t="n">
        <v>45846</v>
      </c>
      <c r="E2003" t="inlineStr">
        <is>
          <t>白峰化学(株)</t>
        </is>
      </c>
      <c r="F2003" t="inlineStr">
        <is>
          <t>広島県</t>
        </is>
      </c>
      <c r="G2003" t="inlineStr">
        <is>
          <t>導入支援</t>
        </is>
      </c>
      <c r="H2003" t="inlineStr">
        <is>
          <t>データ移行支援</t>
        </is>
      </c>
      <c r="I2003" s="4" t="n">
        <v>4</v>
      </c>
      <c r="J2003" s="4" t="n">
        <v>232100</v>
      </c>
      <c r="K2003" s="4">
        <f>I2003*J2003</f>
        <v/>
      </c>
      <c r="L2003" t="inlineStr">
        <is>
          <t>大型案件</t>
        </is>
      </c>
    </row>
    <row r="2004">
      <c r="A2004" t="inlineStr">
        <is>
          <t>SR084</t>
        </is>
      </c>
      <c r="B2004" t="inlineStr">
        <is>
          <t>営業担当084</t>
        </is>
      </c>
      <c r="C2004" t="inlineStr">
        <is>
          <t>パートナー営業部</t>
        </is>
      </c>
      <c r="D2004" s="3" t="n">
        <v>45848</v>
      </c>
      <c r="E2004" t="inlineStr">
        <is>
          <t>九州エナジー(株)</t>
        </is>
      </c>
      <c r="F2004" t="inlineStr">
        <is>
          <t>宮城県</t>
        </is>
      </c>
      <c r="G2004" t="inlineStr">
        <is>
          <t>ハードウェア</t>
        </is>
      </c>
      <c r="H2004" t="inlineStr">
        <is>
          <t>小型ハンディ端末</t>
        </is>
      </c>
      <c r="I2004" s="4" t="n">
        <v>1</v>
      </c>
      <c r="J2004" s="4" t="n">
        <v>65000</v>
      </c>
      <c r="K2004" s="4">
        <f>I2004*J2004</f>
        <v/>
      </c>
      <c r="L2004" t="inlineStr"/>
    </row>
    <row r="2005">
      <c r="A2005" t="inlineStr">
        <is>
          <t>SR084</t>
        </is>
      </c>
      <c r="B2005" t="inlineStr">
        <is>
          <t>営業担当084</t>
        </is>
      </c>
      <c r="C2005" t="inlineStr">
        <is>
          <t>パートナー営業部</t>
        </is>
      </c>
      <c r="D2005" s="3" t="n">
        <v>45872</v>
      </c>
      <c r="E2005" t="inlineStr">
        <is>
          <t>中央設備(株)</t>
        </is>
      </c>
      <c r="F2005" t="inlineStr">
        <is>
          <t>福岡県</t>
        </is>
      </c>
      <c r="G2005" t="inlineStr">
        <is>
          <t>消耗品</t>
        </is>
      </c>
      <c r="H2005" t="inlineStr">
        <is>
          <t>ラベルロール</t>
        </is>
      </c>
      <c r="I2005" s="4" t="n">
        <v>13</v>
      </c>
      <c r="J2005" s="4" t="n">
        <v>11670</v>
      </c>
      <c r="K2005" s="4">
        <f>I2005*J2005</f>
        <v/>
      </c>
      <c r="L2005" t="inlineStr">
        <is>
          <t>値引き調整あり</t>
        </is>
      </c>
    </row>
    <row r="2006">
      <c r="A2006" t="inlineStr">
        <is>
          <t>SR084</t>
        </is>
      </c>
      <c r="B2006" t="inlineStr">
        <is>
          <t>営業担当084</t>
        </is>
      </c>
      <c r="C2006" t="inlineStr">
        <is>
          <t>パートナー営業部</t>
        </is>
      </c>
      <c r="D2006" s="3" t="n">
        <v>45884</v>
      </c>
      <c r="E2006" t="inlineStr">
        <is>
          <t>グリーンテック(株)</t>
        </is>
      </c>
      <c r="F2006" t="inlineStr">
        <is>
          <t>東京都</t>
        </is>
      </c>
      <c r="G2006" t="inlineStr">
        <is>
          <t>ハードウェア</t>
        </is>
      </c>
      <c r="H2006" t="inlineStr">
        <is>
          <t>小型ハンディ端末</t>
        </is>
      </c>
      <c r="I2006" s="4" t="n">
        <v>1</v>
      </c>
      <c r="J2006" s="4" t="n">
        <v>75200</v>
      </c>
      <c r="K2006" s="4">
        <f>I2006*J2006</f>
        <v/>
      </c>
      <c r="L2006" t="inlineStr">
        <is>
          <t>新規開拓</t>
        </is>
      </c>
    </row>
    <row r="2007">
      <c r="A2007" t="inlineStr">
        <is>
          <t>SR084</t>
        </is>
      </c>
      <c r="B2007" t="inlineStr">
        <is>
          <t>営業担当084</t>
        </is>
      </c>
      <c r="C2007" t="inlineStr">
        <is>
          <t>パートナー営業部</t>
        </is>
      </c>
      <c r="D2007" s="3" t="n">
        <v>45902</v>
      </c>
      <c r="E2007" t="inlineStr">
        <is>
          <t>福岡流通(株)</t>
        </is>
      </c>
      <c r="F2007" t="inlineStr">
        <is>
          <t>宮城県</t>
        </is>
      </c>
      <c r="G2007" t="inlineStr">
        <is>
          <t>導入支援</t>
        </is>
      </c>
      <c r="H2007" t="inlineStr">
        <is>
          <t>初期設定支援</t>
        </is>
      </c>
      <c r="I2007" s="4" t="n">
        <v>5</v>
      </c>
      <c r="J2007" s="4" t="n">
        <v>110200</v>
      </c>
      <c r="K2007" s="4">
        <f>I2007*J2007</f>
        <v/>
      </c>
      <c r="L2007" t="inlineStr">
        <is>
          <t>新規開拓</t>
        </is>
      </c>
    </row>
    <row r="2008">
      <c r="A2008" t="inlineStr">
        <is>
          <t>SR084</t>
        </is>
      </c>
      <c r="B2008" t="inlineStr">
        <is>
          <t>営業担当084</t>
        </is>
      </c>
      <c r="C2008" t="inlineStr">
        <is>
          <t>パートナー営業部</t>
        </is>
      </c>
      <c r="D2008" s="3" t="n">
        <v>45925</v>
      </c>
      <c r="E2008" t="inlineStr">
        <is>
          <t>福岡流通有限会社</t>
        </is>
      </c>
      <c r="F2008" t="inlineStr">
        <is>
          <t>福岡県</t>
        </is>
      </c>
      <c r="G2008" t="inlineStr">
        <is>
          <t>ハードウェア</t>
        </is>
      </c>
      <c r="H2008" t="inlineStr">
        <is>
          <t>小型ハンディ端末</t>
        </is>
      </c>
      <c r="I2008" s="4" t="n">
        <v>2</v>
      </c>
      <c r="J2008" s="4" t="n">
        <v>45800</v>
      </c>
      <c r="K2008" s="4">
        <f>I2008*J2008</f>
        <v/>
      </c>
      <c r="L2008" t="inlineStr">
        <is>
          <t>新規開拓</t>
        </is>
      </c>
    </row>
    <row r="2009">
      <c r="A2009" t="inlineStr">
        <is>
          <t>SR084</t>
        </is>
      </c>
      <c r="B2009" t="inlineStr">
        <is>
          <t>営業担当084</t>
        </is>
      </c>
      <c r="C2009" t="inlineStr">
        <is>
          <t>パートナー営業部</t>
        </is>
      </c>
      <c r="D2009" s="3" t="n">
        <v>45957</v>
      </c>
      <c r="E2009" t="inlineStr">
        <is>
          <t>大和精機有限会社</t>
        </is>
      </c>
      <c r="F2009" t="inlineStr">
        <is>
          <t>広島県</t>
        </is>
      </c>
      <c r="G2009" t="inlineStr">
        <is>
          <t>ソフトウェア</t>
        </is>
      </c>
      <c r="H2009" t="inlineStr">
        <is>
          <t>AIチャットボット</t>
        </is>
      </c>
      <c r="I2009" s="4" t="n">
        <v>1</v>
      </c>
      <c r="J2009" s="4" t="n">
        <v>538700</v>
      </c>
      <c r="K2009" s="4">
        <f>I2009*J2009</f>
        <v/>
      </c>
      <c r="L2009" t="inlineStr">
        <is>
          <t>新規開拓</t>
        </is>
      </c>
    </row>
    <row r="2010">
      <c r="A2010" t="inlineStr">
        <is>
          <t>SR084</t>
        </is>
      </c>
      <c r="B2010" t="inlineStr">
        <is>
          <t>営業担当084</t>
        </is>
      </c>
      <c r="C2010" t="inlineStr">
        <is>
          <t>パートナー営業部</t>
        </is>
      </c>
      <c r="D2010" s="3" t="n">
        <v>45958</v>
      </c>
      <c r="E2010" t="inlineStr">
        <is>
          <t>西日本機工(株)</t>
        </is>
      </c>
      <c r="F2010" t="inlineStr">
        <is>
          <t>京都府</t>
        </is>
      </c>
      <c r="G2010" t="inlineStr">
        <is>
          <t>ソフトウェア</t>
        </is>
      </c>
      <c r="H2010" t="inlineStr">
        <is>
          <t>在庫管理クラウド</t>
        </is>
      </c>
      <c r="I2010" s="4" t="n">
        <v>4</v>
      </c>
      <c r="J2010" s="4" t="n">
        <v>235200</v>
      </c>
      <c r="K2010" s="4">
        <f>I2010*J2010</f>
        <v/>
      </c>
      <c r="L2010" t="inlineStr"/>
    </row>
    <row r="2011">
      <c r="A2011" t="inlineStr">
        <is>
          <t>SR084</t>
        </is>
      </c>
      <c r="B2011" t="inlineStr">
        <is>
          <t>営業担当084</t>
        </is>
      </c>
      <c r="C2011" t="inlineStr">
        <is>
          <t>パートナー営業部</t>
        </is>
      </c>
      <c r="D2011" s="3" t="n">
        <v>45963</v>
      </c>
      <c r="E2011" t="inlineStr">
        <is>
          <t>ネクストソリューション株式会社</t>
        </is>
      </c>
      <c r="F2011" t="inlineStr">
        <is>
          <t>福岡県</t>
        </is>
      </c>
      <c r="G2011" t="inlineStr">
        <is>
          <t>ハードウェア</t>
        </is>
      </c>
      <c r="H2011" t="inlineStr">
        <is>
          <t>ラベルプリンター</t>
        </is>
      </c>
      <c r="I2011" s="4" t="n">
        <v>5</v>
      </c>
      <c r="J2011" s="4" t="n">
        <v>78000</v>
      </c>
      <c r="K2011" s="4">
        <f>I2011*J2011</f>
        <v/>
      </c>
      <c r="L2011" t="inlineStr">
        <is>
          <t>リピート受注</t>
        </is>
      </c>
    </row>
    <row r="2012">
      <c r="A2012" t="inlineStr">
        <is>
          <t>SR084</t>
        </is>
      </c>
      <c r="B2012" t="inlineStr">
        <is>
          <t>営業担当084</t>
        </is>
      </c>
      <c r="C2012" t="inlineStr">
        <is>
          <t>パートナー営業部</t>
        </is>
      </c>
      <c r="D2012" s="3" t="n">
        <v>45968</v>
      </c>
      <c r="E2012" t="inlineStr">
        <is>
          <t>サンライズ建設有限会社</t>
        </is>
      </c>
      <c r="F2012" t="inlineStr">
        <is>
          <t>福岡県</t>
        </is>
      </c>
      <c r="G2012" t="inlineStr">
        <is>
          <t>ソフトウェア</t>
        </is>
      </c>
      <c r="H2012" t="inlineStr">
        <is>
          <t>在庫管理クラウド</t>
        </is>
      </c>
      <c r="I2012" s="4" t="n">
        <v>2</v>
      </c>
      <c r="J2012" s="4" t="n">
        <v>471200</v>
      </c>
      <c r="K2012" s="4">
        <f>I2012*J2012</f>
        <v/>
      </c>
      <c r="L2012" t="inlineStr">
        <is>
          <t>値引き調整あり</t>
        </is>
      </c>
    </row>
    <row r="2013">
      <c r="A2013" t="inlineStr">
        <is>
          <t>SR084</t>
        </is>
      </c>
      <c r="B2013" t="inlineStr">
        <is>
          <t>営業担当084</t>
        </is>
      </c>
      <c r="C2013" t="inlineStr">
        <is>
          <t>パートナー営業部</t>
        </is>
      </c>
      <c r="D2013" s="3" t="n">
        <v>46000</v>
      </c>
      <c r="E2013" t="inlineStr">
        <is>
          <t>北斗産業株式会社</t>
        </is>
      </c>
      <c r="F2013" t="inlineStr">
        <is>
          <t>京都府</t>
        </is>
      </c>
      <c r="G2013" t="inlineStr">
        <is>
          <t>ハードウェア</t>
        </is>
      </c>
      <c r="H2013" t="inlineStr">
        <is>
          <t>ラベルプリンター</t>
        </is>
      </c>
      <c r="I2013" s="4" t="n">
        <v>1</v>
      </c>
      <c r="J2013" s="4" t="n">
        <v>60900</v>
      </c>
      <c r="K2013" s="4">
        <f>I2013*J2013</f>
        <v/>
      </c>
      <c r="L2013" t="inlineStr">
        <is>
          <t>キャンペーン適用</t>
        </is>
      </c>
    </row>
    <row r="2014">
      <c r="A2014" t="inlineStr">
        <is>
          <t>SR084</t>
        </is>
      </c>
      <c r="B2014" t="inlineStr">
        <is>
          <t>営業担当084</t>
        </is>
      </c>
      <c r="C2014" t="inlineStr">
        <is>
          <t>パートナー営業部</t>
        </is>
      </c>
      <c r="D2014" s="3" t="n">
        <v>46006</v>
      </c>
      <c r="E2014" t="inlineStr">
        <is>
          <t>桜井メディカル(株)</t>
        </is>
      </c>
      <c r="F2014" t="inlineStr">
        <is>
          <t>福岡県</t>
        </is>
      </c>
      <c r="G2014" t="inlineStr">
        <is>
          <t>ソフトウェア</t>
        </is>
      </c>
      <c r="H2014" t="inlineStr">
        <is>
          <t>営業支援SaaS</t>
        </is>
      </c>
      <c r="I2014" s="4" t="n">
        <v>2</v>
      </c>
      <c r="J2014" s="4" t="n">
        <v>137300</v>
      </c>
      <c r="K2014" s="4">
        <f>I2014*J2014</f>
        <v/>
      </c>
      <c r="L2014" t="inlineStr"/>
    </row>
    <row r="2015">
      <c r="A2015" t="inlineStr">
        <is>
          <t>SR084</t>
        </is>
      </c>
      <c r="B2015" t="inlineStr">
        <is>
          <t>営業担当084</t>
        </is>
      </c>
      <c r="C2015" t="inlineStr">
        <is>
          <t>パートナー営業部</t>
        </is>
      </c>
      <c r="D2015" s="3" t="n">
        <v>46033</v>
      </c>
      <c r="E2015" t="inlineStr">
        <is>
          <t>ライトホーム(株)</t>
        </is>
      </c>
      <c r="F2015" t="inlineStr">
        <is>
          <t>北海道</t>
        </is>
      </c>
      <c r="G2015" t="inlineStr">
        <is>
          <t>消耗品</t>
        </is>
      </c>
      <c r="H2015" t="inlineStr">
        <is>
          <t>保守用バッテリー</t>
        </is>
      </c>
      <c r="I2015" s="4" t="n">
        <v>5</v>
      </c>
      <c r="J2015" s="4" t="n">
        <v>13330</v>
      </c>
      <c r="K2015" s="4">
        <f>I2015*J2015</f>
        <v/>
      </c>
      <c r="L2015" t="inlineStr"/>
    </row>
    <row r="2016">
      <c r="A2016" t="inlineStr">
        <is>
          <t>SR084</t>
        </is>
      </c>
      <c r="B2016" t="inlineStr">
        <is>
          <t>営業担当084</t>
        </is>
      </c>
      <c r="C2016" t="inlineStr">
        <is>
          <t>パートナー営業部</t>
        </is>
      </c>
      <c r="D2016" s="3" t="n">
        <v>46035</v>
      </c>
      <c r="E2016" t="inlineStr">
        <is>
          <t>グリーンテック株式会社</t>
        </is>
      </c>
      <c r="F2016" t="inlineStr">
        <is>
          <t>神奈川県</t>
        </is>
      </c>
      <c r="G2016" t="inlineStr">
        <is>
          <t>導入支援</t>
        </is>
      </c>
      <c r="H2016" t="inlineStr">
        <is>
          <t>操作研修パック</t>
        </is>
      </c>
      <c r="I2016" s="4" t="n">
        <v>4</v>
      </c>
      <c r="J2016" s="4" t="n">
        <v>110800</v>
      </c>
      <c r="K2016" s="4">
        <f>I2016*J2016</f>
        <v/>
      </c>
      <c r="L2016" t="inlineStr">
        <is>
          <t>値引き調整あり</t>
        </is>
      </c>
    </row>
    <row r="2017">
      <c r="A2017" t="inlineStr">
        <is>
          <t>SR084</t>
        </is>
      </c>
      <c r="B2017" t="inlineStr">
        <is>
          <t>営業担当084</t>
        </is>
      </c>
      <c r="C2017" t="inlineStr">
        <is>
          <t>パートナー営業部</t>
        </is>
      </c>
      <c r="D2017" s="3" t="n">
        <v>46071</v>
      </c>
      <c r="E2017" t="inlineStr">
        <is>
          <t>日新サービス有限会社</t>
        </is>
      </c>
      <c r="F2017" t="inlineStr">
        <is>
          <t>広島県</t>
        </is>
      </c>
      <c r="G2017" t="inlineStr">
        <is>
          <t>消耗品</t>
        </is>
      </c>
      <c r="H2017" t="inlineStr">
        <is>
          <t>保守用バッテリー</t>
        </is>
      </c>
      <c r="I2017" s="4" t="n">
        <v>13</v>
      </c>
      <c r="J2017" s="4" t="n">
        <v>18200</v>
      </c>
      <c r="K2017" s="4">
        <f>I2017*J2017</f>
        <v/>
      </c>
      <c r="L2017" t="inlineStr">
        <is>
          <t>キャンペーン適用</t>
        </is>
      </c>
    </row>
    <row r="2018">
      <c r="A2018" t="inlineStr">
        <is>
          <t>SR084</t>
        </is>
      </c>
      <c r="B2018" t="inlineStr">
        <is>
          <t>営業担当084</t>
        </is>
      </c>
      <c r="C2018" t="inlineStr">
        <is>
          <t>パートナー営業部</t>
        </is>
      </c>
      <c r="D2018" s="3" t="n">
        <v>46079</v>
      </c>
      <c r="E2018" t="inlineStr">
        <is>
          <t>大和精機有限会社</t>
        </is>
      </c>
      <c r="F2018" t="inlineStr">
        <is>
          <t>大阪府</t>
        </is>
      </c>
      <c r="G2018" t="inlineStr">
        <is>
          <t>導入支援</t>
        </is>
      </c>
      <c r="H2018" t="inlineStr">
        <is>
          <t>データ移行支援</t>
        </is>
      </c>
      <c r="I2018" s="4" t="n">
        <v>4</v>
      </c>
      <c r="J2018" s="4" t="n">
        <v>290500</v>
      </c>
      <c r="K2018" s="4">
        <f>I2018*J2018</f>
        <v/>
      </c>
      <c r="L2018" t="inlineStr"/>
    </row>
    <row r="2019">
      <c r="A2019" t="inlineStr">
        <is>
          <t>SR084</t>
        </is>
      </c>
      <c r="B2019" t="inlineStr">
        <is>
          <t>営業担当084</t>
        </is>
      </c>
      <c r="C2019" t="inlineStr">
        <is>
          <t>パートナー営業部</t>
        </is>
      </c>
      <c r="D2019" s="3" t="n">
        <v>46103</v>
      </c>
      <c r="E2019" t="inlineStr">
        <is>
          <t>九州エナジー有限会社</t>
        </is>
      </c>
      <c r="F2019" t="inlineStr">
        <is>
          <t>兵庫県</t>
        </is>
      </c>
      <c r="G2019" t="inlineStr">
        <is>
          <t>消耗品</t>
        </is>
      </c>
      <c r="H2019" t="inlineStr">
        <is>
          <t>ラベルロール</t>
        </is>
      </c>
      <c r="I2019" s="4" t="n">
        <v>3</v>
      </c>
      <c r="J2019" s="4" t="n">
        <v>9930</v>
      </c>
      <c r="K2019" s="4">
        <f>I2019*J2019</f>
        <v/>
      </c>
      <c r="L2019" t="inlineStr">
        <is>
          <t>新規開拓</t>
        </is>
      </c>
    </row>
    <row r="2020">
      <c r="A2020" t="inlineStr">
        <is>
          <t>SR084</t>
        </is>
      </c>
      <c r="B2020" t="inlineStr">
        <is>
          <t>営業担当084</t>
        </is>
      </c>
      <c r="C2020" t="inlineStr">
        <is>
          <t>パートナー営業部</t>
        </is>
      </c>
      <c r="D2020" s="3" t="n">
        <v>46106</v>
      </c>
      <c r="E2020" t="inlineStr">
        <is>
          <t>未来通信有限会社</t>
        </is>
      </c>
      <c r="F2020" t="inlineStr">
        <is>
          <t>宮城県</t>
        </is>
      </c>
      <c r="G2020" t="inlineStr">
        <is>
          <t>ハードウェア</t>
        </is>
      </c>
      <c r="H2020" t="inlineStr">
        <is>
          <t>ネットワークカメラ</t>
        </is>
      </c>
      <c r="I2020" s="4" t="n">
        <v>2</v>
      </c>
      <c r="J2020" s="4" t="n">
        <v>27700</v>
      </c>
      <c r="K2020" s="4">
        <f>I2020*J2020</f>
        <v/>
      </c>
      <c r="L2020" t="inlineStr">
        <is>
          <t>大型案件</t>
        </is>
      </c>
    </row>
    <row r="2021">
      <c r="A2021" t="inlineStr">
        <is>
          <t>SR085</t>
        </is>
      </c>
      <c r="B2021" t="inlineStr">
        <is>
          <t>営業担当085</t>
        </is>
      </c>
      <c r="C2021" t="inlineStr">
        <is>
          <t>インサイドセールス部</t>
        </is>
      </c>
      <c r="D2021" s="3" t="n">
        <v>45752</v>
      </c>
      <c r="E2021" t="inlineStr">
        <is>
          <t>アーク電機(株)</t>
        </is>
      </c>
      <c r="F2021" t="inlineStr">
        <is>
          <t>東京都</t>
        </is>
      </c>
      <c r="G2021" t="inlineStr">
        <is>
          <t>保守サービス</t>
        </is>
      </c>
      <c r="H2021" t="inlineStr">
        <is>
          <t>オンサイト保守</t>
        </is>
      </c>
      <c r="I2021" s="4" t="n">
        <v>1</v>
      </c>
      <c r="J2021" s="4" t="n">
        <v>103000</v>
      </c>
      <c r="K2021" s="4">
        <f>I2021*J2021</f>
        <v/>
      </c>
      <c r="L2021" t="inlineStr">
        <is>
          <t>大型案件</t>
        </is>
      </c>
    </row>
    <row r="2022">
      <c r="A2022" t="inlineStr">
        <is>
          <t>SR085</t>
        </is>
      </c>
      <c r="B2022" t="inlineStr">
        <is>
          <t>営業担当085</t>
        </is>
      </c>
      <c r="C2022" t="inlineStr">
        <is>
          <t>インサイドセールス部</t>
        </is>
      </c>
      <c r="D2022" s="3" t="n">
        <v>45769</v>
      </c>
      <c r="E2022" t="inlineStr">
        <is>
          <t>白峰化学有限会社</t>
        </is>
      </c>
      <c r="F2022" t="inlineStr">
        <is>
          <t>神奈川県</t>
        </is>
      </c>
      <c r="G2022" t="inlineStr">
        <is>
          <t>ハードウェア</t>
        </is>
      </c>
      <c r="H2022" t="inlineStr">
        <is>
          <t>小型ハンディ端末</t>
        </is>
      </c>
      <c r="I2022" s="4" t="n">
        <v>2</v>
      </c>
      <c r="J2022" s="4" t="n">
        <v>54500</v>
      </c>
      <c r="K2022" s="4">
        <f>I2022*J2022</f>
        <v/>
      </c>
      <c r="L2022" t="inlineStr">
        <is>
          <t>キャンペーン適用</t>
        </is>
      </c>
    </row>
    <row r="2023">
      <c r="A2023" t="inlineStr">
        <is>
          <t>SR085</t>
        </is>
      </c>
      <c r="B2023" t="inlineStr">
        <is>
          <t>営業担当085</t>
        </is>
      </c>
      <c r="C2023" t="inlineStr">
        <is>
          <t>インサイドセールス部</t>
        </is>
      </c>
      <c r="D2023" s="3" t="n">
        <v>45786</v>
      </c>
      <c r="E2023" t="inlineStr">
        <is>
          <t>日新サービス株式会社</t>
        </is>
      </c>
      <c r="F2023" t="inlineStr">
        <is>
          <t>東京都</t>
        </is>
      </c>
      <c r="G2023" t="inlineStr">
        <is>
          <t>ソフトウェア</t>
        </is>
      </c>
      <c r="H2023" t="inlineStr">
        <is>
          <t>帳票自動化ツール</t>
        </is>
      </c>
      <c r="I2023" s="4" t="n">
        <v>1</v>
      </c>
      <c r="J2023" s="4" t="n">
        <v>204400</v>
      </c>
      <c r="K2023" s="4">
        <f>I2023*J2023</f>
        <v/>
      </c>
      <c r="L2023" t="inlineStr">
        <is>
          <t>大型案件</t>
        </is>
      </c>
    </row>
    <row r="2024">
      <c r="A2024" t="inlineStr">
        <is>
          <t>SR085</t>
        </is>
      </c>
      <c r="B2024" t="inlineStr">
        <is>
          <t>営業担当085</t>
        </is>
      </c>
      <c r="C2024" t="inlineStr">
        <is>
          <t>インサイドセールス部</t>
        </is>
      </c>
      <c r="D2024" s="3" t="n">
        <v>45793</v>
      </c>
      <c r="E2024" t="inlineStr">
        <is>
          <t>ネクストソリューション(株)</t>
        </is>
      </c>
      <c r="F2024" t="inlineStr">
        <is>
          <t>兵庫県</t>
        </is>
      </c>
      <c r="G2024" t="inlineStr">
        <is>
          <t>ハードウェア</t>
        </is>
      </c>
      <c r="H2024" t="inlineStr">
        <is>
          <t>ネットワークカメラ</t>
        </is>
      </c>
      <c r="I2024" s="4" t="n">
        <v>4</v>
      </c>
      <c r="J2024" s="4" t="n">
        <v>48000</v>
      </c>
      <c r="K2024" s="4">
        <f>I2024*J2024</f>
        <v/>
      </c>
      <c r="L2024" t="inlineStr">
        <is>
          <t>リピート受注</t>
        </is>
      </c>
    </row>
    <row r="2025">
      <c r="A2025" t="inlineStr">
        <is>
          <t>SR085</t>
        </is>
      </c>
      <c r="B2025" t="inlineStr">
        <is>
          <t>営業担当085</t>
        </is>
      </c>
      <c r="C2025" t="inlineStr">
        <is>
          <t>インサイドセールス部</t>
        </is>
      </c>
      <c r="D2025" s="3" t="n">
        <v>45816</v>
      </c>
      <c r="E2025" t="inlineStr">
        <is>
          <t>ライトホーム株式会社</t>
        </is>
      </c>
      <c r="F2025" t="inlineStr">
        <is>
          <t>北海道</t>
        </is>
      </c>
      <c r="G2025" t="inlineStr">
        <is>
          <t>ハードウェア</t>
        </is>
      </c>
      <c r="H2025" t="inlineStr">
        <is>
          <t>ラベルプリンター</t>
        </is>
      </c>
      <c r="I2025" s="4" t="n">
        <v>5</v>
      </c>
      <c r="J2025" s="4" t="n">
        <v>57200</v>
      </c>
      <c r="K2025" s="4">
        <f>I2025*J2025</f>
        <v/>
      </c>
      <c r="L2025" t="inlineStr"/>
    </row>
    <row r="2026">
      <c r="A2026" t="inlineStr">
        <is>
          <t>SR085</t>
        </is>
      </c>
      <c r="B2026" t="inlineStr">
        <is>
          <t>営業担当085</t>
        </is>
      </c>
      <c r="C2026" t="inlineStr">
        <is>
          <t>インサイドセールス部</t>
        </is>
      </c>
      <c r="D2026" s="3" t="n">
        <v>45822</v>
      </c>
      <c r="E2026" t="inlineStr">
        <is>
          <t>星和商会株式会社</t>
        </is>
      </c>
      <c r="F2026" t="inlineStr">
        <is>
          <t>宮城県</t>
        </is>
      </c>
      <c r="G2026" t="inlineStr">
        <is>
          <t>ハードウェア</t>
        </is>
      </c>
      <c r="H2026" t="inlineStr">
        <is>
          <t>ネットワークカメラ</t>
        </is>
      </c>
      <c r="I2026" s="4" t="n">
        <v>5</v>
      </c>
      <c r="J2026" s="4" t="n">
        <v>50100</v>
      </c>
      <c r="K2026" s="4">
        <f>I2026*J2026</f>
        <v/>
      </c>
      <c r="L2026" t="inlineStr">
        <is>
          <t>大型案件</t>
        </is>
      </c>
    </row>
    <row r="2027">
      <c r="A2027" t="inlineStr">
        <is>
          <t>SR085</t>
        </is>
      </c>
      <c r="B2027" t="inlineStr">
        <is>
          <t>営業担当085</t>
        </is>
      </c>
      <c r="C2027" t="inlineStr">
        <is>
          <t>インサイドセールス部</t>
        </is>
      </c>
      <c r="D2027" s="3" t="n">
        <v>45839</v>
      </c>
      <c r="E2027" t="inlineStr">
        <is>
          <t>みらい物流株式会社</t>
        </is>
      </c>
      <c r="F2027" t="inlineStr">
        <is>
          <t>東京都</t>
        </is>
      </c>
      <c r="G2027" t="inlineStr">
        <is>
          <t>保守サービス</t>
        </is>
      </c>
      <c r="H2027" t="inlineStr">
        <is>
          <t>ヘルプデスク契約</t>
        </is>
      </c>
      <c r="I2027" s="4" t="n">
        <v>4</v>
      </c>
      <c r="J2027" s="4" t="n">
        <v>116500</v>
      </c>
      <c r="K2027" s="4">
        <f>I2027*J2027</f>
        <v/>
      </c>
      <c r="L2027" t="inlineStr"/>
    </row>
    <row r="2028">
      <c r="A2028" t="inlineStr">
        <is>
          <t>SR085</t>
        </is>
      </c>
      <c r="B2028" t="inlineStr">
        <is>
          <t>営業担当085</t>
        </is>
      </c>
      <c r="C2028" t="inlineStr">
        <is>
          <t>インサイドセールス部</t>
        </is>
      </c>
      <c r="D2028" s="3" t="n">
        <v>45842</v>
      </c>
      <c r="E2028" t="inlineStr">
        <is>
          <t>みらい物流株式会社</t>
        </is>
      </c>
      <c r="F2028" t="inlineStr">
        <is>
          <t>東京都</t>
        </is>
      </c>
      <c r="G2028" t="inlineStr">
        <is>
          <t>ハードウェア</t>
        </is>
      </c>
      <c r="H2028" t="inlineStr">
        <is>
          <t>ネットワークカメラ</t>
        </is>
      </c>
      <c r="I2028" s="4" t="n">
        <v>4</v>
      </c>
      <c r="J2028" s="4" t="n">
        <v>33400</v>
      </c>
      <c r="K2028" s="4">
        <f>I2028*J2028</f>
        <v/>
      </c>
      <c r="L2028" t="inlineStr"/>
    </row>
    <row r="2029">
      <c r="A2029" t="inlineStr">
        <is>
          <t>SR085</t>
        </is>
      </c>
      <c r="B2029" t="inlineStr">
        <is>
          <t>営業担当085</t>
        </is>
      </c>
      <c r="C2029" t="inlineStr">
        <is>
          <t>インサイドセールス部</t>
        </is>
      </c>
      <c r="D2029" s="3" t="n">
        <v>45871</v>
      </c>
      <c r="E2029" t="inlineStr">
        <is>
          <t>青葉商事(株)</t>
        </is>
      </c>
      <c r="F2029" t="inlineStr">
        <is>
          <t>福岡県</t>
        </is>
      </c>
      <c r="G2029" t="inlineStr">
        <is>
          <t>ソフトウェア</t>
        </is>
      </c>
      <c r="H2029" t="inlineStr">
        <is>
          <t>営業支援SaaS</t>
        </is>
      </c>
      <c r="I2029" s="4" t="n">
        <v>3</v>
      </c>
      <c r="J2029" s="4" t="n">
        <v>270200</v>
      </c>
      <c r="K2029" s="4">
        <f>I2029*J2029</f>
        <v/>
      </c>
      <c r="L2029" t="inlineStr">
        <is>
          <t>新規開拓</t>
        </is>
      </c>
    </row>
    <row r="2030">
      <c r="A2030" t="inlineStr">
        <is>
          <t>SR085</t>
        </is>
      </c>
      <c r="B2030" t="inlineStr">
        <is>
          <t>営業担当085</t>
        </is>
      </c>
      <c r="C2030" t="inlineStr">
        <is>
          <t>インサイドセールス部</t>
        </is>
      </c>
      <c r="D2030" s="3" t="n">
        <v>45877</v>
      </c>
      <c r="E2030" t="inlineStr">
        <is>
          <t>白峰化学株式会社</t>
        </is>
      </c>
      <c r="F2030" t="inlineStr">
        <is>
          <t>広島県</t>
        </is>
      </c>
      <c r="G2030" t="inlineStr">
        <is>
          <t>ソフトウェア</t>
        </is>
      </c>
      <c r="H2030" t="inlineStr">
        <is>
          <t>在庫管理クラウド</t>
        </is>
      </c>
      <c r="I2030" s="4" t="n">
        <v>4</v>
      </c>
      <c r="J2030" s="4" t="n">
        <v>320300</v>
      </c>
      <c r="K2030" s="4">
        <f>I2030*J2030</f>
        <v/>
      </c>
      <c r="L2030" t="inlineStr">
        <is>
          <t>新規開拓</t>
        </is>
      </c>
    </row>
    <row r="2031">
      <c r="A2031" t="inlineStr">
        <is>
          <t>SR085</t>
        </is>
      </c>
      <c r="B2031" t="inlineStr">
        <is>
          <t>営業担当085</t>
        </is>
      </c>
      <c r="C2031" t="inlineStr">
        <is>
          <t>インサイドセールス部</t>
        </is>
      </c>
      <c r="D2031" s="3" t="n">
        <v>45922</v>
      </c>
      <c r="E2031" t="inlineStr">
        <is>
          <t>星和商会株式会社</t>
        </is>
      </c>
      <c r="F2031" t="inlineStr">
        <is>
          <t>東京都</t>
        </is>
      </c>
      <c r="G2031" t="inlineStr">
        <is>
          <t>ハードウェア</t>
        </is>
      </c>
      <c r="H2031" t="inlineStr">
        <is>
          <t>ラベルプリンター</t>
        </is>
      </c>
      <c r="I2031" s="4" t="n">
        <v>3</v>
      </c>
      <c r="J2031" s="4" t="n">
        <v>43100</v>
      </c>
      <c r="K2031" s="4">
        <f>I2031*J2031</f>
        <v/>
      </c>
      <c r="L2031" t="inlineStr"/>
    </row>
    <row r="2032">
      <c r="A2032" t="inlineStr">
        <is>
          <t>SR085</t>
        </is>
      </c>
      <c r="B2032" t="inlineStr">
        <is>
          <t>営業担当085</t>
        </is>
      </c>
      <c r="C2032" t="inlineStr">
        <is>
          <t>インサイドセールス部</t>
        </is>
      </c>
      <c r="D2032" s="3" t="n">
        <v>45928</v>
      </c>
      <c r="E2032" t="inlineStr">
        <is>
          <t>ネクストソリューション(株)</t>
        </is>
      </c>
      <c r="F2032" t="inlineStr">
        <is>
          <t>兵庫県</t>
        </is>
      </c>
      <c r="G2032" t="inlineStr">
        <is>
          <t>消耗品</t>
        </is>
      </c>
      <c r="H2032" t="inlineStr">
        <is>
          <t>交換用ヘッド</t>
        </is>
      </c>
      <c r="I2032" s="4" t="n">
        <v>15</v>
      </c>
      <c r="J2032" s="4" t="n">
        <v>25540</v>
      </c>
      <c r="K2032" s="4">
        <f>I2032*J2032</f>
        <v/>
      </c>
      <c r="L2032" t="inlineStr">
        <is>
          <t>新規開拓</t>
        </is>
      </c>
    </row>
    <row r="2033">
      <c r="A2033" t="inlineStr">
        <is>
          <t>SR085</t>
        </is>
      </c>
      <c r="B2033" t="inlineStr">
        <is>
          <t>営業担当085</t>
        </is>
      </c>
      <c r="C2033" t="inlineStr">
        <is>
          <t>インサイドセールス部</t>
        </is>
      </c>
      <c r="D2033" s="3" t="n">
        <v>45947</v>
      </c>
      <c r="E2033" t="inlineStr">
        <is>
          <t>グリーンテック有限会社</t>
        </is>
      </c>
      <c r="F2033" t="inlineStr">
        <is>
          <t>兵庫県</t>
        </is>
      </c>
      <c r="G2033" t="inlineStr">
        <is>
          <t>消耗品</t>
        </is>
      </c>
      <c r="H2033" t="inlineStr">
        <is>
          <t>交換用ヘッド</t>
        </is>
      </c>
      <c r="I2033" s="4" t="n">
        <v>5</v>
      </c>
      <c r="J2033" s="4" t="n">
        <v>36320</v>
      </c>
      <c r="K2033" s="4">
        <f>I2033*J2033</f>
        <v/>
      </c>
      <c r="L2033" t="inlineStr">
        <is>
          <t>大型案件</t>
        </is>
      </c>
    </row>
    <row r="2034">
      <c r="A2034" t="inlineStr">
        <is>
          <t>SR085</t>
        </is>
      </c>
      <c r="B2034" t="inlineStr">
        <is>
          <t>営業担当085</t>
        </is>
      </c>
      <c r="C2034" t="inlineStr">
        <is>
          <t>インサイドセールス部</t>
        </is>
      </c>
      <c r="D2034" s="3" t="n">
        <v>45949</v>
      </c>
      <c r="E2034" t="inlineStr">
        <is>
          <t>みらい物流株式会社</t>
        </is>
      </c>
      <c r="F2034" t="inlineStr">
        <is>
          <t>兵庫県</t>
        </is>
      </c>
      <c r="G2034" t="inlineStr">
        <is>
          <t>ソフトウェア</t>
        </is>
      </c>
      <c r="H2034" t="inlineStr">
        <is>
          <t>営業支援SaaS</t>
        </is>
      </c>
      <c r="I2034" s="4" t="n">
        <v>2</v>
      </c>
      <c r="J2034" s="4" t="n">
        <v>280000</v>
      </c>
      <c r="K2034" s="4">
        <f>I2034*J2034</f>
        <v/>
      </c>
      <c r="L2034" t="inlineStr">
        <is>
          <t>分納</t>
        </is>
      </c>
    </row>
    <row r="2035">
      <c r="A2035" t="inlineStr">
        <is>
          <t>SR085</t>
        </is>
      </c>
      <c r="B2035" t="inlineStr">
        <is>
          <t>営業担当085</t>
        </is>
      </c>
      <c r="C2035" t="inlineStr">
        <is>
          <t>インサイドセールス部</t>
        </is>
      </c>
      <c r="D2035" s="3" t="n">
        <v>45965</v>
      </c>
      <c r="E2035" t="inlineStr">
        <is>
          <t>未来通信有限会社</t>
        </is>
      </c>
      <c r="F2035" t="inlineStr">
        <is>
          <t>神奈川県</t>
        </is>
      </c>
      <c r="G2035" t="inlineStr">
        <is>
          <t>消耗品</t>
        </is>
      </c>
      <c r="H2035" t="inlineStr">
        <is>
          <t>交換用ヘッド</t>
        </is>
      </c>
      <c r="I2035" s="4" t="n">
        <v>2</v>
      </c>
      <c r="J2035" s="4" t="n">
        <v>37090</v>
      </c>
      <c r="K2035" s="4">
        <f>I2035*J2035</f>
        <v/>
      </c>
      <c r="L2035" t="inlineStr">
        <is>
          <t>リピート受注</t>
        </is>
      </c>
    </row>
    <row r="2036">
      <c r="A2036" t="inlineStr">
        <is>
          <t>SR085</t>
        </is>
      </c>
      <c r="B2036" t="inlineStr">
        <is>
          <t>営業担当085</t>
        </is>
      </c>
      <c r="C2036" t="inlineStr">
        <is>
          <t>インサイドセールス部</t>
        </is>
      </c>
      <c r="D2036" s="3" t="n">
        <v>45969</v>
      </c>
      <c r="E2036" t="inlineStr">
        <is>
          <t>青葉商事(株)</t>
        </is>
      </c>
      <c r="F2036" t="inlineStr">
        <is>
          <t>広島県</t>
        </is>
      </c>
      <c r="G2036" t="inlineStr">
        <is>
          <t>保守サービス</t>
        </is>
      </c>
      <c r="H2036" t="inlineStr">
        <is>
          <t>オンサイト保守</t>
        </is>
      </c>
      <c r="I2036" s="4" t="n">
        <v>5</v>
      </c>
      <c r="J2036" s="4" t="n">
        <v>101500</v>
      </c>
      <c r="K2036" s="4">
        <f>I2036*J2036</f>
        <v/>
      </c>
      <c r="L2036" t="inlineStr">
        <is>
          <t>分納</t>
        </is>
      </c>
    </row>
    <row r="2037">
      <c r="A2037" t="inlineStr">
        <is>
          <t>SR085</t>
        </is>
      </c>
      <c r="B2037" t="inlineStr">
        <is>
          <t>営業担当085</t>
        </is>
      </c>
      <c r="C2037" t="inlineStr">
        <is>
          <t>インサイドセールス部</t>
        </is>
      </c>
      <c r="D2037" s="3" t="n">
        <v>45996</v>
      </c>
      <c r="E2037" t="inlineStr">
        <is>
          <t>みらい物流(株)</t>
        </is>
      </c>
      <c r="F2037" t="inlineStr">
        <is>
          <t>兵庫県</t>
        </is>
      </c>
      <c r="G2037" t="inlineStr">
        <is>
          <t>保守サービス</t>
        </is>
      </c>
      <c r="H2037" t="inlineStr">
        <is>
          <t>年間保守契約</t>
        </is>
      </c>
      <c r="I2037" s="4" t="n">
        <v>5</v>
      </c>
      <c r="J2037" s="4" t="n">
        <v>99300</v>
      </c>
      <c r="K2037" s="4">
        <f>I2037*J2037</f>
        <v/>
      </c>
      <c r="L2037" t="inlineStr">
        <is>
          <t>分納</t>
        </is>
      </c>
    </row>
    <row r="2038">
      <c r="A2038" t="inlineStr">
        <is>
          <t>SR085</t>
        </is>
      </c>
      <c r="B2038" t="inlineStr">
        <is>
          <t>営業担当085</t>
        </is>
      </c>
      <c r="C2038" t="inlineStr">
        <is>
          <t>インサイドセールス部</t>
        </is>
      </c>
      <c r="D2038" s="3" t="n">
        <v>46015</v>
      </c>
      <c r="E2038" t="inlineStr">
        <is>
          <t>日新サービス株式会社</t>
        </is>
      </c>
      <c r="F2038" t="inlineStr">
        <is>
          <t>兵庫県</t>
        </is>
      </c>
      <c r="G2038" t="inlineStr">
        <is>
          <t>保守サービス</t>
        </is>
      </c>
      <c r="H2038" t="inlineStr">
        <is>
          <t>オンサイト保守</t>
        </is>
      </c>
      <c r="I2038" s="4" t="n">
        <v>1</v>
      </c>
      <c r="J2038" s="4" t="n">
        <v>70300</v>
      </c>
      <c r="K2038" s="4">
        <f>I2038*J2038</f>
        <v/>
      </c>
      <c r="L2038" t="inlineStr">
        <is>
          <t>値引き調整あり</t>
        </is>
      </c>
    </row>
    <row r="2039">
      <c r="A2039" t="inlineStr">
        <is>
          <t>SR085</t>
        </is>
      </c>
      <c r="B2039" t="inlineStr">
        <is>
          <t>営業担当085</t>
        </is>
      </c>
      <c r="C2039" t="inlineStr">
        <is>
          <t>インサイドセールス部</t>
        </is>
      </c>
      <c r="D2039" s="3" t="n">
        <v>46030</v>
      </c>
      <c r="E2039" t="inlineStr">
        <is>
          <t>桜井メディカル株式会社</t>
        </is>
      </c>
      <c r="F2039" t="inlineStr">
        <is>
          <t>広島県</t>
        </is>
      </c>
      <c r="G2039" t="inlineStr">
        <is>
          <t>ハードウェア</t>
        </is>
      </c>
      <c r="H2039" t="inlineStr">
        <is>
          <t>産業用タブレット</t>
        </is>
      </c>
      <c r="I2039" s="4" t="n">
        <v>5</v>
      </c>
      <c r="J2039" s="4" t="n">
        <v>119700</v>
      </c>
      <c r="K2039" s="4">
        <f>I2039*J2039</f>
        <v/>
      </c>
      <c r="L2039" t="inlineStr">
        <is>
          <t>新規開拓</t>
        </is>
      </c>
    </row>
    <row r="2040">
      <c r="A2040" t="inlineStr">
        <is>
          <t>SR085</t>
        </is>
      </c>
      <c r="B2040" t="inlineStr">
        <is>
          <t>営業担当085</t>
        </is>
      </c>
      <c r="C2040" t="inlineStr">
        <is>
          <t>インサイドセールス部</t>
        </is>
      </c>
      <c r="D2040" s="3" t="n">
        <v>46042</v>
      </c>
      <c r="E2040" t="inlineStr">
        <is>
          <t>桜井メディカル有限会社</t>
        </is>
      </c>
      <c r="F2040" t="inlineStr">
        <is>
          <t>神奈川県</t>
        </is>
      </c>
      <c r="G2040" t="inlineStr">
        <is>
          <t>ソフトウェア</t>
        </is>
      </c>
      <c r="H2040" t="inlineStr">
        <is>
          <t>AIチャットボット</t>
        </is>
      </c>
      <c r="I2040" s="4" t="n">
        <v>3</v>
      </c>
      <c r="J2040" s="4" t="n">
        <v>794700</v>
      </c>
      <c r="K2040" s="4">
        <f>I2040*J2040</f>
        <v/>
      </c>
      <c r="L2040" t="inlineStr"/>
    </row>
    <row r="2041">
      <c r="A2041" t="inlineStr">
        <is>
          <t>SR085</t>
        </is>
      </c>
      <c r="B2041" t="inlineStr">
        <is>
          <t>営業担当085</t>
        </is>
      </c>
      <c r="C2041" t="inlineStr">
        <is>
          <t>インサイドセールス部</t>
        </is>
      </c>
      <c r="D2041" s="3" t="n">
        <v>46067</v>
      </c>
      <c r="E2041" t="inlineStr">
        <is>
          <t>日新サービス(株)</t>
        </is>
      </c>
      <c r="F2041" t="inlineStr">
        <is>
          <t>兵庫県</t>
        </is>
      </c>
      <c r="G2041" t="inlineStr">
        <is>
          <t>保守サービス</t>
        </is>
      </c>
      <c r="H2041" t="inlineStr">
        <is>
          <t>オンサイト保守</t>
        </is>
      </c>
      <c r="I2041" s="4" t="n">
        <v>1</v>
      </c>
      <c r="J2041" s="4" t="n">
        <v>89600</v>
      </c>
      <c r="K2041" s="4">
        <f>I2041*J2041</f>
        <v/>
      </c>
      <c r="L2041" t="inlineStr"/>
    </row>
    <row r="2042">
      <c r="A2042" t="inlineStr">
        <is>
          <t>SR085</t>
        </is>
      </c>
      <c r="B2042" t="inlineStr">
        <is>
          <t>営業担当085</t>
        </is>
      </c>
      <c r="C2042" t="inlineStr">
        <is>
          <t>インサイドセールス部</t>
        </is>
      </c>
      <c r="D2042" s="3" t="n">
        <v>46076</v>
      </c>
      <c r="E2042" t="inlineStr">
        <is>
          <t>ネクストソリューション(株)</t>
        </is>
      </c>
      <c r="F2042" t="inlineStr">
        <is>
          <t>北海道</t>
        </is>
      </c>
      <c r="G2042" t="inlineStr">
        <is>
          <t>消耗品</t>
        </is>
      </c>
      <c r="H2042" t="inlineStr">
        <is>
          <t>保守用バッテリー</t>
        </is>
      </c>
      <c r="I2042" s="4" t="n">
        <v>5</v>
      </c>
      <c r="J2042" s="4" t="n">
        <v>14010</v>
      </c>
      <c r="K2042" s="4">
        <f>I2042*J2042</f>
        <v/>
      </c>
      <c r="L2042" t="inlineStr">
        <is>
          <t>キャンペーン適用</t>
        </is>
      </c>
    </row>
    <row r="2043">
      <c r="A2043" t="inlineStr">
        <is>
          <t>SR085</t>
        </is>
      </c>
      <c r="B2043" t="inlineStr">
        <is>
          <t>営業担当085</t>
        </is>
      </c>
      <c r="C2043" t="inlineStr">
        <is>
          <t>インサイドセールス部</t>
        </is>
      </c>
      <c r="D2043" s="3" t="n">
        <v>46101</v>
      </c>
      <c r="E2043" t="inlineStr">
        <is>
          <t>ネクストソリューション有限会社</t>
        </is>
      </c>
      <c r="F2043" t="inlineStr">
        <is>
          <t>大阪府</t>
        </is>
      </c>
      <c r="G2043" t="inlineStr">
        <is>
          <t>保守サービス</t>
        </is>
      </c>
      <c r="H2043" t="inlineStr">
        <is>
          <t>年間保守契約</t>
        </is>
      </c>
      <c r="I2043" s="4" t="n">
        <v>4</v>
      </c>
      <c r="J2043" s="4" t="n">
        <v>226200</v>
      </c>
      <c r="K2043" s="4">
        <f>I2043*J2043</f>
        <v/>
      </c>
      <c r="L2043" t="inlineStr">
        <is>
          <t>キャンペーン適用</t>
        </is>
      </c>
    </row>
    <row r="2044">
      <c r="A2044" t="inlineStr">
        <is>
          <t>SR085</t>
        </is>
      </c>
      <c r="B2044" t="inlineStr">
        <is>
          <t>営業担当085</t>
        </is>
      </c>
      <c r="C2044" t="inlineStr">
        <is>
          <t>インサイドセールス部</t>
        </is>
      </c>
      <c r="D2044" s="3" t="n">
        <v>46107</v>
      </c>
      <c r="E2044" t="inlineStr">
        <is>
          <t>桜井メディカル(株)</t>
        </is>
      </c>
      <c r="F2044" t="inlineStr">
        <is>
          <t>北海道</t>
        </is>
      </c>
      <c r="G2044" t="inlineStr">
        <is>
          <t>ハードウェア</t>
        </is>
      </c>
      <c r="H2044" t="inlineStr">
        <is>
          <t>小型ハンディ端末</t>
        </is>
      </c>
      <c r="I2044" s="4" t="n">
        <v>4</v>
      </c>
      <c r="J2044" s="4" t="n">
        <v>60200</v>
      </c>
      <c r="K2044" s="4">
        <f>I2044*J2044</f>
        <v/>
      </c>
      <c r="L2044" t="inlineStr"/>
    </row>
    <row r="2045">
      <c r="A2045" t="inlineStr">
        <is>
          <t>SR086</t>
        </is>
      </c>
      <c r="B2045" t="inlineStr">
        <is>
          <t>営業担当086</t>
        </is>
      </c>
      <c r="C2045" t="inlineStr">
        <is>
          <t>第1営業部</t>
        </is>
      </c>
      <c r="D2045" s="3" t="n">
        <v>45748</v>
      </c>
      <c r="E2045" t="inlineStr">
        <is>
          <t>アーク電機有限会社</t>
        </is>
      </c>
      <c r="F2045" t="inlineStr">
        <is>
          <t>大阪府</t>
        </is>
      </c>
      <c r="G2045" t="inlineStr">
        <is>
          <t>導入支援</t>
        </is>
      </c>
      <c r="H2045" t="inlineStr">
        <is>
          <t>データ移行支援</t>
        </is>
      </c>
      <c r="I2045" s="4" t="n">
        <v>4</v>
      </c>
      <c r="J2045" s="4" t="n">
        <v>329300</v>
      </c>
      <c r="K2045" s="4">
        <f>I2045*J2045</f>
        <v/>
      </c>
      <c r="L2045" t="inlineStr">
        <is>
          <t>大型案件</t>
        </is>
      </c>
    </row>
    <row r="2046">
      <c r="A2046" t="inlineStr">
        <is>
          <t>SR086</t>
        </is>
      </c>
      <c r="B2046" t="inlineStr">
        <is>
          <t>営業担当086</t>
        </is>
      </c>
      <c r="C2046" t="inlineStr">
        <is>
          <t>第1営業部</t>
        </is>
      </c>
      <c r="D2046" s="3" t="n">
        <v>45749</v>
      </c>
      <c r="E2046" t="inlineStr">
        <is>
          <t>みらい物流株式会社</t>
        </is>
      </c>
      <c r="F2046" t="inlineStr">
        <is>
          <t>兵庫県</t>
        </is>
      </c>
      <c r="G2046" t="inlineStr">
        <is>
          <t>ソフトウェア</t>
        </is>
      </c>
      <c r="H2046" t="inlineStr">
        <is>
          <t>営業支援SaaS</t>
        </is>
      </c>
      <c r="I2046" s="4" t="n">
        <v>1</v>
      </c>
      <c r="J2046" s="4" t="n">
        <v>303800</v>
      </c>
      <c r="K2046" s="4">
        <f>I2046*J2046</f>
        <v/>
      </c>
      <c r="L2046" t="inlineStr"/>
    </row>
    <row r="2047">
      <c r="A2047" t="inlineStr">
        <is>
          <t>SR086</t>
        </is>
      </c>
      <c r="B2047" t="inlineStr">
        <is>
          <t>営業担当086</t>
        </is>
      </c>
      <c r="C2047" t="inlineStr">
        <is>
          <t>第1営業部</t>
        </is>
      </c>
      <c r="D2047" s="3" t="n">
        <v>45782</v>
      </c>
      <c r="E2047" t="inlineStr">
        <is>
          <t>みらい物流(株)</t>
        </is>
      </c>
      <c r="F2047" t="inlineStr">
        <is>
          <t>北海道</t>
        </is>
      </c>
      <c r="G2047" t="inlineStr">
        <is>
          <t>保守サービス</t>
        </is>
      </c>
      <c r="H2047" t="inlineStr">
        <is>
          <t>ヘルプデスク契約</t>
        </is>
      </c>
      <c r="I2047" s="4" t="n">
        <v>2</v>
      </c>
      <c r="J2047" s="4" t="n">
        <v>109500</v>
      </c>
      <c r="K2047" s="4">
        <f>I2047*J2047</f>
        <v/>
      </c>
      <c r="L2047" t="inlineStr">
        <is>
          <t>分納</t>
        </is>
      </c>
    </row>
    <row r="2048">
      <c r="A2048" t="inlineStr">
        <is>
          <t>SR086</t>
        </is>
      </c>
      <c r="B2048" t="inlineStr">
        <is>
          <t>営業担当086</t>
        </is>
      </c>
      <c r="C2048" t="inlineStr">
        <is>
          <t>第1営業部</t>
        </is>
      </c>
      <c r="D2048" s="3" t="n">
        <v>45788</v>
      </c>
      <c r="E2048" t="inlineStr">
        <is>
          <t>星和商会株式会社</t>
        </is>
      </c>
      <c r="F2048" t="inlineStr">
        <is>
          <t>広島県</t>
        </is>
      </c>
      <c r="G2048" t="inlineStr">
        <is>
          <t>保守サービス</t>
        </is>
      </c>
      <c r="H2048" t="inlineStr">
        <is>
          <t>オンサイト保守</t>
        </is>
      </c>
      <c r="I2048" s="4" t="n">
        <v>1</v>
      </c>
      <c r="J2048" s="4" t="n">
        <v>86900</v>
      </c>
      <c r="K2048" s="4">
        <f>I2048*J2048</f>
        <v/>
      </c>
      <c r="L2048" t="inlineStr">
        <is>
          <t>リピート受注</t>
        </is>
      </c>
    </row>
    <row r="2049">
      <c r="A2049" t="inlineStr">
        <is>
          <t>SR086</t>
        </is>
      </c>
      <c r="B2049" t="inlineStr">
        <is>
          <t>営業担当086</t>
        </is>
      </c>
      <c r="C2049" t="inlineStr">
        <is>
          <t>第1営業部</t>
        </is>
      </c>
      <c r="D2049" s="3" t="n">
        <v>45821</v>
      </c>
      <c r="E2049" t="inlineStr">
        <is>
          <t>未来通信株式会社</t>
        </is>
      </c>
      <c r="F2049" t="inlineStr">
        <is>
          <t>京都府</t>
        </is>
      </c>
      <c r="G2049" t="inlineStr">
        <is>
          <t>ハードウェア</t>
        </is>
      </c>
      <c r="H2049" t="inlineStr">
        <is>
          <t>産業用タブレット</t>
        </is>
      </c>
      <c r="I2049" s="4" t="n">
        <v>2</v>
      </c>
      <c r="J2049" s="4" t="n">
        <v>114000</v>
      </c>
      <c r="K2049" s="4">
        <f>I2049*J2049</f>
        <v/>
      </c>
      <c r="L2049" t="inlineStr">
        <is>
          <t>大型案件</t>
        </is>
      </c>
    </row>
    <row r="2050">
      <c r="A2050" t="inlineStr">
        <is>
          <t>SR086</t>
        </is>
      </c>
      <c r="B2050" t="inlineStr">
        <is>
          <t>営業担当086</t>
        </is>
      </c>
      <c r="C2050" t="inlineStr">
        <is>
          <t>第1営業部</t>
        </is>
      </c>
      <c r="D2050" s="3" t="n">
        <v>45822</v>
      </c>
      <c r="E2050" t="inlineStr">
        <is>
          <t>アーク電機株式会社</t>
        </is>
      </c>
      <c r="F2050" t="inlineStr">
        <is>
          <t>京都府</t>
        </is>
      </c>
      <c r="G2050" t="inlineStr">
        <is>
          <t>消耗品</t>
        </is>
      </c>
      <c r="H2050" t="inlineStr">
        <is>
          <t>保守用バッテリー</t>
        </is>
      </c>
      <c r="I2050" s="4" t="n">
        <v>15</v>
      </c>
      <c r="J2050" s="4" t="n">
        <v>10090</v>
      </c>
      <c r="K2050" s="4">
        <f>I2050*J2050</f>
        <v/>
      </c>
      <c r="L2050" t="inlineStr">
        <is>
          <t>分納</t>
        </is>
      </c>
    </row>
    <row r="2051">
      <c r="A2051" t="inlineStr">
        <is>
          <t>SR086</t>
        </is>
      </c>
      <c r="B2051" t="inlineStr">
        <is>
          <t>営業担当086</t>
        </is>
      </c>
      <c r="C2051" t="inlineStr">
        <is>
          <t>第1営業部</t>
        </is>
      </c>
      <c r="D2051" s="3" t="n">
        <v>45851</v>
      </c>
      <c r="E2051" t="inlineStr">
        <is>
          <t>青葉商事(株)</t>
        </is>
      </c>
      <c r="F2051" t="inlineStr">
        <is>
          <t>東京都</t>
        </is>
      </c>
      <c r="G2051" t="inlineStr">
        <is>
          <t>ソフトウェア</t>
        </is>
      </c>
      <c r="H2051" t="inlineStr">
        <is>
          <t>帳票自動化ツール</t>
        </is>
      </c>
      <c r="I2051" s="4" t="n">
        <v>5</v>
      </c>
      <c r="J2051" s="4" t="n">
        <v>373800</v>
      </c>
      <c r="K2051" s="4">
        <f>I2051*J2051</f>
        <v/>
      </c>
      <c r="L2051" t="inlineStr">
        <is>
          <t>キャンペーン適用</t>
        </is>
      </c>
    </row>
    <row r="2052">
      <c r="A2052" t="inlineStr">
        <is>
          <t>SR086</t>
        </is>
      </c>
      <c r="B2052" t="inlineStr">
        <is>
          <t>営業担当086</t>
        </is>
      </c>
      <c r="C2052" t="inlineStr">
        <is>
          <t>第1営業部</t>
        </is>
      </c>
      <c r="D2052" s="3" t="n">
        <v>45859</v>
      </c>
      <c r="E2052" t="inlineStr">
        <is>
          <t>北斗産業(株)</t>
        </is>
      </c>
      <c r="F2052" t="inlineStr">
        <is>
          <t>福岡県</t>
        </is>
      </c>
      <c r="G2052" t="inlineStr">
        <is>
          <t>導入支援</t>
        </is>
      </c>
      <c r="H2052" t="inlineStr">
        <is>
          <t>初期設定支援</t>
        </is>
      </c>
      <c r="I2052" s="4" t="n">
        <v>3</v>
      </c>
      <c r="J2052" s="4" t="n">
        <v>63500</v>
      </c>
      <c r="K2052" s="4">
        <f>I2052*J2052</f>
        <v/>
      </c>
      <c r="L2052" t="inlineStr"/>
    </row>
    <row r="2053">
      <c r="A2053" t="inlineStr">
        <is>
          <t>SR086</t>
        </is>
      </c>
      <c r="B2053" t="inlineStr">
        <is>
          <t>営業担当086</t>
        </is>
      </c>
      <c r="C2053" t="inlineStr">
        <is>
          <t>第1営業部</t>
        </is>
      </c>
      <c r="D2053" s="3" t="n">
        <v>45870</v>
      </c>
      <c r="E2053" t="inlineStr">
        <is>
          <t>大和精機有限会社</t>
        </is>
      </c>
      <c r="F2053" t="inlineStr">
        <is>
          <t>神奈川県</t>
        </is>
      </c>
      <c r="G2053" t="inlineStr">
        <is>
          <t>消耗品</t>
        </is>
      </c>
      <c r="H2053" t="inlineStr">
        <is>
          <t>交換用ヘッド</t>
        </is>
      </c>
      <c r="I2053" s="4" t="n">
        <v>1</v>
      </c>
      <c r="J2053" s="4" t="n">
        <v>32340</v>
      </c>
      <c r="K2053" s="4">
        <f>I2053*J2053</f>
        <v/>
      </c>
      <c r="L2053" t="inlineStr">
        <is>
          <t>大型案件</t>
        </is>
      </c>
    </row>
    <row r="2054">
      <c r="A2054" t="inlineStr">
        <is>
          <t>SR086</t>
        </is>
      </c>
      <c r="B2054" t="inlineStr">
        <is>
          <t>営業担当086</t>
        </is>
      </c>
      <c r="C2054" t="inlineStr">
        <is>
          <t>第1営業部</t>
        </is>
      </c>
      <c r="D2054" s="3" t="n">
        <v>45871</v>
      </c>
      <c r="E2054" t="inlineStr">
        <is>
          <t>未来通信(株)</t>
        </is>
      </c>
      <c r="F2054" t="inlineStr">
        <is>
          <t>福岡県</t>
        </is>
      </c>
      <c r="G2054" t="inlineStr">
        <is>
          <t>導入支援</t>
        </is>
      </c>
      <c r="H2054" t="inlineStr">
        <is>
          <t>データ移行支援</t>
        </is>
      </c>
      <c r="I2054" s="4" t="n">
        <v>4</v>
      </c>
      <c r="J2054" s="4" t="n">
        <v>212500</v>
      </c>
      <c r="K2054" s="4">
        <f>I2054*J2054</f>
        <v/>
      </c>
      <c r="L2054" t="inlineStr">
        <is>
          <t>分納</t>
        </is>
      </c>
    </row>
    <row r="2055">
      <c r="A2055" t="inlineStr">
        <is>
          <t>SR086</t>
        </is>
      </c>
      <c r="B2055" t="inlineStr">
        <is>
          <t>営業担当086</t>
        </is>
      </c>
      <c r="C2055" t="inlineStr">
        <is>
          <t>第1営業部</t>
        </is>
      </c>
      <c r="D2055" s="3" t="n">
        <v>45905</v>
      </c>
      <c r="E2055" t="inlineStr">
        <is>
          <t>オーシャン製作所有限会社</t>
        </is>
      </c>
      <c r="F2055" t="inlineStr">
        <is>
          <t>宮城県</t>
        </is>
      </c>
      <c r="G2055" t="inlineStr">
        <is>
          <t>保守サービス</t>
        </is>
      </c>
      <c r="H2055" t="inlineStr">
        <is>
          <t>ヘルプデスク契約</t>
        </is>
      </c>
      <c r="I2055" s="4" t="n">
        <v>2</v>
      </c>
      <c r="J2055" s="4" t="n">
        <v>36700</v>
      </c>
      <c r="K2055" s="4">
        <f>I2055*J2055</f>
        <v/>
      </c>
      <c r="L2055" t="inlineStr"/>
    </row>
    <row r="2056">
      <c r="A2056" t="inlineStr">
        <is>
          <t>SR086</t>
        </is>
      </c>
      <c r="B2056" t="inlineStr">
        <is>
          <t>営業担当086</t>
        </is>
      </c>
      <c r="C2056" t="inlineStr">
        <is>
          <t>第1営業部</t>
        </is>
      </c>
      <c r="D2056" s="3" t="n">
        <v>45918</v>
      </c>
      <c r="E2056" t="inlineStr">
        <is>
          <t>九州エナジー(株)</t>
        </is>
      </c>
      <c r="F2056" t="inlineStr">
        <is>
          <t>大阪府</t>
        </is>
      </c>
      <c r="G2056" t="inlineStr">
        <is>
          <t>ハードウェア</t>
        </is>
      </c>
      <c r="H2056" t="inlineStr">
        <is>
          <t>ネットワークカメラ</t>
        </is>
      </c>
      <c r="I2056" s="4" t="n">
        <v>5</v>
      </c>
      <c r="J2056" s="4" t="n">
        <v>57600</v>
      </c>
      <c r="K2056" s="4">
        <f>I2056*J2056</f>
        <v/>
      </c>
      <c r="L2056" t="inlineStr"/>
    </row>
    <row r="2057">
      <c r="A2057" t="inlineStr">
        <is>
          <t>SR086</t>
        </is>
      </c>
      <c r="B2057" t="inlineStr">
        <is>
          <t>営業担当086</t>
        </is>
      </c>
      <c r="C2057" t="inlineStr">
        <is>
          <t>第1営業部</t>
        </is>
      </c>
      <c r="D2057" s="3" t="n">
        <v>45939</v>
      </c>
      <c r="E2057" t="inlineStr">
        <is>
          <t>アーク電機株式会社</t>
        </is>
      </c>
      <c r="F2057" t="inlineStr">
        <is>
          <t>広島県</t>
        </is>
      </c>
      <c r="G2057" t="inlineStr">
        <is>
          <t>保守サービス</t>
        </is>
      </c>
      <c r="H2057" t="inlineStr">
        <is>
          <t>年間保守契約</t>
        </is>
      </c>
      <c r="I2057" s="4" t="n">
        <v>1</v>
      </c>
      <c r="J2057" s="4" t="n">
        <v>117400</v>
      </c>
      <c r="K2057" s="4">
        <f>I2057*J2057</f>
        <v/>
      </c>
      <c r="L2057" t="inlineStr">
        <is>
          <t>大型案件</t>
        </is>
      </c>
    </row>
    <row r="2058">
      <c r="A2058" t="inlineStr">
        <is>
          <t>SR086</t>
        </is>
      </c>
      <c r="B2058" t="inlineStr">
        <is>
          <t>営業担当086</t>
        </is>
      </c>
      <c r="C2058" t="inlineStr">
        <is>
          <t>第1営業部</t>
        </is>
      </c>
      <c r="D2058" s="3" t="n">
        <v>45948</v>
      </c>
      <c r="E2058" t="inlineStr">
        <is>
          <t>東洋フーズ株式会社</t>
        </is>
      </c>
      <c r="F2058" t="inlineStr">
        <is>
          <t>宮城県</t>
        </is>
      </c>
      <c r="G2058" t="inlineStr">
        <is>
          <t>ソフトウェア</t>
        </is>
      </c>
      <c r="H2058" t="inlineStr">
        <is>
          <t>帳票自動化ツール</t>
        </is>
      </c>
      <c r="I2058" s="4" t="n">
        <v>2</v>
      </c>
      <c r="J2058" s="4" t="n">
        <v>346500</v>
      </c>
      <c r="K2058" s="4">
        <f>I2058*J2058</f>
        <v/>
      </c>
      <c r="L2058" t="inlineStr"/>
    </row>
    <row r="2059">
      <c r="A2059" t="inlineStr">
        <is>
          <t>SR086</t>
        </is>
      </c>
      <c r="B2059" t="inlineStr">
        <is>
          <t>営業担当086</t>
        </is>
      </c>
      <c r="C2059" t="inlineStr">
        <is>
          <t>第1営業部</t>
        </is>
      </c>
      <c r="D2059" s="3" t="n">
        <v>45965</v>
      </c>
      <c r="E2059" t="inlineStr">
        <is>
          <t>グリーンテック有限会社</t>
        </is>
      </c>
      <c r="F2059" t="inlineStr">
        <is>
          <t>神奈川県</t>
        </is>
      </c>
      <c r="G2059" t="inlineStr">
        <is>
          <t>ハードウェア</t>
        </is>
      </c>
      <c r="H2059" t="inlineStr">
        <is>
          <t>ラベルプリンター</t>
        </is>
      </c>
      <c r="I2059" s="4" t="n">
        <v>3</v>
      </c>
      <c r="J2059" s="4" t="n">
        <v>59200</v>
      </c>
      <c r="K2059" s="4">
        <f>I2059*J2059</f>
        <v/>
      </c>
      <c r="L2059" t="inlineStr"/>
    </row>
    <row r="2060">
      <c r="A2060" t="inlineStr">
        <is>
          <t>SR086</t>
        </is>
      </c>
      <c r="B2060" t="inlineStr">
        <is>
          <t>営業担当086</t>
        </is>
      </c>
      <c r="C2060" t="inlineStr">
        <is>
          <t>第1営業部</t>
        </is>
      </c>
      <c r="D2060" s="3" t="n">
        <v>45978</v>
      </c>
      <c r="E2060" t="inlineStr">
        <is>
          <t>ライトホーム(株)</t>
        </is>
      </c>
      <c r="F2060" t="inlineStr">
        <is>
          <t>神奈川県</t>
        </is>
      </c>
      <c r="G2060" t="inlineStr">
        <is>
          <t>ハードウェア</t>
        </is>
      </c>
      <c r="H2060" t="inlineStr">
        <is>
          <t>小型ハンディ端末</t>
        </is>
      </c>
      <c r="I2060" s="4" t="n">
        <v>4</v>
      </c>
      <c r="J2060" s="4" t="n">
        <v>48900</v>
      </c>
      <c r="K2060" s="4">
        <f>I2060*J2060</f>
        <v/>
      </c>
      <c r="L2060" t="inlineStr"/>
    </row>
    <row r="2061">
      <c r="A2061" t="inlineStr">
        <is>
          <t>SR086</t>
        </is>
      </c>
      <c r="B2061" t="inlineStr">
        <is>
          <t>営業担当086</t>
        </is>
      </c>
      <c r="C2061" t="inlineStr">
        <is>
          <t>第1営業部</t>
        </is>
      </c>
      <c r="D2061" s="3" t="n">
        <v>46005</v>
      </c>
      <c r="E2061" t="inlineStr">
        <is>
          <t>東洋フーズ有限会社</t>
        </is>
      </c>
      <c r="F2061" t="inlineStr">
        <is>
          <t>福岡県</t>
        </is>
      </c>
      <c r="G2061" t="inlineStr">
        <is>
          <t>保守サービス</t>
        </is>
      </c>
      <c r="H2061" t="inlineStr">
        <is>
          <t>年間保守契約</t>
        </is>
      </c>
      <c r="I2061" s="4" t="n">
        <v>3</v>
      </c>
      <c r="J2061" s="4" t="n">
        <v>186700</v>
      </c>
      <c r="K2061" s="4">
        <f>I2061*J2061</f>
        <v/>
      </c>
      <c r="L2061" t="inlineStr">
        <is>
          <t>値引き調整あり</t>
        </is>
      </c>
    </row>
    <row r="2062">
      <c r="A2062" t="inlineStr">
        <is>
          <t>SR086</t>
        </is>
      </c>
      <c r="B2062" t="inlineStr">
        <is>
          <t>営業担当086</t>
        </is>
      </c>
      <c r="C2062" t="inlineStr">
        <is>
          <t>第1営業部</t>
        </is>
      </c>
      <c r="D2062" s="3" t="n">
        <v>46012</v>
      </c>
      <c r="E2062" t="inlineStr">
        <is>
          <t>福岡流通有限会社</t>
        </is>
      </c>
      <c r="F2062" t="inlineStr">
        <is>
          <t>北海道</t>
        </is>
      </c>
      <c r="G2062" t="inlineStr">
        <is>
          <t>消耗品</t>
        </is>
      </c>
      <c r="H2062" t="inlineStr">
        <is>
          <t>保守用バッテリー</t>
        </is>
      </c>
      <c r="I2062" s="4" t="n">
        <v>6</v>
      </c>
      <c r="J2062" s="4" t="n">
        <v>5850</v>
      </c>
      <c r="K2062" s="4">
        <f>I2062*J2062</f>
        <v/>
      </c>
      <c r="L2062" t="inlineStr"/>
    </row>
    <row r="2063">
      <c r="A2063" t="inlineStr">
        <is>
          <t>SR086</t>
        </is>
      </c>
      <c r="B2063" t="inlineStr">
        <is>
          <t>営業担当086</t>
        </is>
      </c>
      <c r="C2063" t="inlineStr">
        <is>
          <t>第1営業部</t>
        </is>
      </c>
      <c r="D2063" s="3" t="n">
        <v>46038</v>
      </c>
      <c r="E2063" t="inlineStr">
        <is>
          <t>大和精機株式会社</t>
        </is>
      </c>
      <c r="F2063" t="inlineStr">
        <is>
          <t>愛知県</t>
        </is>
      </c>
      <c r="G2063" t="inlineStr">
        <is>
          <t>ハードウェア</t>
        </is>
      </c>
      <c r="H2063" t="inlineStr">
        <is>
          <t>ラベルプリンター</t>
        </is>
      </c>
      <c r="I2063" s="4" t="n">
        <v>5</v>
      </c>
      <c r="J2063" s="4" t="n">
        <v>52000</v>
      </c>
      <c r="K2063" s="4">
        <f>I2063*J2063</f>
        <v/>
      </c>
      <c r="L2063" t="inlineStr">
        <is>
          <t>値引き調整あり</t>
        </is>
      </c>
    </row>
    <row r="2064">
      <c r="A2064" t="inlineStr">
        <is>
          <t>SR086</t>
        </is>
      </c>
      <c r="B2064" t="inlineStr">
        <is>
          <t>営業担当086</t>
        </is>
      </c>
      <c r="C2064" t="inlineStr">
        <is>
          <t>第1営業部</t>
        </is>
      </c>
      <c r="D2064" s="3" t="n">
        <v>46045</v>
      </c>
      <c r="E2064" t="inlineStr">
        <is>
          <t>九州エナジー有限会社</t>
        </is>
      </c>
      <c r="F2064" t="inlineStr">
        <is>
          <t>大阪府</t>
        </is>
      </c>
      <c r="G2064" t="inlineStr">
        <is>
          <t>ソフトウェア</t>
        </is>
      </c>
      <c r="H2064" t="inlineStr">
        <is>
          <t>営業支援SaaS</t>
        </is>
      </c>
      <c r="I2064" s="4" t="n">
        <v>1</v>
      </c>
      <c r="J2064" s="4" t="n">
        <v>121300</v>
      </c>
      <c r="K2064" s="4">
        <f>I2064*J2064</f>
        <v/>
      </c>
      <c r="L2064" t="inlineStr">
        <is>
          <t>大型案件</t>
        </is>
      </c>
    </row>
    <row r="2065">
      <c r="A2065" t="inlineStr">
        <is>
          <t>SR086</t>
        </is>
      </c>
      <c r="B2065" t="inlineStr">
        <is>
          <t>営業担当086</t>
        </is>
      </c>
      <c r="C2065" t="inlineStr">
        <is>
          <t>第1営業部</t>
        </is>
      </c>
      <c r="D2065" s="3" t="n">
        <v>46056</v>
      </c>
      <c r="E2065" t="inlineStr">
        <is>
          <t>未来通信株式会社</t>
        </is>
      </c>
      <c r="F2065" t="inlineStr">
        <is>
          <t>大阪府</t>
        </is>
      </c>
      <c r="G2065" t="inlineStr">
        <is>
          <t>導入支援</t>
        </is>
      </c>
      <c r="H2065" t="inlineStr">
        <is>
          <t>データ移行支援</t>
        </is>
      </c>
      <c r="I2065" s="4" t="n">
        <v>1</v>
      </c>
      <c r="J2065" s="4" t="n">
        <v>284900</v>
      </c>
      <c r="K2065" s="4">
        <f>I2065*J2065</f>
        <v/>
      </c>
      <c r="L2065" t="inlineStr">
        <is>
          <t>値引き調整あり</t>
        </is>
      </c>
    </row>
    <row r="2066">
      <c r="A2066" t="inlineStr">
        <is>
          <t>SR086</t>
        </is>
      </c>
      <c r="B2066" t="inlineStr">
        <is>
          <t>営業担当086</t>
        </is>
      </c>
      <c r="C2066" t="inlineStr">
        <is>
          <t>第1営業部</t>
        </is>
      </c>
      <c r="D2066" s="3" t="n">
        <v>46066</v>
      </c>
      <c r="E2066" t="inlineStr">
        <is>
          <t>大和精機有限会社</t>
        </is>
      </c>
      <c r="F2066" t="inlineStr">
        <is>
          <t>兵庫県</t>
        </is>
      </c>
      <c r="G2066" t="inlineStr">
        <is>
          <t>消耗品</t>
        </is>
      </c>
      <c r="H2066" t="inlineStr">
        <is>
          <t>ラベルロール</t>
        </is>
      </c>
      <c r="I2066" s="4" t="n">
        <v>7</v>
      </c>
      <c r="J2066" s="4" t="n">
        <v>3000</v>
      </c>
      <c r="K2066" s="4">
        <f>I2066*J2066</f>
        <v/>
      </c>
      <c r="L2066" t="inlineStr">
        <is>
          <t>分納</t>
        </is>
      </c>
    </row>
    <row r="2067">
      <c r="A2067" t="inlineStr">
        <is>
          <t>SR086</t>
        </is>
      </c>
      <c r="B2067" t="inlineStr">
        <is>
          <t>営業担当086</t>
        </is>
      </c>
      <c r="C2067" t="inlineStr">
        <is>
          <t>第1営業部</t>
        </is>
      </c>
      <c r="D2067" s="3" t="n">
        <v>46096</v>
      </c>
      <c r="E2067" t="inlineStr">
        <is>
          <t>大和精機株式会社</t>
        </is>
      </c>
      <c r="F2067" t="inlineStr">
        <is>
          <t>広島県</t>
        </is>
      </c>
      <c r="G2067" t="inlineStr">
        <is>
          <t>消耗品</t>
        </is>
      </c>
      <c r="H2067" t="inlineStr">
        <is>
          <t>保守用バッテリー</t>
        </is>
      </c>
      <c r="I2067" s="4" t="n">
        <v>13</v>
      </c>
      <c r="J2067" s="4" t="n">
        <v>7500</v>
      </c>
      <c r="K2067" s="4">
        <f>I2067*J2067</f>
        <v/>
      </c>
      <c r="L2067" t="inlineStr">
        <is>
          <t>新規開拓</t>
        </is>
      </c>
    </row>
    <row r="2068">
      <c r="A2068" t="inlineStr">
        <is>
          <t>SR086</t>
        </is>
      </c>
      <c r="B2068" t="inlineStr">
        <is>
          <t>営業担当086</t>
        </is>
      </c>
      <c r="C2068" t="inlineStr">
        <is>
          <t>第1営業部</t>
        </is>
      </c>
      <c r="D2068" s="3" t="n">
        <v>46105</v>
      </c>
      <c r="E2068" t="inlineStr">
        <is>
          <t>星和商会有限会社</t>
        </is>
      </c>
      <c r="F2068" t="inlineStr">
        <is>
          <t>神奈川県</t>
        </is>
      </c>
      <c r="G2068" t="inlineStr">
        <is>
          <t>消耗品</t>
        </is>
      </c>
      <c r="H2068" t="inlineStr">
        <is>
          <t>保守用バッテリー</t>
        </is>
      </c>
      <c r="I2068" s="4" t="n">
        <v>1</v>
      </c>
      <c r="J2068" s="4" t="n">
        <v>11620</v>
      </c>
      <c r="K2068" s="4">
        <f>I2068*J2068</f>
        <v/>
      </c>
      <c r="L2068" t="inlineStr">
        <is>
          <t>新規開拓</t>
        </is>
      </c>
    </row>
    <row r="2069">
      <c r="A2069" t="inlineStr">
        <is>
          <t>SR087</t>
        </is>
      </c>
      <c r="B2069" t="inlineStr">
        <is>
          <t>営業担当087</t>
        </is>
      </c>
      <c r="C2069" t="inlineStr">
        <is>
          <t>第2営業部</t>
        </is>
      </c>
      <c r="D2069" s="3" t="n">
        <v>45748</v>
      </c>
      <c r="E2069" t="inlineStr">
        <is>
          <t>サンライズ建設(株)</t>
        </is>
      </c>
      <c r="F2069" t="inlineStr">
        <is>
          <t>福岡県</t>
        </is>
      </c>
      <c r="G2069" t="inlineStr">
        <is>
          <t>ソフトウェア</t>
        </is>
      </c>
      <c r="H2069" t="inlineStr">
        <is>
          <t>営業支援SaaS</t>
        </is>
      </c>
      <c r="I2069" s="4" t="n">
        <v>5</v>
      </c>
      <c r="J2069" s="4" t="n">
        <v>161000</v>
      </c>
      <c r="K2069" s="4">
        <f>I2069*J2069</f>
        <v/>
      </c>
      <c r="L2069" t="inlineStr">
        <is>
          <t>新規開拓</t>
        </is>
      </c>
    </row>
    <row r="2070">
      <c r="A2070" t="inlineStr">
        <is>
          <t>SR087</t>
        </is>
      </c>
      <c r="B2070" t="inlineStr">
        <is>
          <t>営業担当087</t>
        </is>
      </c>
      <c r="C2070" t="inlineStr">
        <is>
          <t>第2営業部</t>
        </is>
      </c>
      <c r="D2070" s="3" t="n">
        <v>45773</v>
      </c>
      <c r="E2070" t="inlineStr">
        <is>
          <t>みらい物流(株)</t>
        </is>
      </c>
      <c r="F2070" t="inlineStr">
        <is>
          <t>福岡県</t>
        </is>
      </c>
      <c r="G2070" t="inlineStr">
        <is>
          <t>導入支援</t>
        </is>
      </c>
      <c r="H2070" t="inlineStr">
        <is>
          <t>初期設定支援</t>
        </is>
      </c>
      <c r="I2070" s="4" t="n">
        <v>5</v>
      </c>
      <c r="J2070" s="4" t="n">
        <v>101200</v>
      </c>
      <c r="K2070" s="4">
        <f>I2070*J2070</f>
        <v/>
      </c>
      <c r="L2070" t="inlineStr"/>
    </row>
    <row r="2071">
      <c r="A2071" t="inlineStr">
        <is>
          <t>SR087</t>
        </is>
      </c>
      <c r="B2071" t="inlineStr">
        <is>
          <t>営業担当087</t>
        </is>
      </c>
      <c r="C2071" t="inlineStr">
        <is>
          <t>第2営業部</t>
        </is>
      </c>
      <c r="D2071" s="3" t="n">
        <v>45781</v>
      </c>
      <c r="E2071" t="inlineStr">
        <is>
          <t>中央設備(株)</t>
        </is>
      </c>
      <c r="F2071" t="inlineStr">
        <is>
          <t>北海道</t>
        </is>
      </c>
      <c r="G2071" t="inlineStr">
        <is>
          <t>保守サービス</t>
        </is>
      </c>
      <c r="H2071" t="inlineStr">
        <is>
          <t>年間保守契約</t>
        </is>
      </c>
      <c r="I2071" s="4" t="n">
        <v>2</v>
      </c>
      <c r="J2071" s="4" t="n">
        <v>296000</v>
      </c>
      <c r="K2071" s="4">
        <f>I2071*J2071</f>
        <v/>
      </c>
      <c r="L2071" t="inlineStr">
        <is>
          <t>大型案件</t>
        </is>
      </c>
    </row>
    <row r="2072">
      <c r="A2072" t="inlineStr">
        <is>
          <t>SR087</t>
        </is>
      </c>
      <c r="B2072" t="inlineStr">
        <is>
          <t>営業担当087</t>
        </is>
      </c>
      <c r="C2072" t="inlineStr">
        <is>
          <t>第2営業部</t>
        </is>
      </c>
      <c r="D2072" s="3" t="n">
        <v>45797</v>
      </c>
      <c r="E2072" t="inlineStr">
        <is>
          <t>みらい物流株式会社</t>
        </is>
      </c>
      <c r="F2072" t="inlineStr">
        <is>
          <t>福岡県</t>
        </is>
      </c>
      <c r="G2072" t="inlineStr">
        <is>
          <t>ハードウェア</t>
        </is>
      </c>
      <c r="H2072" t="inlineStr">
        <is>
          <t>ラベルプリンター</t>
        </is>
      </c>
      <c r="I2072" s="4" t="n">
        <v>2</v>
      </c>
      <c r="J2072" s="4" t="n">
        <v>64700</v>
      </c>
      <c r="K2072" s="4">
        <f>I2072*J2072</f>
        <v/>
      </c>
      <c r="L2072" t="inlineStr">
        <is>
          <t>値引き調整あり</t>
        </is>
      </c>
    </row>
    <row r="2073">
      <c r="A2073" t="inlineStr">
        <is>
          <t>SR087</t>
        </is>
      </c>
      <c r="B2073" t="inlineStr">
        <is>
          <t>営業担当087</t>
        </is>
      </c>
      <c r="C2073" t="inlineStr">
        <is>
          <t>第2営業部</t>
        </is>
      </c>
      <c r="D2073" s="3" t="n">
        <v>45815</v>
      </c>
      <c r="E2073" t="inlineStr">
        <is>
          <t>ネクストソリューション有限会社</t>
        </is>
      </c>
      <c r="F2073" t="inlineStr">
        <is>
          <t>北海道</t>
        </is>
      </c>
      <c r="G2073" t="inlineStr">
        <is>
          <t>ソフトウェア</t>
        </is>
      </c>
      <c r="H2073" t="inlineStr">
        <is>
          <t>帳票自動化ツール</t>
        </is>
      </c>
      <c r="I2073" s="4" t="n">
        <v>4</v>
      </c>
      <c r="J2073" s="4" t="n">
        <v>327100</v>
      </c>
      <c r="K2073" s="4">
        <f>I2073*J2073</f>
        <v/>
      </c>
      <c r="L2073" t="inlineStr"/>
    </row>
    <row r="2074">
      <c r="A2074" t="inlineStr">
        <is>
          <t>SR087</t>
        </is>
      </c>
      <c r="B2074" t="inlineStr">
        <is>
          <t>営業担当087</t>
        </is>
      </c>
      <c r="C2074" t="inlineStr">
        <is>
          <t>第2営業部</t>
        </is>
      </c>
      <c r="D2074" s="3" t="n">
        <v>45827</v>
      </c>
      <c r="E2074" t="inlineStr">
        <is>
          <t>みらい物流株式会社</t>
        </is>
      </c>
      <c r="F2074" t="inlineStr">
        <is>
          <t>東京都</t>
        </is>
      </c>
      <c r="G2074" t="inlineStr">
        <is>
          <t>保守サービス</t>
        </is>
      </c>
      <c r="H2074" t="inlineStr">
        <is>
          <t>オンサイト保守</t>
        </is>
      </c>
      <c r="I2074" s="4" t="n">
        <v>5</v>
      </c>
      <c r="J2074" s="4" t="n">
        <v>150800</v>
      </c>
      <c r="K2074" s="4">
        <f>I2074*J2074</f>
        <v/>
      </c>
      <c r="L2074" t="inlineStr"/>
    </row>
    <row r="2075">
      <c r="A2075" t="inlineStr">
        <is>
          <t>SR087</t>
        </is>
      </c>
      <c r="B2075" t="inlineStr">
        <is>
          <t>営業担当087</t>
        </is>
      </c>
      <c r="C2075" t="inlineStr">
        <is>
          <t>第2営業部</t>
        </is>
      </c>
      <c r="D2075" s="3" t="n">
        <v>45864</v>
      </c>
      <c r="E2075" t="inlineStr">
        <is>
          <t>九州エナジー有限会社</t>
        </is>
      </c>
      <c r="F2075" t="inlineStr">
        <is>
          <t>京都府</t>
        </is>
      </c>
      <c r="G2075" t="inlineStr">
        <is>
          <t>保守サービス</t>
        </is>
      </c>
      <c r="H2075" t="inlineStr">
        <is>
          <t>ヘルプデスク契約</t>
        </is>
      </c>
      <c r="I2075" s="4" t="n">
        <v>3</v>
      </c>
      <c r="J2075" s="4" t="n">
        <v>46200</v>
      </c>
      <c r="K2075" s="4">
        <f>I2075*J2075</f>
        <v/>
      </c>
      <c r="L2075" t="inlineStr">
        <is>
          <t>キャンペーン適用</t>
        </is>
      </c>
    </row>
    <row r="2076">
      <c r="A2076" t="inlineStr">
        <is>
          <t>SR087</t>
        </is>
      </c>
      <c r="B2076" t="inlineStr">
        <is>
          <t>営業担当087</t>
        </is>
      </c>
      <c r="C2076" t="inlineStr">
        <is>
          <t>第2営業部</t>
        </is>
      </c>
      <c r="D2076" s="3" t="n">
        <v>45864</v>
      </c>
      <c r="E2076" t="inlineStr">
        <is>
          <t>大和精機(株)</t>
        </is>
      </c>
      <c r="F2076" t="inlineStr">
        <is>
          <t>愛知県</t>
        </is>
      </c>
      <c r="G2076" t="inlineStr">
        <is>
          <t>ハードウェア</t>
        </is>
      </c>
      <c r="H2076" t="inlineStr">
        <is>
          <t>小型ハンディ端末</t>
        </is>
      </c>
      <c r="I2076" s="4" t="n">
        <v>5</v>
      </c>
      <c r="J2076" s="4" t="n">
        <v>94500</v>
      </c>
      <c r="K2076" s="4">
        <f>I2076*J2076</f>
        <v/>
      </c>
      <c r="L2076" t="inlineStr"/>
    </row>
    <row r="2077">
      <c r="A2077" t="inlineStr">
        <is>
          <t>SR087</t>
        </is>
      </c>
      <c r="B2077" t="inlineStr">
        <is>
          <t>営業担当087</t>
        </is>
      </c>
      <c r="C2077" t="inlineStr">
        <is>
          <t>第2営業部</t>
        </is>
      </c>
      <c r="D2077" s="3" t="n">
        <v>45893</v>
      </c>
      <c r="E2077" t="inlineStr">
        <is>
          <t>桜井メディカル有限会社</t>
        </is>
      </c>
      <c r="F2077" t="inlineStr">
        <is>
          <t>広島県</t>
        </is>
      </c>
      <c r="G2077" t="inlineStr">
        <is>
          <t>消耗品</t>
        </is>
      </c>
      <c r="H2077" t="inlineStr">
        <is>
          <t>保守用バッテリー</t>
        </is>
      </c>
      <c r="I2077" s="4" t="n">
        <v>7</v>
      </c>
      <c r="J2077" s="4" t="n">
        <v>12390</v>
      </c>
      <c r="K2077" s="4">
        <f>I2077*J2077</f>
        <v/>
      </c>
      <c r="L2077" t="inlineStr">
        <is>
          <t>新規開拓</t>
        </is>
      </c>
    </row>
    <row r="2078">
      <c r="A2078" t="inlineStr">
        <is>
          <t>SR087</t>
        </is>
      </c>
      <c r="B2078" t="inlineStr">
        <is>
          <t>営業担当087</t>
        </is>
      </c>
      <c r="C2078" t="inlineStr">
        <is>
          <t>第2営業部</t>
        </is>
      </c>
      <c r="D2078" s="3" t="n">
        <v>45894</v>
      </c>
      <c r="E2078" t="inlineStr">
        <is>
          <t>北斗産業(株)</t>
        </is>
      </c>
      <c r="F2078" t="inlineStr">
        <is>
          <t>宮城県</t>
        </is>
      </c>
      <c r="G2078" t="inlineStr">
        <is>
          <t>ソフトウェア</t>
        </is>
      </c>
      <c r="H2078" t="inlineStr">
        <is>
          <t>帳票自動化ツール</t>
        </is>
      </c>
      <c r="I2078" s="4" t="n">
        <v>3</v>
      </c>
      <c r="J2078" s="4" t="n">
        <v>171300</v>
      </c>
      <c r="K2078" s="4">
        <f>I2078*J2078</f>
        <v/>
      </c>
      <c r="L2078" t="inlineStr"/>
    </row>
    <row r="2079">
      <c r="A2079" t="inlineStr">
        <is>
          <t>SR087</t>
        </is>
      </c>
      <c r="B2079" t="inlineStr">
        <is>
          <t>営業担当087</t>
        </is>
      </c>
      <c r="C2079" t="inlineStr">
        <is>
          <t>第2営業部</t>
        </is>
      </c>
      <c r="D2079" s="3" t="n">
        <v>45903</v>
      </c>
      <c r="E2079" t="inlineStr">
        <is>
          <t>中央設備有限会社</t>
        </is>
      </c>
      <c r="F2079" t="inlineStr">
        <is>
          <t>東京都</t>
        </is>
      </c>
      <c r="G2079" t="inlineStr">
        <is>
          <t>ソフトウェア</t>
        </is>
      </c>
      <c r="H2079" t="inlineStr">
        <is>
          <t>AIチャットボット</t>
        </is>
      </c>
      <c r="I2079" s="4" t="n">
        <v>1</v>
      </c>
      <c r="J2079" s="4" t="n">
        <v>634300</v>
      </c>
      <c r="K2079" s="4">
        <f>I2079*J2079</f>
        <v/>
      </c>
      <c r="L2079" t="inlineStr">
        <is>
          <t>新規開拓</t>
        </is>
      </c>
    </row>
    <row r="2080">
      <c r="A2080" t="inlineStr">
        <is>
          <t>SR087</t>
        </is>
      </c>
      <c r="B2080" t="inlineStr">
        <is>
          <t>営業担当087</t>
        </is>
      </c>
      <c r="C2080" t="inlineStr">
        <is>
          <t>第2営業部</t>
        </is>
      </c>
      <c r="D2080" s="3" t="n">
        <v>45907</v>
      </c>
      <c r="E2080" t="inlineStr">
        <is>
          <t>北斗産業株式会社</t>
        </is>
      </c>
      <c r="F2080" t="inlineStr">
        <is>
          <t>広島県</t>
        </is>
      </c>
      <c r="G2080" t="inlineStr">
        <is>
          <t>ハードウェア</t>
        </is>
      </c>
      <c r="H2080" t="inlineStr">
        <is>
          <t>産業用タブレット</t>
        </is>
      </c>
      <c r="I2080" s="4" t="n">
        <v>5</v>
      </c>
      <c r="J2080" s="4" t="n">
        <v>104300</v>
      </c>
      <c r="K2080" s="4">
        <f>I2080*J2080</f>
        <v/>
      </c>
      <c r="L2080" t="inlineStr"/>
    </row>
    <row r="2081">
      <c r="A2081" t="inlineStr">
        <is>
          <t>SR087</t>
        </is>
      </c>
      <c r="B2081" t="inlineStr">
        <is>
          <t>営業担当087</t>
        </is>
      </c>
      <c r="C2081" t="inlineStr">
        <is>
          <t>第2営業部</t>
        </is>
      </c>
      <c r="D2081" s="3" t="n">
        <v>45943</v>
      </c>
      <c r="E2081" t="inlineStr">
        <is>
          <t>九州エナジー株式会社</t>
        </is>
      </c>
      <c r="F2081" t="inlineStr">
        <is>
          <t>神奈川県</t>
        </is>
      </c>
      <c r="G2081" t="inlineStr">
        <is>
          <t>ハードウェア</t>
        </is>
      </c>
      <c r="H2081" t="inlineStr">
        <is>
          <t>小型ハンディ端末</t>
        </is>
      </c>
      <c r="I2081" s="4" t="n">
        <v>1</v>
      </c>
      <c r="J2081" s="4" t="n">
        <v>79200</v>
      </c>
      <c r="K2081" s="4">
        <f>I2081*J2081</f>
        <v/>
      </c>
      <c r="L2081" t="inlineStr"/>
    </row>
    <row r="2082">
      <c r="A2082" t="inlineStr">
        <is>
          <t>SR087</t>
        </is>
      </c>
      <c r="B2082" t="inlineStr">
        <is>
          <t>営業担当087</t>
        </is>
      </c>
      <c r="C2082" t="inlineStr">
        <is>
          <t>第2営業部</t>
        </is>
      </c>
      <c r="D2082" s="3" t="n">
        <v>45952</v>
      </c>
      <c r="E2082" t="inlineStr">
        <is>
          <t>福岡流通有限会社</t>
        </is>
      </c>
      <c r="F2082" t="inlineStr">
        <is>
          <t>北海道</t>
        </is>
      </c>
      <c r="G2082" t="inlineStr">
        <is>
          <t>導入支援</t>
        </is>
      </c>
      <c r="H2082" t="inlineStr">
        <is>
          <t>操作研修パック</t>
        </is>
      </c>
      <c r="I2082" s="4" t="n">
        <v>1</v>
      </c>
      <c r="J2082" s="4" t="n">
        <v>94500</v>
      </c>
      <c r="K2082" s="4">
        <f>I2082*J2082</f>
        <v/>
      </c>
      <c r="L2082" t="inlineStr">
        <is>
          <t>分納</t>
        </is>
      </c>
    </row>
    <row r="2083">
      <c r="A2083" t="inlineStr">
        <is>
          <t>SR087</t>
        </is>
      </c>
      <c r="B2083" t="inlineStr">
        <is>
          <t>営業担当087</t>
        </is>
      </c>
      <c r="C2083" t="inlineStr">
        <is>
          <t>第2営業部</t>
        </is>
      </c>
      <c r="D2083" s="3" t="n">
        <v>45964</v>
      </c>
      <c r="E2083" t="inlineStr">
        <is>
          <t>グリーンテック株式会社</t>
        </is>
      </c>
      <c r="F2083" t="inlineStr">
        <is>
          <t>兵庫県</t>
        </is>
      </c>
      <c r="G2083" t="inlineStr">
        <is>
          <t>消耗品</t>
        </is>
      </c>
      <c r="H2083" t="inlineStr">
        <is>
          <t>交換用ヘッド</t>
        </is>
      </c>
      <c r="I2083" s="4" t="n">
        <v>13</v>
      </c>
      <c r="J2083" s="4" t="n">
        <v>16770</v>
      </c>
      <c r="K2083" s="4">
        <f>I2083*J2083</f>
        <v/>
      </c>
      <c r="L2083" t="inlineStr"/>
    </row>
    <row r="2084">
      <c r="A2084" t="inlineStr">
        <is>
          <t>SR087</t>
        </is>
      </c>
      <c r="B2084" t="inlineStr">
        <is>
          <t>営業担当087</t>
        </is>
      </c>
      <c r="C2084" t="inlineStr">
        <is>
          <t>第2営業部</t>
        </is>
      </c>
      <c r="D2084" s="3" t="n">
        <v>45967</v>
      </c>
      <c r="E2084" t="inlineStr">
        <is>
          <t>星和商会有限会社</t>
        </is>
      </c>
      <c r="F2084" t="inlineStr">
        <is>
          <t>大阪府</t>
        </is>
      </c>
      <c r="G2084" t="inlineStr">
        <is>
          <t>ソフトウェア</t>
        </is>
      </c>
      <c r="H2084" t="inlineStr">
        <is>
          <t>AIチャットボット</t>
        </is>
      </c>
      <c r="I2084" s="4" t="n">
        <v>2</v>
      </c>
      <c r="J2084" s="4" t="n">
        <v>846900</v>
      </c>
      <c r="K2084" s="4">
        <f>I2084*J2084</f>
        <v/>
      </c>
      <c r="L2084" t="inlineStr"/>
    </row>
    <row r="2085">
      <c r="A2085" t="inlineStr">
        <is>
          <t>SR087</t>
        </is>
      </c>
      <c r="B2085" t="inlineStr">
        <is>
          <t>営業担当087</t>
        </is>
      </c>
      <c r="C2085" t="inlineStr">
        <is>
          <t>第2営業部</t>
        </is>
      </c>
      <c r="D2085" s="3" t="n">
        <v>45997</v>
      </c>
      <c r="E2085" t="inlineStr">
        <is>
          <t>大和精機株式会社</t>
        </is>
      </c>
      <c r="F2085" t="inlineStr">
        <is>
          <t>宮城県</t>
        </is>
      </c>
      <c r="G2085" t="inlineStr">
        <is>
          <t>ソフトウェア</t>
        </is>
      </c>
      <c r="H2085" t="inlineStr">
        <is>
          <t>帳票自動化ツール</t>
        </is>
      </c>
      <c r="I2085" s="4" t="n">
        <v>5</v>
      </c>
      <c r="J2085" s="4" t="n">
        <v>226800</v>
      </c>
      <c r="K2085" s="4">
        <f>I2085*J2085</f>
        <v/>
      </c>
      <c r="L2085" t="inlineStr">
        <is>
          <t>分納</t>
        </is>
      </c>
    </row>
    <row r="2086">
      <c r="A2086" t="inlineStr">
        <is>
          <t>SR087</t>
        </is>
      </c>
      <c r="B2086" t="inlineStr">
        <is>
          <t>営業担当087</t>
        </is>
      </c>
      <c r="C2086" t="inlineStr">
        <is>
          <t>第2営業部</t>
        </is>
      </c>
      <c r="D2086" s="3" t="n">
        <v>46007</v>
      </c>
      <c r="E2086" t="inlineStr">
        <is>
          <t>ネクストソリューション有限会社</t>
        </is>
      </c>
      <c r="F2086" t="inlineStr">
        <is>
          <t>京都府</t>
        </is>
      </c>
      <c r="G2086" t="inlineStr">
        <is>
          <t>保守サービス</t>
        </is>
      </c>
      <c r="H2086" t="inlineStr">
        <is>
          <t>年間保守契約</t>
        </is>
      </c>
      <c r="I2086" s="4" t="n">
        <v>5</v>
      </c>
      <c r="J2086" s="4" t="n">
        <v>73300</v>
      </c>
      <c r="K2086" s="4">
        <f>I2086*J2086</f>
        <v/>
      </c>
      <c r="L2086" t="inlineStr">
        <is>
          <t>新規開拓</t>
        </is>
      </c>
    </row>
    <row r="2087">
      <c r="A2087" t="inlineStr">
        <is>
          <t>SR087</t>
        </is>
      </c>
      <c r="B2087" t="inlineStr">
        <is>
          <t>営業担当087</t>
        </is>
      </c>
      <c r="C2087" t="inlineStr">
        <is>
          <t>第2営業部</t>
        </is>
      </c>
      <c r="D2087" s="3" t="n">
        <v>46030</v>
      </c>
      <c r="E2087" t="inlineStr">
        <is>
          <t>サンライズ建設有限会社</t>
        </is>
      </c>
      <c r="F2087" t="inlineStr">
        <is>
          <t>宮城県</t>
        </is>
      </c>
      <c r="G2087" t="inlineStr">
        <is>
          <t>保守サービス</t>
        </is>
      </c>
      <c r="H2087" t="inlineStr">
        <is>
          <t>年間保守契約</t>
        </is>
      </c>
      <c r="I2087" s="4" t="n">
        <v>1</v>
      </c>
      <c r="J2087" s="4" t="n">
        <v>82400</v>
      </c>
      <c r="K2087" s="4">
        <f>I2087*J2087</f>
        <v/>
      </c>
      <c r="L2087" t="inlineStr">
        <is>
          <t>リピート受注</t>
        </is>
      </c>
    </row>
    <row r="2088">
      <c r="A2088" t="inlineStr">
        <is>
          <t>SR087</t>
        </is>
      </c>
      <c r="B2088" t="inlineStr">
        <is>
          <t>営業担当087</t>
        </is>
      </c>
      <c r="C2088" t="inlineStr">
        <is>
          <t>第2営業部</t>
        </is>
      </c>
      <c r="D2088" s="3" t="n">
        <v>46040</v>
      </c>
      <c r="E2088" t="inlineStr">
        <is>
          <t>桜井メディカル株式会社</t>
        </is>
      </c>
      <c r="F2088" t="inlineStr">
        <is>
          <t>宮城県</t>
        </is>
      </c>
      <c r="G2088" t="inlineStr">
        <is>
          <t>ハードウェア</t>
        </is>
      </c>
      <c r="H2088" t="inlineStr">
        <is>
          <t>ネットワークカメラ</t>
        </is>
      </c>
      <c r="I2088" s="4" t="n">
        <v>2</v>
      </c>
      <c r="J2088" s="4" t="n">
        <v>53900</v>
      </c>
      <c r="K2088" s="4">
        <f>I2088*J2088</f>
        <v/>
      </c>
      <c r="L2088" t="inlineStr">
        <is>
          <t>新規開拓</t>
        </is>
      </c>
    </row>
    <row r="2089">
      <c r="A2089" t="inlineStr">
        <is>
          <t>SR087</t>
        </is>
      </c>
      <c r="B2089" t="inlineStr">
        <is>
          <t>営業担当087</t>
        </is>
      </c>
      <c r="C2089" t="inlineStr">
        <is>
          <t>第2営業部</t>
        </is>
      </c>
      <c r="D2089" s="3" t="n">
        <v>46058</v>
      </c>
      <c r="E2089" t="inlineStr">
        <is>
          <t>日新サービス有限会社</t>
        </is>
      </c>
      <c r="F2089" t="inlineStr">
        <is>
          <t>宮城県</t>
        </is>
      </c>
      <c r="G2089" t="inlineStr">
        <is>
          <t>消耗品</t>
        </is>
      </c>
      <c r="H2089" t="inlineStr">
        <is>
          <t>保守用バッテリー</t>
        </is>
      </c>
      <c r="I2089" s="4" t="n">
        <v>5</v>
      </c>
      <c r="J2089" s="4" t="n">
        <v>10900</v>
      </c>
      <c r="K2089" s="4">
        <f>I2089*J2089</f>
        <v/>
      </c>
      <c r="L2089" t="inlineStr"/>
    </row>
    <row r="2090">
      <c r="A2090" t="inlineStr">
        <is>
          <t>SR087</t>
        </is>
      </c>
      <c r="B2090" t="inlineStr">
        <is>
          <t>営業担当087</t>
        </is>
      </c>
      <c r="C2090" t="inlineStr">
        <is>
          <t>第2営業部</t>
        </is>
      </c>
      <c r="D2090" s="3" t="n">
        <v>46075</v>
      </c>
      <c r="E2090" t="inlineStr">
        <is>
          <t>グリーンテック有限会社</t>
        </is>
      </c>
      <c r="F2090" t="inlineStr">
        <is>
          <t>神奈川県</t>
        </is>
      </c>
      <c r="G2090" t="inlineStr">
        <is>
          <t>導入支援</t>
        </is>
      </c>
      <c r="H2090" t="inlineStr">
        <is>
          <t>初期設定支援</t>
        </is>
      </c>
      <c r="I2090" s="4" t="n">
        <v>3</v>
      </c>
      <c r="J2090" s="4" t="n">
        <v>119600</v>
      </c>
      <c r="K2090" s="4">
        <f>I2090*J2090</f>
        <v/>
      </c>
      <c r="L2090" t="inlineStr">
        <is>
          <t>キャンペーン適用</t>
        </is>
      </c>
    </row>
    <row r="2091">
      <c r="A2091" t="inlineStr">
        <is>
          <t>SR087</t>
        </is>
      </c>
      <c r="B2091" t="inlineStr">
        <is>
          <t>営業担当087</t>
        </is>
      </c>
      <c r="C2091" t="inlineStr">
        <is>
          <t>第2営業部</t>
        </is>
      </c>
      <c r="D2091" s="3" t="n">
        <v>46084</v>
      </c>
      <c r="E2091" t="inlineStr">
        <is>
          <t>大和精機(株)</t>
        </is>
      </c>
      <c r="F2091" t="inlineStr">
        <is>
          <t>大阪府</t>
        </is>
      </c>
      <c r="G2091" t="inlineStr">
        <is>
          <t>導入支援</t>
        </is>
      </c>
      <c r="H2091" t="inlineStr">
        <is>
          <t>データ移行支援</t>
        </is>
      </c>
      <c r="I2091" s="4" t="n">
        <v>3</v>
      </c>
      <c r="J2091" s="4" t="n">
        <v>246600</v>
      </c>
      <c r="K2091" s="4">
        <f>I2091*J2091</f>
        <v/>
      </c>
      <c r="L2091" t="inlineStr"/>
    </row>
    <row r="2092">
      <c r="A2092" t="inlineStr">
        <is>
          <t>SR087</t>
        </is>
      </c>
      <c r="B2092" t="inlineStr">
        <is>
          <t>営業担当087</t>
        </is>
      </c>
      <c r="C2092" t="inlineStr">
        <is>
          <t>第2営業部</t>
        </is>
      </c>
      <c r="D2092" s="3" t="n">
        <v>46104</v>
      </c>
      <c r="E2092" t="inlineStr">
        <is>
          <t>アーク電機(株)</t>
        </is>
      </c>
      <c r="F2092" t="inlineStr">
        <is>
          <t>兵庫県</t>
        </is>
      </c>
      <c r="G2092" t="inlineStr">
        <is>
          <t>導入支援</t>
        </is>
      </c>
      <c r="H2092" t="inlineStr">
        <is>
          <t>初期設定支援</t>
        </is>
      </c>
      <c r="I2092" s="4" t="n">
        <v>1</v>
      </c>
      <c r="J2092" s="4" t="n">
        <v>133000</v>
      </c>
      <c r="K2092" s="4">
        <f>I2092*J2092</f>
        <v/>
      </c>
      <c r="L2092" t="inlineStr">
        <is>
          <t>大型案件</t>
        </is>
      </c>
    </row>
    <row r="2093">
      <c r="A2093" t="inlineStr">
        <is>
          <t>SR088</t>
        </is>
      </c>
      <c r="B2093" t="inlineStr">
        <is>
          <t>営業担当088</t>
        </is>
      </c>
      <c r="C2093" t="inlineStr">
        <is>
          <t>第3営業部</t>
        </is>
      </c>
      <c r="D2093" s="3" t="n">
        <v>45756</v>
      </c>
      <c r="E2093" t="inlineStr">
        <is>
          <t>大和精機(株)</t>
        </is>
      </c>
      <c r="F2093" t="inlineStr">
        <is>
          <t>宮城県</t>
        </is>
      </c>
      <c r="G2093" t="inlineStr">
        <is>
          <t>ソフトウェア</t>
        </is>
      </c>
      <c r="H2093" t="inlineStr">
        <is>
          <t>在庫管理クラウド</t>
        </is>
      </c>
      <c r="I2093" s="4" t="n">
        <v>5</v>
      </c>
      <c r="J2093" s="4" t="n">
        <v>223800</v>
      </c>
      <c r="K2093" s="4">
        <f>I2093*J2093</f>
        <v/>
      </c>
      <c r="L2093" t="inlineStr">
        <is>
          <t>大型案件</t>
        </is>
      </c>
    </row>
    <row r="2094">
      <c r="A2094" t="inlineStr">
        <is>
          <t>SR088</t>
        </is>
      </c>
      <c r="B2094" t="inlineStr">
        <is>
          <t>営業担当088</t>
        </is>
      </c>
      <c r="C2094" t="inlineStr">
        <is>
          <t>第3営業部</t>
        </is>
      </c>
      <c r="D2094" s="3" t="n">
        <v>45771</v>
      </c>
      <c r="E2094" t="inlineStr">
        <is>
          <t>未来通信有限会社</t>
        </is>
      </c>
      <c r="F2094" t="inlineStr">
        <is>
          <t>福岡県</t>
        </is>
      </c>
      <c r="G2094" t="inlineStr">
        <is>
          <t>消耗品</t>
        </is>
      </c>
      <c r="H2094" t="inlineStr">
        <is>
          <t>ラベルロール</t>
        </is>
      </c>
      <c r="I2094" s="4" t="n">
        <v>14</v>
      </c>
      <c r="J2094" s="4" t="n">
        <v>4650</v>
      </c>
      <c r="K2094" s="4">
        <f>I2094*J2094</f>
        <v/>
      </c>
      <c r="L2094" t="inlineStr">
        <is>
          <t>大型案件</t>
        </is>
      </c>
    </row>
    <row r="2095">
      <c r="A2095" t="inlineStr">
        <is>
          <t>SR088</t>
        </is>
      </c>
      <c r="B2095" t="inlineStr">
        <is>
          <t>営業担当088</t>
        </is>
      </c>
      <c r="C2095" t="inlineStr">
        <is>
          <t>第3営業部</t>
        </is>
      </c>
      <c r="D2095" s="3" t="n">
        <v>45782</v>
      </c>
      <c r="E2095" t="inlineStr">
        <is>
          <t>北斗産業株式会社</t>
        </is>
      </c>
      <c r="F2095" t="inlineStr">
        <is>
          <t>愛知県</t>
        </is>
      </c>
      <c r="G2095" t="inlineStr">
        <is>
          <t>ソフトウェア</t>
        </is>
      </c>
      <c r="H2095" t="inlineStr">
        <is>
          <t>在庫管理クラウド</t>
        </is>
      </c>
      <c r="I2095" s="4" t="n">
        <v>4</v>
      </c>
      <c r="J2095" s="4" t="n">
        <v>234400</v>
      </c>
      <c r="K2095" s="4">
        <f>I2095*J2095</f>
        <v/>
      </c>
      <c r="L2095" t="inlineStr">
        <is>
          <t>大型案件</t>
        </is>
      </c>
    </row>
    <row r="2096">
      <c r="A2096" t="inlineStr">
        <is>
          <t>SR088</t>
        </is>
      </c>
      <c r="B2096" t="inlineStr">
        <is>
          <t>営業担当088</t>
        </is>
      </c>
      <c r="C2096" t="inlineStr">
        <is>
          <t>第3営業部</t>
        </is>
      </c>
      <c r="D2096" s="3" t="n">
        <v>45787</v>
      </c>
      <c r="E2096" t="inlineStr">
        <is>
          <t>未来通信株式会社</t>
        </is>
      </c>
      <c r="F2096" t="inlineStr">
        <is>
          <t>京都府</t>
        </is>
      </c>
      <c r="G2096" t="inlineStr">
        <is>
          <t>消耗品</t>
        </is>
      </c>
      <c r="H2096" t="inlineStr">
        <is>
          <t>交換用ヘッド</t>
        </is>
      </c>
      <c r="I2096" s="4" t="n">
        <v>13</v>
      </c>
      <c r="J2096" s="4" t="n">
        <v>33700</v>
      </c>
      <c r="K2096" s="4">
        <f>I2096*J2096</f>
        <v/>
      </c>
      <c r="L2096" t="inlineStr"/>
    </row>
    <row r="2097">
      <c r="A2097" t="inlineStr">
        <is>
          <t>SR088</t>
        </is>
      </c>
      <c r="B2097" t="inlineStr">
        <is>
          <t>営業担当088</t>
        </is>
      </c>
      <c r="C2097" t="inlineStr">
        <is>
          <t>第3営業部</t>
        </is>
      </c>
      <c r="D2097" s="3" t="n">
        <v>45817</v>
      </c>
      <c r="E2097" t="inlineStr">
        <is>
          <t>中央設備有限会社</t>
        </is>
      </c>
      <c r="F2097" t="inlineStr">
        <is>
          <t>東京都</t>
        </is>
      </c>
      <c r="G2097" t="inlineStr">
        <is>
          <t>ハードウェア</t>
        </is>
      </c>
      <c r="H2097" t="inlineStr">
        <is>
          <t>産業用タブレット</t>
        </is>
      </c>
      <c r="I2097" s="4" t="n">
        <v>1</v>
      </c>
      <c r="J2097" s="4" t="n">
        <v>110300</v>
      </c>
      <c r="K2097" s="4">
        <f>I2097*J2097</f>
        <v/>
      </c>
      <c r="L2097" t="inlineStr"/>
    </row>
    <row r="2098">
      <c r="A2098" t="inlineStr">
        <is>
          <t>SR088</t>
        </is>
      </c>
      <c r="B2098" t="inlineStr">
        <is>
          <t>営業担当088</t>
        </is>
      </c>
      <c r="C2098" t="inlineStr">
        <is>
          <t>第3営業部</t>
        </is>
      </c>
      <c r="D2098" s="3" t="n">
        <v>45829</v>
      </c>
      <c r="E2098" t="inlineStr">
        <is>
          <t>ネクストソリューション有限会社</t>
        </is>
      </c>
      <c r="F2098" t="inlineStr">
        <is>
          <t>東京都</t>
        </is>
      </c>
      <c r="G2098" t="inlineStr">
        <is>
          <t>ハードウェア</t>
        </is>
      </c>
      <c r="H2098" t="inlineStr">
        <is>
          <t>産業用タブレット</t>
        </is>
      </c>
      <c r="I2098" s="4" t="n">
        <v>3</v>
      </c>
      <c r="J2098" s="4" t="n">
        <v>124700</v>
      </c>
      <c r="K2098" s="4">
        <f>I2098*J2098</f>
        <v/>
      </c>
      <c r="L2098" t="inlineStr">
        <is>
          <t>キャンペーン適用</t>
        </is>
      </c>
    </row>
    <row r="2099">
      <c r="A2099" t="inlineStr">
        <is>
          <t>SR088</t>
        </is>
      </c>
      <c r="B2099" t="inlineStr">
        <is>
          <t>営業担当088</t>
        </is>
      </c>
      <c r="C2099" t="inlineStr">
        <is>
          <t>第3営業部</t>
        </is>
      </c>
      <c r="D2099" s="3" t="n">
        <v>45849</v>
      </c>
      <c r="E2099" t="inlineStr">
        <is>
          <t>東洋フーズ(株)</t>
        </is>
      </c>
      <c r="F2099" t="inlineStr">
        <is>
          <t>福岡県</t>
        </is>
      </c>
      <c r="G2099" t="inlineStr">
        <is>
          <t>ハードウェア</t>
        </is>
      </c>
      <c r="H2099" t="inlineStr">
        <is>
          <t>産業用タブレット</t>
        </is>
      </c>
      <c r="I2099" s="4" t="n">
        <v>3</v>
      </c>
      <c r="J2099" s="4" t="n">
        <v>101200</v>
      </c>
      <c r="K2099" s="4">
        <f>I2099*J2099</f>
        <v/>
      </c>
      <c r="L2099" t="inlineStr">
        <is>
          <t>キャンペーン適用</t>
        </is>
      </c>
    </row>
    <row r="2100">
      <c r="A2100" t="inlineStr">
        <is>
          <t>SR088</t>
        </is>
      </c>
      <c r="B2100" t="inlineStr">
        <is>
          <t>営業担当088</t>
        </is>
      </c>
      <c r="C2100" t="inlineStr">
        <is>
          <t>第3営業部</t>
        </is>
      </c>
      <c r="D2100" s="3" t="n">
        <v>45857</v>
      </c>
      <c r="E2100" t="inlineStr">
        <is>
          <t>オーシャン製作所株式会社</t>
        </is>
      </c>
      <c r="F2100" t="inlineStr">
        <is>
          <t>広島県</t>
        </is>
      </c>
      <c r="G2100" t="inlineStr">
        <is>
          <t>ハードウェア</t>
        </is>
      </c>
      <c r="H2100" t="inlineStr">
        <is>
          <t>小型ハンディ端末</t>
        </is>
      </c>
      <c r="I2100" s="4" t="n">
        <v>1</v>
      </c>
      <c r="J2100" s="4" t="n">
        <v>76300</v>
      </c>
      <c r="K2100" s="4">
        <f>I2100*J2100</f>
        <v/>
      </c>
      <c r="L2100" t="inlineStr">
        <is>
          <t>キャンペーン適用</t>
        </is>
      </c>
    </row>
    <row r="2101">
      <c r="A2101" t="inlineStr">
        <is>
          <t>SR088</t>
        </is>
      </c>
      <c r="B2101" t="inlineStr">
        <is>
          <t>営業担当088</t>
        </is>
      </c>
      <c r="C2101" t="inlineStr">
        <is>
          <t>第3営業部</t>
        </is>
      </c>
      <c r="D2101" s="3" t="n">
        <v>45878</v>
      </c>
      <c r="E2101" t="inlineStr">
        <is>
          <t>未来通信有限会社</t>
        </is>
      </c>
      <c r="F2101" t="inlineStr">
        <is>
          <t>愛知県</t>
        </is>
      </c>
      <c r="G2101" t="inlineStr">
        <is>
          <t>導入支援</t>
        </is>
      </c>
      <c r="H2101" t="inlineStr">
        <is>
          <t>操作研修パック</t>
        </is>
      </c>
      <c r="I2101" s="4" t="n">
        <v>5</v>
      </c>
      <c r="J2101" s="4" t="n">
        <v>145700</v>
      </c>
      <c r="K2101" s="4">
        <f>I2101*J2101</f>
        <v/>
      </c>
      <c r="L2101" t="inlineStr">
        <is>
          <t>新規開拓</t>
        </is>
      </c>
    </row>
    <row r="2102">
      <c r="A2102" t="inlineStr">
        <is>
          <t>SR088</t>
        </is>
      </c>
      <c r="B2102" t="inlineStr">
        <is>
          <t>営業担当088</t>
        </is>
      </c>
      <c r="C2102" t="inlineStr">
        <is>
          <t>第3営業部</t>
        </is>
      </c>
      <c r="D2102" s="3" t="n">
        <v>45882</v>
      </c>
      <c r="E2102" t="inlineStr">
        <is>
          <t>大和精機有限会社</t>
        </is>
      </c>
      <c r="F2102" t="inlineStr">
        <is>
          <t>神奈川県</t>
        </is>
      </c>
      <c r="G2102" t="inlineStr">
        <is>
          <t>導入支援</t>
        </is>
      </c>
      <c r="H2102" t="inlineStr">
        <is>
          <t>操作研修パック</t>
        </is>
      </c>
      <c r="I2102" s="4" t="n">
        <v>2</v>
      </c>
      <c r="J2102" s="4" t="n">
        <v>59800</v>
      </c>
      <c r="K2102" s="4">
        <f>I2102*J2102</f>
        <v/>
      </c>
      <c r="L2102" t="inlineStr">
        <is>
          <t>大型案件</t>
        </is>
      </c>
    </row>
    <row r="2103">
      <c r="A2103" t="inlineStr">
        <is>
          <t>SR088</t>
        </is>
      </c>
      <c r="B2103" t="inlineStr">
        <is>
          <t>営業担当088</t>
        </is>
      </c>
      <c r="C2103" t="inlineStr">
        <is>
          <t>第3営業部</t>
        </is>
      </c>
      <c r="D2103" s="3" t="n">
        <v>45904</v>
      </c>
      <c r="E2103" t="inlineStr">
        <is>
          <t>日新サービス(株)</t>
        </is>
      </c>
      <c r="F2103" t="inlineStr">
        <is>
          <t>兵庫県</t>
        </is>
      </c>
      <c r="G2103" t="inlineStr">
        <is>
          <t>ハードウェア</t>
        </is>
      </c>
      <c r="H2103" t="inlineStr">
        <is>
          <t>小型ハンディ端末</t>
        </is>
      </c>
      <c r="I2103" s="4" t="n">
        <v>3</v>
      </c>
      <c r="J2103" s="4" t="n">
        <v>49600</v>
      </c>
      <c r="K2103" s="4">
        <f>I2103*J2103</f>
        <v/>
      </c>
      <c r="L2103" t="inlineStr">
        <is>
          <t>新規開拓</t>
        </is>
      </c>
    </row>
    <row r="2104">
      <c r="A2104" t="inlineStr">
        <is>
          <t>SR088</t>
        </is>
      </c>
      <c r="B2104" t="inlineStr">
        <is>
          <t>営業担当088</t>
        </is>
      </c>
      <c r="C2104" t="inlineStr">
        <is>
          <t>第3営業部</t>
        </is>
      </c>
      <c r="D2104" s="3" t="n">
        <v>45913</v>
      </c>
      <c r="E2104" t="inlineStr">
        <is>
          <t>福岡流通株式会社</t>
        </is>
      </c>
      <c r="F2104" t="inlineStr">
        <is>
          <t>愛知県</t>
        </is>
      </c>
      <c r="G2104" t="inlineStr">
        <is>
          <t>導入支援</t>
        </is>
      </c>
      <c r="H2104" t="inlineStr">
        <is>
          <t>データ移行支援</t>
        </is>
      </c>
      <c r="I2104" s="4" t="n">
        <v>3</v>
      </c>
      <c r="J2104" s="4" t="n">
        <v>259100</v>
      </c>
      <c r="K2104" s="4">
        <f>I2104*J2104</f>
        <v/>
      </c>
      <c r="L2104" t="inlineStr"/>
    </row>
    <row r="2105">
      <c r="A2105" t="inlineStr">
        <is>
          <t>SR088</t>
        </is>
      </c>
      <c r="B2105" t="inlineStr">
        <is>
          <t>営業担当088</t>
        </is>
      </c>
      <c r="C2105" t="inlineStr">
        <is>
          <t>第3営業部</t>
        </is>
      </c>
      <c r="D2105" s="3" t="n">
        <v>45939</v>
      </c>
      <c r="E2105" t="inlineStr">
        <is>
          <t>青葉商事(株)</t>
        </is>
      </c>
      <c r="F2105" t="inlineStr">
        <is>
          <t>広島県</t>
        </is>
      </c>
      <c r="G2105" t="inlineStr">
        <is>
          <t>ハードウェア</t>
        </is>
      </c>
      <c r="H2105" t="inlineStr">
        <is>
          <t>産業用タブレット</t>
        </is>
      </c>
      <c r="I2105" s="4" t="n">
        <v>1</v>
      </c>
      <c r="J2105" s="4" t="n">
        <v>114900</v>
      </c>
      <c r="K2105" s="4">
        <f>I2105*J2105</f>
        <v/>
      </c>
      <c r="L2105" t="inlineStr">
        <is>
          <t>値引き調整あり</t>
        </is>
      </c>
    </row>
    <row r="2106">
      <c r="A2106" t="inlineStr">
        <is>
          <t>SR088</t>
        </is>
      </c>
      <c r="B2106" t="inlineStr">
        <is>
          <t>営業担当088</t>
        </is>
      </c>
      <c r="C2106" t="inlineStr">
        <is>
          <t>第3営業部</t>
        </is>
      </c>
      <c r="D2106" s="3" t="n">
        <v>45942</v>
      </c>
      <c r="E2106" t="inlineStr">
        <is>
          <t>ネクストソリューション株式会社</t>
        </is>
      </c>
      <c r="F2106" t="inlineStr">
        <is>
          <t>京都府</t>
        </is>
      </c>
      <c r="G2106" t="inlineStr">
        <is>
          <t>保守サービス</t>
        </is>
      </c>
      <c r="H2106" t="inlineStr">
        <is>
          <t>オンサイト保守</t>
        </is>
      </c>
      <c r="I2106" s="4" t="n">
        <v>2</v>
      </c>
      <c r="J2106" s="4" t="n">
        <v>128200</v>
      </c>
      <c r="K2106" s="4">
        <f>I2106*J2106</f>
        <v/>
      </c>
      <c r="L2106" t="inlineStr">
        <is>
          <t>値引き調整あり</t>
        </is>
      </c>
    </row>
    <row r="2107">
      <c r="A2107" t="inlineStr">
        <is>
          <t>SR088</t>
        </is>
      </c>
      <c r="B2107" t="inlineStr">
        <is>
          <t>営業担当088</t>
        </is>
      </c>
      <c r="C2107" t="inlineStr">
        <is>
          <t>第3営業部</t>
        </is>
      </c>
      <c r="D2107" s="3" t="n">
        <v>45962</v>
      </c>
      <c r="E2107" t="inlineStr">
        <is>
          <t>みらい物流株式会社</t>
        </is>
      </c>
      <c r="F2107" t="inlineStr">
        <is>
          <t>兵庫県</t>
        </is>
      </c>
      <c r="G2107" t="inlineStr">
        <is>
          <t>ハードウェア</t>
        </is>
      </c>
      <c r="H2107" t="inlineStr">
        <is>
          <t>小型ハンディ端末</t>
        </is>
      </c>
      <c r="I2107" s="4" t="n">
        <v>4</v>
      </c>
      <c r="J2107" s="4" t="n">
        <v>49400</v>
      </c>
      <c r="K2107" s="4">
        <f>I2107*J2107</f>
        <v/>
      </c>
      <c r="L2107" t="inlineStr">
        <is>
          <t>大型案件</t>
        </is>
      </c>
    </row>
    <row r="2108">
      <c r="A2108" t="inlineStr">
        <is>
          <t>SR088</t>
        </is>
      </c>
      <c r="B2108" t="inlineStr">
        <is>
          <t>営業担当088</t>
        </is>
      </c>
      <c r="C2108" t="inlineStr">
        <is>
          <t>第3営業部</t>
        </is>
      </c>
      <c r="D2108" s="3" t="n">
        <v>45971</v>
      </c>
      <c r="E2108" t="inlineStr">
        <is>
          <t>東洋フーズ(株)</t>
        </is>
      </c>
      <c r="F2108" t="inlineStr">
        <is>
          <t>大阪府</t>
        </is>
      </c>
      <c r="G2108" t="inlineStr">
        <is>
          <t>保守サービス</t>
        </is>
      </c>
      <c r="H2108" t="inlineStr">
        <is>
          <t>年間保守契約</t>
        </is>
      </c>
      <c r="I2108" s="4" t="n">
        <v>3</v>
      </c>
      <c r="J2108" s="4" t="n">
        <v>174400</v>
      </c>
      <c r="K2108" s="4">
        <f>I2108*J2108</f>
        <v/>
      </c>
      <c r="L2108" t="inlineStr"/>
    </row>
    <row r="2109">
      <c r="A2109" t="inlineStr">
        <is>
          <t>SR088</t>
        </is>
      </c>
      <c r="B2109" t="inlineStr">
        <is>
          <t>営業担当088</t>
        </is>
      </c>
      <c r="C2109" t="inlineStr">
        <is>
          <t>第3営業部</t>
        </is>
      </c>
      <c r="D2109" s="3" t="n">
        <v>46005</v>
      </c>
      <c r="E2109" t="inlineStr">
        <is>
          <t>青葉商事(株)</t>
        </is>
      </c>
      <c r="F2109" t="inlineStr">
        <is>
          <t>京都府</t>
        </is>
      </c>
      <c r="G2109" t="inlineStr">
        <is>
          <t>ソフトウェア</t>
        </is>
      </c>
      <c r="H2109" t="inlineStr">
        <is>
          <t>AIチャットボット</t>
        </is>
      </c>
      <c r="I2109" s="4" t="n">
        <v>3</v>
      </c>
      <c r="J2109" s="4" t="n">
        <v>498300</v>
      </c>
      <c r="K2109" s="4">
        <f>I2109*J2109</f>
        <v/>
      </c>
      <c r="L2109" t="inlineStr">
        <is>
          <t>大型案件</t>
        </is>
      </c>
    </row>
    <row r="2110">
      <c r="A2110" t="inlineStr">
        <is>
          <t>SR088</t>
        </is>
      </c>
      <c r="B2110" t="inlineStr">
        <is>
          <t>営業担当088</t>
        </is>
      </c>
      <c r="C2110" t="inlineStr">
        <is>
          <t>第3営業部</t>
        </is>
      </c>
      <c r="D2110" s="3" t="n">
        <v>46006</v>
      </c>
      <c r="E2110" t="inlineStr">
        <is>
          <t>アーク電機有限会社</t>
        </is>
      </c>
      <c r="F2110" t="inlineStr">
        <is>
          <t>大阪府</t>
        </is>
      </c>
      <c r="G2110" t="inlineStr">
        <is>
          <t>ソフトウェア</t>
        </is>
      </c>
      <c r="H2110" t="inlineStr">
        <is>
          <t>AIチャットボット</t>
        </is>
      </c>
      <c r="I2110" s="4" t="n">
        <v>2</v>
      </c>
      <c r="J2110" s="4" t="n">
        <v>430800</v>
      </c>
      <c r="K2110" s="4">
        <f>I2110*J2110</f>
        <v/>
      </c>
      <c r="L2110" t="inlineStr">
        <is>
          <t>大型案件</t>
        </is>
      </c>
    </row>
    <row r="2111">
      <c r="A2111" t="inlineStr">
        <is>
          <t>SR088</t>
        </is>
      </c>
      <c r="B2111" t="inlineStr">
        <is>
          <t>営業担当088</t>
        </is>
      </c>
      <c r="C2111" t="inlineStr">
        <is>
          <t>第3営業部</t>
        </is>
      </c>
      <c r="D2111" s="3" t="n">
        <v>46029</v>
      </c>
      <c r="E2111" t="inlineStr">
        <is>
          <t>福岡流通株式会社</t>
        </is>
      </c>
      <c r="F2111" t="inlineStr">
        <is>
          <t>東京都</t>
        </is>
      </c>
      <c r="G2111" t="inlineStr">
        <is>
          <t>保守サービス</t>
        </is>
      </c>
      <c r="H2111" t="inlineStr">
        <is>
          <t>年間保守契約</t>
        </is>
      </c>
      <c r="I2111" s="4" t="n">
        <v>5</v>
      </c>
      <c r="J2111" s="4" t="n">
        <v>227500</v>
      </c>
      <c r="K2111" s="4">
        <f>I2111*J2111</f>
        <v/>
      </c>
      <c r="L2111" t="inlineStr"/>
    </row>
    <row r="2112">
      <c r="A2112" t="inlineStr">
        <is>
          <t>SR088</t>
        </is>
      </c>
      <c r="B2112" t="inlineStr">
        <is>
          <t>営業担当088</t>
        </is>
      </c>
      <c r="C2112" t="inlineStr">
        <is>
          <t>第3営業部</t>
        </is>
      </c>
      <c r="D2112" s="3" t="n">
        <v>46037</v>
      </c>
      <c r="E2112" t="inlineStr">
        <is>
          <t>東洋フーズ有限会社</t>
        </is>
      </c>
      <c r="F2112" t="inlineStr">
        <is>
          <t>神奈川県</t>
        </is>
      </c>
      <c r="G2112" t="inlineStr">
        <is>
          <t>導入支援</t>
        </is>
      </c>
      <c r="H2112" t="inlineStr">
        <is>
          <t>データ移行支援</t>
        </is>
      </c>
      <c r="I2112" s="4" t="n">
        <v>3</v>
      </c>
      <c r="J2112" s="4" t="n">
        <v>145700</v>
      </c>
      <c r="K2112" s="4">
        <f>I2112*J2112</f>
        <v/>
      </c>
      <c r="L2112" t="inlineStr">
        <is>
          <t>分納</t>
        </is>
      </c>
    </row>
    <row r="2113">
      <c r="A2113" t="inlineStr">
        <is>
          <t>SR088</t>
        </is>
      </c>
      <c r="B2113" t="inlineStr">
        <is>
          <t>営業担当088</t>
        </is>
      </c>
      <c r="C2113" t="inlineStr">
        <is>
          <t>第3営業部</t>
        </is>
      </c>
      <c r="D2113" s="3" t="n">
        <v>46061</v>
      </c>
      <c r="E2113" t="inlineStr">
        <is>
          <t>白峰化学株式会社</t>
        </is>
      </c>
      <c r="F2113" t="inlineStr">
        <is>
          <t>東京都</t>
        </is>
      </c>
      <c r="G2113" t="inlineStr">
        <is>
          <t>ハードウェア</t>
        </is>
      </c>
      <c r="H2113" t="inlineStr">
        <is>
          <t>ネットワークカメラ</t>
        </is>
      </c>
      <c r="I2113" s="4" t="n">
        <v>4</v>
      </c>
      <c r="J2113" s="4" t="n">
        <v>46400</v>
      </c>
      <c r="K2113" s="4">
        <f>I2113*J2113</f>
        <v/>
      </c>
      <c r="L2113" t="inlineStr">
        <is>
          <t>値引き調整あり</t>
        </is>
      </c>
    </row>
    <row r="2114">
      <c r="A2114" t="inlineStr">
        <is>
          <t>SR088</t>
        </is>
      </c>
      <c r="B2114" t="inlineStr">
        <is>
          <t>営業担当088</t>
        </is>
      </c>
      <c r="C2114" t="inlineStr">
        <is>
          <t>第3営業部</t>
        </is>
      </c>
      <c r="D2114" s="3" t="n">
        <v>46062</v>
      </c>
      <c r="E2114" t="inlineStr">
        <is>
          <t>星和商会(株)</t>
        </is>
      </c>
      <c r="F2114" t="inlineStr">
        <is>
          <t>愛知県</t>
        </is>
      </c>
      <c r="G2114" t="inlineStr">
        <is>
          <t>ソフトウェア</t>
        </is>
      </c>
      <c r="H2114" t="inlineStr">
        <is>
          <t>帳票自動化ツール</t>
        </is>
      </c>
      <c r="I2114" s="4" t="n">
        <v>2</v>
      </c>
      <c r="J2114" s="4" t="n">
        <v>400500</v>
      </c>
      <c r="K2114" s="4">
        <f>I2114*J2114</f>
        <v/>
      </c>
      <c r="L2114" t="inlineStr"/>
    </row>
    <row r="2115">
      <c r="A2115" t="inlineStr">
        <is>
          <t>SR088</t>
        </is>
      </c>
      <c r="B2115" t="inlineStr">
        <is>
          <t>営業担当088</t>
        </is>
      </c>
      <c r="C2115" t="inlineStr">
        <is>
          <t>第3営業部</t>
        </is>
      </c>
      <c r="D2115" s="3" t="n">
        <v>46084</v>
      </c>
      <c r="E2115" t="inlineStr">
        <is>
          <t>未来通信有限会社</t>
        </is>
      </c>
      <c r="F2115" t="inlineStr">
        <is>
          <t>京都府</t>
        </is>
      </c>
      <c r="G2115" t="inlineStr">
        <is>
          <t>ハードウェア</t>
        </is>
      </c>
      <c r="H2115" t="inlineStr">
        <is>
          <t>産業用タブレット</t>
        </is>
      </c>
      <c r="I2115" s="4" t="n">
        <v>4</v>
      </c>
      <c r="J2115" s="4" t="n">
        <v>96300</v>
      </c>
      <c r="K2115" s="4">
        <f>I2115*J2115</f>
        <v/>
      </c>
      <c r="L2115" t="inlineStr">
        <is>
          <t>値引き調整あり</t>
        </is>
      </c>
    </row>
    <row r="2116">
      <c r="A2116" t="inlineStr">
        <is>
          <t>SR088</t>
        </is>
      </c>
      <c r="B2116" t="inlineStr">
        <is>
          <t>営業担当088</t>
        </is>
      </c>
      <c r="C2116" t="inlineStr">
        <is>
          <t>第3営業部</t>
        </is>
      </c>
      <c r="D2116" s="3" t="n">
        <v>46098</v>
      </c>
      <c r="E2116" t="inlineStr">
        <is>
          <t>グリーンテック株式会社</t>
        </is>
      </c>
      <c r="F2116" t="inlineStr">
        <is>
          <t>神奈川県</t>
        </is>
      </c>
      <c r="G2116" t="inlineStr">
        <is>
          <t>保守サービス</t>
        </is>
      </c>
      <c r="H2116" t="inlineStr">
        <is>
          <t>ヘルプデスク契約</t>
        </is>
      </c>
      <c r="I2116" s="4" t="n">
        <v>3</v>
      </c>
      <c r="J2116" s="4" t="n">
        <v>106600</v>
      </c>
      <c r="K2116" s="4">
        <f>I2116*J2116</f>
        <v/>
      </c>
      <c r="L2116" t="inlineStr"/>
    </row>
    <row r="2117">
      <c r="A2117" t="inlineStr">
        <is>
          <t>SR089</t>
        </is>
      </c>
      <c r="B2117" t="inlineStr">
        <is>
          <t>営業担当089</t>
        </is>
      </c>
      <c r="C2117" t="inlineStr">
        <is>
          <t>パートナー営業部</t>
        </is>
      </c>
      <c r="D2117" s="3" t="n">
        <v>45753</v>
      </c>
      <c r="E2117" t="inlineStr">
        <is>
          <t>青葉商事(株)</t>
        </is>
      </c>
      <c r="F2117" t="inlineStr">
        <is>
          <t>愛知県</t>
        </is>
      </c>
      <c r="G2117" t="inlineStr">
        <is>
          <t>導入支援</t>
        </is>
      </c>
      <c r="H2117" t="inlineStr">
        <is>
          <t>データ移行支援</t>
        </is>
      </c>
      <c r="I2117" s="4" t="n">
        <v>1</v>
      </c>
      <c r="J2117" s="4" t="n">
        <v>116300</v>
      </c>
      <c r="K2117" s="4">
        <f>I2117*J2117</f>
        <v/>
      </c>
      <c r="L2117" t="inlineStr">
        <is>
          <t>値引き調整あり</t>
        </is>
      </c>
    </row>
    <row r="2118">
      <c r="A2118" t="inlineStr">
        <is>
          <t>SR089</t>
        </is>
      </c>
      <c r="B2118" t="inlineStr">
        <is>
          <t>営業担当089</t>
        </is>
      </c>
      <c r="C2118" t="inlineStr">
        <is>
          <t>パートナー営業部</t>
        </is>
      </c>
      <c r="D2118" s="3" t="n">
        <v>45773</v>
      </c>
      <c r="E2118" t="inlineStr">
        <is>
          <t>グリーンテック株式会社</t>
        </is>
      </c>
      <c r="F2118" t="inlineStr">
        <is>
          <t>愛知県</t>
        </is>
      </c>
      <c r="G2118" t="inlineStr">
        <is>
          <t>消耗品</t>
        </is>
      </c>
      <c r="H2118" t="inlineStr">
        <is>
          <t>ラベルロール</t>
        </is>
      </c>
      <c r="I2118" s="4" t="n">
        <v>9</v>
      </c>
      <c r="J2118" s="4" t="n">
        <v>12010</v>
      </c>
      <c r="K2118" s="4">
        <f>I2118*J2118</f>
        <v/>
      </c>
      <c r="L2118" t="inlineStr">
        <is>
          <t>キャンペーン適用</t>
        </is>
      </c>
    </row>
    <row r="2119">
      <c r="A2119" t="inlineStr">
        <is>
          <t>SR089</t>
        </is>
      </c>
      <c r="B2119" t="inlineStr">
        <is>
          <t>営業担当089</t>
        </is>
      </c>
      <c r="C2119" t="inlineStr">
        <is>
          <t>パートナー営業部</t>
        </is>
      </c>
      <c r="D2119" s="3" t="n">
        <v>45796</v>
      </c>
      <c r="E2119" t="inlineStr">
        <is>
          <t>桜井メディカル有限会社</t>
        </is>
      </c>
      <c r="F2119" t="inlineStr">
        <is>
          <t>神奈川県</t>
        </is>
      </c>
      <c r="G2119" t="inlineStr">
        <is>
          <t>ソフトウェア</t>
        </is>
      </c>
      <c r="H2119" t="inlineStr">
        <is>
          <t>AIチャットボット</t>
        </is>
      </c>
      <c r="I2119" s="4" t="n">
        <v>3</v>
      </c>
      <c r="J2119" s="4" t="n">
        <v>542300</v>
      </c>
      <c r="K2119" s="4">
        <f>I2119*J2119</f>
        <v/>
      </c>
      <c r="L2119" t="inlineStr">
        <is>
          <t>分納</t>
        </is>
      </c>
    </row>
    <row r="2120">
      <c r="A2120" t="inlineStr">
        <is>
          <t>SR089</t>
        </is>
      </c>
      <c r="B2120" t="inlineStr">
        <is>
          <t>営業担当089</t>
        </is>
      </c>
      <c r="C2120" t="inlineStr">
        <is>
          <t>パートナー営業部</t>
        </is>
      </c>
      <c r="D2120" s="3" t="n">
        <v>45798</v>
      </c>
      <c r="E2120" t="inlineStr">
        <is>
          <t>星和商会有限会社</t>
        </is>
      </c>
      <c r="F2120" t="inlineStr">
        <is>
          <t>福岡県</t>
        </is>
      </c>
      <c r="G2120" t="inlineStr">
        <is>
          <t>ソフトウェア</t>
        </is>
      </c>
      <c r="H2120" t="inlineStr">
        <is>
          <t>営業支援SaaS</t>
        </is>
      </c>
      <c r="I2120" s="4" t="n">
        <v>5</v>
      </c>
      <c r="J2120" s="4" t="n">
        <v>214900</v>
      </c>
      <c r="K2120" s="4">
        <f>I2120*J2120</f>
        <v/>
      </c>
      <c r="L2120" t="inlineStr"/>
    </row>
    <row r="2121">
      <c r="A2121" t="inlineStr">
        <is>
          <t>SR089</t>
        </is>
      </c>
      <c r="B2121" t="inlineStr">
        <is>
          <t>営業担当089</t>
        </is>
      </c>
      <c r="C2121" t="inlineStr">
        <is>
          <t>パートナー営業部</t>
        </is>
      </c>
      <c r="D2121" s="3" t="n">
        <v>45816</v>
      </c>
      <c r="E2121" t="inlineStr">
        <is>
          <t>北斗産業有限会社</t>
        </is>
      </c>
      <c r="F2121" t="inlineStr">
        <is>
          <t>兵庫県</t>
        </is>
      </c>
      <c r="G2121" t="inlineStr">
        <is>
          <t>消耗品</t>
        </is>
      </c>
      <c r="H2121" t="inlineStr">
        <is>
          <t>ラベルロール</t>
        </is>
      </c>
      <c r="I2121" s="4" t="n">
        <v>4</v>
      </c>
      <c r="J2121" s="4" t="n">
        <v>3910</v>
      </c>
      <c r="K2121" s="4">
        <f>I2121*J2121</f>
        <v/>
      </c>
      <c r="L2121" t="inlineStr">
        <is>
          <t>新規開拓</t>
        </is>
      </c>
    </row>
    <row r="2122">
      <c r="A2122" t="inlineStr">
        <is>
          <t>SR089</t>
        </is>
      </c>
      <c r="B2122" t="inlineStr">
        <is>
          <t>営業担当089</t>
        </is>
      </c>
      <c r="C2122" t="inlineStr">
        <is>
          <t>パートナー営業部</t>
        </is>
      </c>
      <c r="D2122" s="3" t="n">
        <v>45826</v>
      </c>
      <c r="E2122" t="inlineStr">
        <is>
          <t>西日本機工株式会社</t>
        </is>
      </c>
      <c r="F2122" t="inlineStr">
        <is>
          <t>大阪府</t>
        </is>
      </c>
      <c r="G2122" t="inlineStr">
        <is>
          <t>消耗品</t>
        </is>
      </c>
      <c r="H2122" t="inlineStr">
        <is>
          <t>ラベルロール</t>
        </is>
      </c>
      <c r="I2122" s="4" t="n">
        <v>11</v>
      </c>
      <c r="J2122" s="4" t="n">
        <v>7830</v>
      </c>
      <c r="K2122" s="4">
        <f>I2122*J2122</f>
        <v/>
      </c>
      <c r="L2122" t="inlineStr">
        <is>
          <t>大型案件</t>
        </is>
      </c>
    </row>
    <row r="2123">
      <c r="A2123" t="inlineStr">
        <is>
          <t>SR089</t>
        </is>
      </c>
      <c r="B2123" t="inlineStr">
        <is>
          <t>営業担当089</t>
        </is>
      </c>
      <c r="C2123" t="inlineStr">
        <is>
          <t>パートナー営業部</t>
        </is>
      </c>
      <c r="D2123" s="3" t="n">
        <v>45844</v>
      </c>
      <c r="E2123" t="inlineStr">
        <is>
          <t>西日本機工株式会社</t>
        </is>
      </c>
      <c r="F2123" t="inlineStr">
        <is>
          <t>東京都</t>
        </is>
      </c>
      <c r="G2123" t="inlineStr">
        <is>
          <t>ハードウェア</t>
        </is>
      </c>
      <c r="H2123" t="inlineStr">
        <is>
          <t>小型ハンディ端末</t>
        </is>
      </c>
      <c r="I2123" s="4" t="n">
        <v>2</v>
      </c>
      <c r="J2123" s="4" t="n">
        <v>65200</v>
      </c>
      <c r="K2123" s="4">
        <f>I2123*J2123</f>
        <v/>
      </c>
      <c r="L2123" t="inlineStr"/>
    </row>
    <row r="2124">
      <c r="A2124" t="inlineStr">
        <is>
          <t>SR089</t>
        </is>
      </c>
      <c r="B2124" t="inlineStr">
        <is>
          <t>営業担当089</t>
        </is>
      </c>
      <c r="C2124" t="inlineStr">
        <is>
          <t>パートナー営業部</t>
        </is>
      </c>
      <c r="D2124" s="3" t="n">
        <v>45855</v>
      </c>
      <c r="E2124" t="inlineStr">
        <is>
          <t>九州エナジー株式会社</t>
        </is>
      </c>
      <c r="F2124" t="inlineStr">
        <is>
          <t>神奈川県</t>
        </is>
      </c>
      <c r="G2124" t="inlineStr">
        <is>
          <t>保守サービス</t>
        </is>
      </c>
      <c r="H2124" t="inlineStr">
        <is>
          <t>オンサイト保守</t>
        </is>
      </c>
      <c r="I2124" s="4" t="n">
        <v>5</v>
      </c>
      <c r="J2124" s="4" t="n">
        <v>67800</v>
      </c>
      <c r="K2124" s="4">
        <f>I2124*J2124</f>
        <v/>
      </c>
      <c r="L2124" t="inlineStr"/>
    </row>
    <row r="2125">
      <c r="A2125" t="inlineStr">
        <is>
          <t>SR089</t>
        </is>
      </c>
      <c r="B2125" t="inlineStr">
        <is>
          <t>営業担当089</t>
        </is>
      </c>
      <c r="C2125" t="inlineStr">
        <is>
          <t>パートナー営業部</t>
        </is>
      </c>
      <c r="D2125" s="3" t="n">
        <v>45871</v>
      </c>
      <c r="E2125" t="inlineStr">
        <is>
          <t>アーク電機(株)</t>
        </is>
      </c>
      <c r="F2125" t="inlineStr">
        <is>
          <t>愛知県</t>
        </is>
      </c>
      <c r="G2125" t="inlineStr">
        <is>
          <t>ハードウェア</t>
        </is>
      </c>
      <c r="H2125" t="inlineStr">
        <is>
          <t>小型ハンディ端末</t>
        </is>
      </c>
      <c r="I2125" s="4" t="n">
        <v>1</v>
      </c>
      <c r="J2125" s="4" t="n">
        <v>98000</v>
      </c>
      <c r="K2125" s="4">
        <f>I2125*J2125</f>
        <v/>
      </c>
      <c r="L2125" t="inlineStr"/>
    </row>
    <row r="2126">
      <c r="A2126" t="inlineStr">
        <is>
          <t>SR089</t>
        </is>
      </c>
      <c r="B2126" t="inlineStr">
        <is>
          <t>営業担当089</t>
        </is>
      </c>
      <c r="C2126" t="inlineStr">
        <is>
          <t>パートナー営業部</t>
        </is>
      </c>
      <c r="D2126" s="3" t="n">
        <v>45879</v>
      </c>
      <c r="E2126" t="inlineStr">
        <is>
          <t>白峰化学株式会社</t>
        </is>
      </c>
      <c r="F2126" t="inlineStr">
        <is>
          <t>広島県</t>
        </is>
      </c>
      <c r="G2126" t="inlineStr">
        <is>
          <t>ハードウェア</t>
        </is>
      </c>
      <c r="H2126" t="inlineStr">
        <is>
          <t>小型ハンディ端末</t>
        </is>
      </c>
      <c r="I2126" s="4" t="n">
        <v>1</v>
      </c>
      <c r="J2126" s="4" t="n">
        <v>57000</v>
      </c>
      <c r="K2126" s="4">
        <f>I2126*J2126</f>
        <v/>
      </c>
      <c r="L2126" t="inlineStr">
        <is>
          <t>大型案件</t>
        </is>
      </c>
    </row>
    <row r="2127">
      <c r="A2127" t="inlineStr">
        <is>
          <t>SR089</t>
        </is>
      </c>
      <c r="B2127" t="inlineStr">
        <is>
          <t>営業担当089</t>
        </is>
      </c>
      <c r="C2127" t="inlineStr">
        <is>
          <t>パートナー営業部</t>
        </is>
      </c>
      <c r="D2127" s="3" t="n">
        <v>45912</v>
      </c>
      <c r="E2127" t="inlineStr">
        <is>
          <t>サンライズ建設有限会社</t>
        </is>
      </c>
      <c r="F2127" t="inlineStr">
        <is>
          <t>宮城県</t>
        </is>
      </c>
      <c r="G2127" t="inlineStr">
        <is>
          <t>ハードウェア</t>
        </is>
      </c>
      <c r="H2127" t="inlineStr">
        <is>
          <t>産業用タブレット</t>
        </is>
      </c>
      <c r="I2127" s="4" t="n">
        <v>2</v>
      </c>
      <c r="J2127" s="4" t="n">
        <v>116500</v>
      </c>
      <c r="K2127" s="4">
        <f>I2127*J2127</f>
        <v/>
      </c>
      <c r="L2127" t="inlineStr">
        <is>
          <t>キャンペーン適用</t>
        </is>
      </c>
    </row>
    <row r="2128">
      <c r="A2128" t="inlineStr">
        <is>
          <t>SR089</t>
        </is>
      </c>
      <c r="B2128" t="inlineStr">
        <is>
          <t>営業担当089</t>
        </is>
      </c>
      <c r="C2128" t="inlineStr">
        <is>
          <t>パートナー営業部</t>
        </is>
      </c>
      <c r="D2128" s="3" t="n">
        <v>45920</v>
      </c>
      <c r="E2128" t="inlineStr">
        <is>
          <t>白峰化学株式会社</t>
        </is>
      </c>
      <c r="F2128" t="inlineStr">
        <is>
          <t>宮城県</t>
        </is>
      </c>
      <c r="G2128" t="inlineStr">
        <is>
          <t>消耗品</t>
        </is>
      </c>
      <c r="H2128" t="inlineStr">
        <is>
          <t>ラベルロール</t>
        </is>
      </c>
      <c r="I2128" s="4" t="n">
        <v>12</v>
      </c>
      <c r="J2128" s="4" t="n">
        <v>8790</v>
      </c>
      <c r="K2128" s="4">
        <f>I2128*J2128</f>
        <v/>
      </c>
      <c r="L2128" t="inlineStr">
        <is>
          <t>分納</t>
        </is>
      </c>
    </row>
    <row r="2129">
      <c r="A2129" t="inlineStr">
        <is>
          <t>SR089</t>
        </is>
      </c>
      <c r="B2129" t="inlineStr">
        <is>
          <t>営業担当089</t>
        </is>
      </c>
      <c r="C2129" t="inlineStr">
        <is>
          <t>パートナー営業部</t>
        </is>
      </c>
      <c r="D2129" s="3" t="n">
        <v>45931</v>
      </c>
      <c r="E2129" t="inlineStr">
        <is>
          <t>西日本機工(株)</t>
        </is>
      </c>
      <c r="F2129" t="inlineStr">
        <is>
          <t>東京都</t>
        </is>
      </c>
      <c r="G2129" t="inlineStr">
        <is>
          <t>消耗品</t>
        </is>
      </c>
      <c r="H2129" t="inlineStr">
        <is>
          <t>ラベルロール</t>
        </is>
      </c>
      <c r="I2129" s="4" t="n">
        <v>11</v>
      </c>
      <c r="J2129" s="4" t="n">
        <v>10800</v>
      </c>
      <c r="K2129" s="4">
        <f>I2129*J2129</f>
        <v/>
      </c>
      <c r="L2129" t="inlineStr"/>
    </row>
    <row r="2130">
      <c r="A2130" t="inlineStr">
        <is>
          <t>SR089</t>
        </is>
      </c>
      <c r="B2130" t="inlineStr">
        <is>
          <t>営業担当089</t>
        </is>
      </c>
      <c r="C2130" t="inlineStr">
        <is>
          <t>パートナー営業部</t>
        </is>
      </c>
      <c r="D2130" s="3" t="n">
        <v>45936</v>
      </c>
      <c r="E2130" t="inlineStr">
        <is>
          <t>未来通信(株)</t>
        </is>
      </c>
      <c r="F2130" t="inlineStr">
        <is>
          <t>東京都</t>
        </is>
      </c>
      <c r="G2130" t="inlineStr">
        <is>
          <t>ソフトウェア</t>
        </is>
      </c>
      <c r="H2130" t="inlineStr">
        <is>
          <t>在庫管理クラウド</t>
        </is>
      </c>
      <c r="I2130" s="4" t="n">
        <v>1</v>
      </c>
      <c r="J2130" s="4" t="n">
        <v>452300</v>
      </c>
      <c r="K2130" s="4">
        <f>I2130*J2130</f>
        <v/>
      </c>
      <c r="L2130" t="inlineStr"/>
    </row>
    <row r="2131">
      <c r="A2131" t="inlineStr">
        <is>
          <t>SR089</t>
        </is>
      </c>
      <c r="B2131" t="inlineStr">
        <is>
          <t>営業担当089</t>
        </is>
      </c>
      <c r="C2131" t="inlineStr">
        <is>
          <t>パートナー営業部</t>
        </is>
      </c>
      <c r="D2131" s="3" t="n">
        <v>45964</v>
      </c>
      <c r="E2131" t="inlineStr">
        <is>
          <t>西日本機工株式会社</t>
        </is>
      </c>
      <c r="F2131" t="inlineStr">
        <is>
          <t>大阪府</t>
        </is>
      </c>
      <c r="G2131" t="inlineStr">
        <is>
          <t>ハードウェア</t>
        </is>
      </c>
      <c r="H2131" t="inlineStr">
        <is>
          <t>ネットワークカメラ</t>
        </is>
      </c>
      <c r="I2131" s="4" t="n">
        <v>1</v>
      </c>
      <c r="J2131" s="4" t="n">
        <v>68500</v>
      </c>
      <c r="K2131" s="4">
        <f>I2131*J2131</f>
        <v/>
      </c>
      <c r="L2131" t="inlineStr">
        <is>
          <t>大型案件</t>
        </is>
      </c>
    </row>
    <row r="2132">
      <c r="A2132" t="inlineStr">
        <is>
          <t>SR089</t>
        </is>
      </c>
      <c r="B2132" t="inlineStr">
        <is>
          <t>営業担当089</t>
        </is>
      </c>
      <c r="C2132" t="inlineStr">
        <is>
          <t>パートナー営業部</t>
        </is>
      </c>
      <c r="D2132" s="3" t="n">
        <v>45989</v>
      </c>
      <c r="E2132" t="inlineStr">
        <is>
          <t>青葉商事株式会社</t>
        </is>
      </c>
      <c r="F2132" t="inlineStr">
        <is>
          <t>北海道</t>
        </is>
      </c>
      <c r="G2132" t="inlineStr">
        <is>
          <t>ハードウェア</t>
        </is>
      </c>
      <c r="H2132" t="inlineStr">
        <is>
          <t>産業用タブレット</t>
        </is>
      </c>
      <c r="I2132" s="4" t="n">
        <v>1</v>
      </c>
      <c r="J2132" s="4" t="n">
        <v>87400</v>
      </c>
      <c r="K2132" s="4">
        <f>I2132*J2132</f>
        <v/>
      </c>
      <c r="L2132" t="inlineStr">
        <is>
          <t>分納</t>
        </is>
      </c>
    </row>
    <row r="2133">
      <c r="A2133" t="inlineStr">
        <is>
          <t>SR089</t>
        </is>
      </c>
      <c r="B2133" t="inlineStr">
        <is>
          <t>営業担当089</t>
        </is>
      </c>
      <c r="C2133" t="inlineStr">
        <is>
          <t>パートナー営業部</t>
        </is>
      </c>
      <c r="D2133" s="3" t="n">
        <v>46014</v>
      </c>
      <c r="E2133" t="inlineStr">
        <is>
          <t>西日本機工(株)</t>
        </is>
      </c>
      <c r="F2133" t="inlineStr">
        <is>
          <t>京都府</t>
        </is>
      </c>
      <c r="G2133" t="inlineStr">
        <is>
          <t>消耗品</t>
        </is>
      </c>
      <c r="H2133" t="inlineStr">
        <is>
          <t>交換用ヘッド</t>
        </is>
      </c>
      <c r="I2133" s="4" t="n">
        <v>9</v>
      </c>
      <c r="J2133" s="4" t="n">
        <v>36230</v>
      </c>
      <c r="K2133" s="4">
        <f>I2133*J2133</f>
        <v/>
      </c>
      <c r="L2133" t="inlineStr">
        <is>
          <t>新規開拓</t>
        </is>
      </c>
    </row>
    <row r="2134">
      <c r="A2134" t="inlineStr">
        <is>
          <t>SR089</t>
        </is>
      </c>
      <c r="B2134" t="inlineStr">
        <is>
          <t>営業担当089</t>
        </is>
      </c>
      <c r="C2134" t="inlineStr">
        <is>
          <t>パートナー営業部</t>
        </is>
      </c>
      <c r="D2134" s="3" t="n">
        <v>46017</v>
      </c>
      <c r="E2134" t="inlineStr">
        <is>
          <t>中央設備(株)</t>
        </is>
      </c>
      <c r="F2134" t="inlineStr">
        <is>
          <t>京都府</t>
        </is>
      </c>
      <c r="G2134" t="inlineStr">
        <is>
          <t>保守サービス</t>
        </is>
      </c>
      <c r="H2134" t="inlineStr">
        <is>
          <t>年間保守契約</t>
        </is>
      </c>
      <c r="I2134" s="4" t="n">
        <v>5</v>
      </c>
      <c r="J2134" s="4" t="n">
        <v>70500</v>
      </c>
      <c r="K2134" s="4">
        <f>I2134*J2134</f>
        <v/>
      </c>
      <c r="L2134" t="inlineStr"/>
    </row>
    <row r="2135">
      <c r="A2135" t="inlineStr">
        <is>
          <t>SR089</t>
        </is>
      </c>
      <c r="B2135" t="inlineStr">
        <is>
          <t>営業担当089</t>
        </is>
      </c>
      <c r="C2135" t="inlineStr">
        <is>
          <t>パートナー営業部</t>
        </is>
      </c>
      <c r="D2135" s="3" t="n">
        <v>46034</v>
      </c>
      <c r="E2135" t="inlineStr">
        <is>
          <t>オーシャン製作所(株)</t>
        </is>
      </c>
      <c r="F2135" t="inlineStr">
        <is>
          <t>大阪府</t>
        </is>
      </c>
      <c r="G2135" t="inlineStr">
        <is>
          <t>消耗品</t>
        </is>
      </c>
      <c r="H2135" t="inlineStr">
        <is>
          <t>交換用ヘッド</t>
        </is>
      </c>
      <c r="I2135" s="4" t="n">
        <v>5</v>
      </c>
      <c r="J2135" s="4" t="n">
        <v>23960</v>
      </c>
      <c r="K2135" s="4">
        <f>I2135*J2135</f>
        <v/>
      </c>
      <c r="L2135" t="inlineStr">
        <is>
          <t>リピート受注</t>
        </is>
      </c>
    </row>
    <row r="2136">
      <c r="A2136" t="inlineStr">
        <is>
          <t>SR089</t>
        </is>
      </c>
      <c r="B2136" t="inlineStr">
        <is>
          <t>営業担当089</t>
        </is>
      </c>
      <c r="C2136" t="inlineStr">
        <is>
          <t>パートナー営業部</t>
        </is>
      </c>
      <c r="D2136" s="3" t="n">
        <v>46037</v>
      </c>
      <c r="E2136" t="inlineStr">
        <is>
          <t>西日本機工有限会社</t>
        </is>
      </c>
      <c r="F2136" t="inlineStr">
        <is>
          <t>京都府</t>
        </is>
      </c>
      <c r="G2136" t="inlineStr">
        <is>
          <t>消耗品</t>
        </is>
      </c>
      <c r="H2136" t="inlineStr">
        <is>
          <t>ラベルロール</t>
        </is>
      </c>
      <c r="I2136" s="4" t="n">
        <v>8</v>
      </c>
      <c r="J2136" s="4" t="n">
        <v>10900</v>
      </c>
      <c r="K2136" s="4">
        <f>I2136*J2136</f>
        <v/>
      </c>
      <c r="L2136" t="inlineStr"/>
    </row>
    <row r="2137">
      <c r="A2137" t="inlineStr">
        <is>
          <t>SR089</t>
        </is>
      </c>
      <c r="B2137" t="inlineStr">
        <is>
          <t>営業担当089</t>
        </is>
      </c>
      <c r="C2137" t="inlineStr">
        <is>
          <t>パートナー営業部</t>
        </is>
      </c>
      <c r="D2137" s="3" t="n">
        <v>46059</v>
      </c>
      <c r="E2137" t="inlineStr">
        <is>
          <t>みらい物流有限会社</t>
        </is>
      </c>
      <c r="F2137" t="inlineStr">
        <is>
          <t>福岡県</t>
        </is>
      </c>
      <c r="G2137" t="inlineStr">
        <is>
          <t>消耗品</t>
        </is>
      </c>
      <c r="H2137" t="inlineStr">
        <is>
          <t>交換用ヘッド</t>
        </is>
      </c>
      <c r="I2137" s="4" t="n">
        <v>10</v>
      </c>
      <c r="J2137" s="4" t="n">
        <v>34110</v>
      </c>
      <c r="K2137" s="4">
        <f>I2137*J2137</f>
        <v/>
      </c>
      <c r="L2137" t="inlineStr">
        <is>
          <t>分納</t>
        </is>
      </c>
    </row>
    <row r="2138">
      <c r="A2138" t="inlineStr">
        <is>
          <t>SR089</t>
        </is>
      </c>
      <c r="B2138" t="inlineStr">
        <is>
          <t>営業担当089</t>
        </is>
      </c>
      <c r="C2138" t="inlineStr">
        <is>
          <t>パートナー営業部</t>
        </is>
      </c>
      <c r="D2138" s="3" t="n">
        <v>46073</v>
      </c>
      <c r="E2138" t="inlineStr">
        <is>
          <t>白峰化学(株)</t>
        </is>
      </c>
      <c r="F2138" t="inlineStr">
        <is>
          <t>北海道</t>
        </is>
      </c>
      <c r="G2138" t="inlineStr">
        <is>
          <t>保守サービス</t>
        </is>
      </c>
      <c r="H2138" t="inlineStr">
        <is>
          <t>ヘルプデスク契約</t>
        </is>
      </c>
      <c r="I2138" s="4" t="n">
        <v>2</v>
      </c>
      <c r="J2138" s="4" t="n">
        <v>111100</v>
      </c>
      <c r="K2138" s="4">
        <f>I2138*J2138</f>
        <v/>
      </c>
      <c r="L2138" t="inlineStr"/>
    </row>
    <row r="2139">
      <c r="A2139" t="inlineStr">
        <is>
          <t>SR089</t>
        </is>
      </c>
      <c r="B2139" t="inlineStr">
        <is>
          <t>営業担当089</t>
        </is>
      </c>
      <c r="C2139" t="inlineStr">
        <is>
          <t>パートナー営業部</t>
        </is>
      </c>
      <c r="D2139" s="3" t="n">
        <v>46088</v>
      </c>
      <c r="E2139" t="inlineStr">
        <is>
          <t>日新サービス(株)</t>
        </is>
      </c>
      <c r="F2139" t="inlineStr">
        <is>
          <t>宮城県</t>
        </is>
      </c>
      <c r="G2139" t="inlineStr">
        <is>
          <t>消耗品</t>
        </is>
      </c>
      <c r="H2139" t="inlineStr">
        <is>
          <t>保守用バッテリー</t>
        </is>
      </c>
      <c r="I2139" s="4" t="n">
        <v>15</v>
      </c>
      <c r="J2139" s="4" t="n">
        <v>7660</v>
      </c>
      <c r="K2139" s="4">
        <f>I2139*J2139</f>
        <v/>
      </c>
      <c r="L2139" t="inlineStr"/>
    </row>
    <row r="2140">
      <c r="A2140" t="inlineStr">
        <is>
          <t>SR089</t>
        </is>
      </c>
      <c r="B2140" t="inlineStr">
        <is>
          <t>営業担当089</t>
        </is>
      </c>
      <c r="C2140" t="inlineStr">
        <is>
          <t>パートナー営業部</t>
        </is>
      </c>
      <c r="D2140" s="3" t="n">
        <v>46091</v>
      </c>
      <c r="E2140" t="inlineStr">
        <is>
          <t>ネクストソリューション有限会社</t>
        </is>
      </c>
      <c r="F2140" t="inlineStr">
        <is>
          <t>大阪府</t>
        </is>
      </c>
      <c r="G2140" t="inlineStr">
        <is>
          <t>ハードウェア</t>
        </is>
      </c>
      <c r="H2140" t="inlineStr">
        <is>
          <t>小型ハンディ端末</t>
        </is>
      </c>
      <c r="I2140" s="4" t="n">
        <v>3</v>
      </c>
      <c r="J2140" s="4" t="n">
        <v>96300</v>
      </c>
      <c r="K2140" s="4">
        <f>I2140*J2140</f>
        <v/>
      </c>
      <c r="L2140" t="inlineStr"/>
    </row>
    <row r="2141">
      <c r="A2141" t="inlineStr">
        <is>
          <t>SR090</t>
        </is>
      </c>
      <c r="B2141" t="inlineStr">
        <is>
          <t>営業担当090</t>
        </is>
      </c>
      <c r="C2141" t="inlineStr">
        <is>
          <t>インサイドセールス部</t>
        </is>
      </c>
      <c r="D2141" s="3" t="n">
        <v>45758</v>
      </c>
      <c r="E2141" t="inlineStr">
        <is>
          <t>日新サービス(株)</t>
        </is>
      </c>
      <c r="F2141" t="inlineStr">
        <is>
          <t>東京都</t>
        </is>
      </c>
      <c r="G2141" t="inlineStr">
        <is>
          <t>消耗品</t>
        </is>
      </c>
      <c r="H2141" t="inlineStr">
        <is>
          <t>保守用バッテリー</t>
        </is>
      </c>
      <c r="I2141" s="4" t="n">
        <v>8</v>
      </c>
      <c r="J2141" s="4" t="n">
        <v>6330</v>
      </c>
      <c r="K2141" s="4">
        <f>I2141*J2141</f>
        <v/>
      </c>
      <c r="L2141" t="inlineStr"/>
    </row>
    <row r="2142">
      <c r="A2142" t="inlineStr">
        <is>
          <t>SR090</t>
        </is>
      </c>
      <c r="B2142" t="inlineStr">
        <is>
          <t>営業担当090</t>
        </is>
      </c>
      <c r="C2142" t="inlineStr">
        <is>
          <t>インサイドセールス部</t>
        </is>
      </c>
      <c r="D2142" s="3" t="n">
        <v>45761</v>
      </c>
      <c r="E2142" t="inlineStr">
        <is>
          <t>グリーンテック(株)</t>
        </is>
      </c>
      <c r="F2142" t="inlineStr">
        <is>
          <t>京都府</t>
        </is>
      </c>
      <c r="G2142" t="inlineStr">
        <is>
          <t>導入支援</t>
        </is>
      </c>
      <c r="H2142" t="inlineStr">
        <is>
          <t>初期設定支援</t>
        </is>
      </c>
      <c r="I2142" s="4" t="n">
        <v>1</v>
      </c>
      <c r="J2142" s="4" t="n">
        <v>113400</v>
      </c>
      <c r="K2142" s="4">
        <f>I2142*J2142</f>
        <v/>
      </c>
      <c r="L2142" t="inlineStr">
        <is>
          <t>リピート受注</t>
        </is>
      </c>
    </row>
    <row r="2143">
      <c r="A2143" t="inlineStr">
        <is>
          <t>SR090</t>
        </is>
      </c>
      <c r="B2143" t="inlineStr">
        <is>
          <t>営業担当090</t>
        </is>
      </c>
      <c r="C2143" t="inlineStr">
        <is>
          <t>インサイドセールス部</t>
        </is>
      </c>
      <c r="D2143" s="3" t="n">
        <v>45780</v>
      </c>
      <c r="E2143" t="inlineStr">
        <is>
          <t>白峰化学株式会社</t>
        </is>
      </c>
      <c r="F2143" t="inlineStr">
        <is>
          <t>宮城県</t>
        </is>
      </c>
      <c r="G2143" t="inlineStr">
        <is>
          <t>保守サービス</t>
        </is>
      </c>
      <c r="H2143" t="inlineStr">
        <is>
          <t>ヘルプデスク契約</t>
        </is>
      </c>
      <c r="I2143" s="4" t="n">
        <v>4</v>
      </c>
      <c r="J2143" s="4" t="n">
        <v>52000</v>
      </c>
      <c r="K2143" s="4">
        <f>I2143*J2143</f>
        <v/>
      </c>
      <c r="L2143" t="inlineStr">
        <is>
          <t>新規開拓</t>
        </is>
      </c>
    </row>
    <row r="2144">
      <c r="A2144" t="inlineStr">
        <is>
          <t>SR090</t>
        </is>
      </c>
      <c r="B2144" t="inlineStr">
        <is>
          <t>営業担当090</t>
        </is>
      </c>
      <c r="C2144" t="inlineStr">
        <is>
          <t>インサイドセールス部</t>
        </is>
      </c>
      <c r="D2144" s="3" t="n">
        <v>45797</v>
      </c>
      <c r="E2144" t="inlineStr">
        <is>
          <t>北斗産業株式会社</t>
        </is>
      </c>
      <c r="F2144" t="inlineStr">
        <is>
          <t>神奈川県</t>
        </is>
      </c>
      <c r="G2144" t="inlineStr">
        <is>
          <t>ハードウェア</t>
        </is>
      </c>
      <c r="H2144" t="inlineStr">
        <is>
          <t>ネットワークカメラ</t>
        </is>
      </c>
      <c r="I2144" s="4" t="n">
        <v>3</v>
      </c>
      <c r="J2144" s="4" t="n">
        <v>58900</v>
      </c>
      <c r="K2144" s="4">
        <f>I2144*J2144</f>
        <v/>
      </c>
      <c r="L2144" t="inlineStr"/>
    </row>
    <row r="2145">
      <c r="A2145" t="inlineStr">
        <is>
          <t>SR090</t>
        </is>
      </c>
      <c r="B2145" t="inlineStr">
        <is>
          <t>営業担当090</t>
        </is>
      </c>
      <c r="C2145" t="inlineStr">
        <is>
          <t>インサイドセールス部</t>
        </is>
      </c>
      <c r="D2145" s="3" t="n">
        <v>45820</v>
      </c>
      <c r="E2145" t="inlineStr">
        <is>
          <t>大和精機(株)</t>
        </is>
      </c>
      <c r="F2145" t="inlineStr">
        <is>
          <t>京都府</t>
        </is>
      </c>
      <c r="G2145" t="inlineStr">
        <is>
          <t>ハードウェア</t>
        </is>
      </c>
      <c r="H2145" t="inlineStr">
        <is>
          <t>ネットワークカメラ</t>
        </is>
      </c>
      <c r="I2145" s="4" t="n">
        <v>4</v>
      </c>
      <c r="J2145" s="4" t="n">
        <v>36500</v>
      </c>
      <c r="K2145" s="4">
        <f>I2145*J2145</f>
        <v/>
      </c>
      <c r="L2145" t="inlineStr">
        <is>
          <t>大型案件</t>
        </is>
      </c>
    </row>
    <row r="2146">
      <c r="A2146" t="inlineStr">
        <is>
          <t>SR090</t>
        </is>
      </c>
      <c r="B2146" t="inlineStr">
        <is>
          <t>営業担当090</t>
        </is>
      </c>
      <c r="C2146" t="inlineStr">
        <is>
          <t>インサイドセールス部</t>
        </is>
      </c>
      <c r="D2146" s="3" t="n">
        <v>45833</v>
      </c>
      <c r="E2146" t="inlineStr">
        <is>
          <t>福岡流通(株)</t>
        </is>
      </c>
      <c r="F2146" t="inlineStr">
        <is>
          <t>東京都</t>
        </is>
      </c>
      <c r="G2146" t="inlineStr">
        <is>
          <t>ハードウェア</t>
        </is>
      </c>
      <c r="H2146" t="inlineStr">
        <is>
          <t>ネットワークカメラ</t>
        </is>
      </c>
      <c r="I2146" s="4" t="n">
        <v>2</v>
      </c>
      <c r="J2146" s="4" t="n">
        <v>61700</v>
      </c>
      <c r="K2146" s="4">
        <f>I2146*J2146</f>
        <v/>
      </c>
      <c r="L2146" t="inlineStr">
        <is>
          <t>新規開拓</t>
        </is>
      </c>
    </row>
    <row r="2147">
      <c r="A2147" t="inlineStr">
        <is>
          <t>SR090</t>
        </is>
      </c>
      <c r="B2147" t="inlineStr">
        <is>
          <t>営業担当090</t>
        </is>
      </c>
      <c r="C2147" t="inlineStr">
        <is>
          <t>インサイドセールス部</t>
        </is>
      </c>
      <c r="D2147" s="3" t="n">
        <v>45852</v>
      </c>
      <c r="E2147" t="inlineStr">
        <is>
          <t>グリーンテック(株)</t>
        </is>
      </c>
      <c r="F2147" t="inlineStr">
        <is>
          <t>京都府</t>
        </is>
      </c>
      <c r="G2147" t="inlineStr">
        <is>
          <t>ハードウェア</t>
        </is>
      </c>
      <c r="H2147" t="inlineStr">
        <is>
          <t>ラベルプリンター</t>
        </is>
      </c>
      <c r="I2147" s="4" t="n">
        <v>3</v>
      </c>
      <c r="J2147" s="4" t="n">
        <v>71800</v>
      </c>
      <c r="K2147" s="4">
        <f>I2147*J2147</f>
        <v/>
      </c>
      <c r="L2147" t="inlineStr"/>
    </row>
    <row r="2148">
      <c r="A2148" t="inlineStr">
        <is>
          <t>SR090</t>
        </is>
      </c>
      <c r="B2148" t="inlineStr">
        <is>
          <t>営業担当090</t>
        </is>
      </c>
      <c r="C2148" t="inlineStr">
        <is>
          <t>インサイドセールス部</t>
        </is>
      </c>
      <c r="D2148" s="3" t="n">
        <v>45856</v>
      </c>
      <c r="E2148" t="inlineStr">
        <is>
          <t>西日本機工(株)</t>
        </is>
      </c>
      <c r="F2148" t="inlineStr">
        <is>
          <t>愛知県</t>
        </is>
      </c>
      <c r="G2148" t="inlineStr">
        <is>
          <t>ソフトウェア</t>
        </is>
      </c>
      <c r="H2148" t="inlineStr">
        <is>
          <t>在庫管理クラウド</t>
        </is>
      </c>
      <c r="I2148" s="4" t="n">
        <v>4</v>
      </c>
      <c r="J2148" s="4" t="n">
        <v>334500</v>
      </c>
      <c r="K2148" s="4">
        <f>I2148*J2148</f>
        <v/>
      </c>
      <c r="L2148" t="inlineStr">
        <is>
          <t>リピート受注</t>
        </is>
      </c>
    </row>
    <row r="2149">
      <c r="A2149" t="inlineStr">
        <is>
          <t>SR090</t>
        </is>
      </c>
      <c r="B2149" t="inlineStr">
        <is>
          <t>営業担当090</t>
        </is>
      </c>
      <c r="C2149" t="inlineStr">
        <is>
          <t>インサイドセールス部</t>
        </is>
      </c>
      <c r="D2149" s="3" t="n">
        <v>45881</v>
      </c>
      <c r="E2149" t="inlineStr">
        <is>
          <t>サンライズ建設株式会社</t>
        </is>
      </c>
      <c r="F2149" t="inlineStr">
        <is>
          <t>兵庫県</t>
        </is>
      </c>
      <c r="G2149" t="inlineStr">
        <is>
          <t>導入支援</t>
        </is>
      </c>
      <c r="H2149" t="inlineStr">
        <is>
          <t>操作研修パック</t>
        </is>
      </c>
      <c r="I2149" s="4" t="n">
        <v>1</v>
      </c>
      <c r="J2149" s="4" t="n">
        <v>143100</v>
      </c>
      <c r="K2149" s="4">
        <f>I2149*J2149</f>
        <v/>
      </c>
      <c r="L2149" t="inlineStr"/>
    </row>
    <row r="2150">
      <c r="A2150" t="inlineStr">
        <is>
          <t>SR090</t>
        </is>
      </c>
      <c r="B2150" t="inlineStr">
        <is>
          <t>営業担当090</t>
        </is>
      </c>
      <c r="C2150" t="inlineStr">
        <is>
          <t>インサイドセールス部</t>
        </is>
      </c>
      <c r="D2150" s="3" t="n">
        <v>45883</v>
      </c>
      <c r="E2150" t="inlineStr">
        <is>
          <t>未来通信(株)</t>
        </is>
      </c>
      <c r="F2150" t="inlineStr">
        <is>
          <t>京都府</t>
        </is>
      </c>
      <c r="G2150" t="inlineStr">
        <is>
          <t>消耗品</t>
        </is>
      </c>
      <c r="H2150" t="inlineStr">
        <is>
          <t>交換用ヘッド</t>
        </is>
      </c>
      <c r="I2150" s="4" t="n">
        <v>9</v>
      </c>
      <c r="J2150" s="4" t="n">
        <v>12920</v>
      </c>
      <c r="K2150" s="4">
        <f>I2150*J2150</f>
        <v/>
      </c>
      <c r="L2150" t="inlineStr">
        <is>
          <t>大型案件</t>
        </is>
      </c>
    </row>
    <row r="2151">
      <c r="A2151" t="inlineStr">
        <is>
          <t>SR090</t>
        </is>
      </c>
      <c r="B2151" t="inlineStr">
        <is>
          <t>営業担当090</t>
        </is>
      </c>
      <c r="C2151" t="inlineStr">
        <is>
          <t>インサイドセールス部</t>
        </is>
      </c>
      <c r="D2151" s="3" t="n">
        <v>45921</v>
      </c>
      <c r="E2151" t="inlineStr">
        <is>
          <t>ネクストソリューション株式会社</t>
        </is>
      </c>
      <c r="F2151" t="inlineStr">
        <is>
          <t>宮城県</t>
        </is>
      </c>
      <c r="G2151" t="inlineStr">
        <is>
          <t>ハードウェア</t>
        </is>
      </c>
      <c r="H2151" t="inlineStr">
        <is>
          <t>小型ハンディ端末</t>
        </is>
      </c>
      <c r="I2151" s="4" t="n">
        <v>4</v>
      </c>
      <c r="J2151" s="4" t="n">
        <v>92100</v>
      </c>
      <c r="K2151" s="4">
        <f>I2151*J2151</f>
        <v/>
      </c>
      <c r="L2151" t="inlineStr">
        <is>
          <t>新規開拓</t>
        </is>
      </c>
    </row>
    <row r="2152">
      <c r="A2152" t="inlineStr">
        <is>
          <t>SR090</t>
        </is>
      </c>
      <c r="B2152" t="inlineStr">
        <is>
          <t>営業担当090</t>
        </is>
      </c>
      <c r="C2152" t="inlineStr">
        <is>
          <t>インサイドセールス部</t>
        </is>
      </c>
      <c r="D2152" s="3" t="n">
        <v>45924</v>
      </c>
      <c r="E2152" t="inlineStr">
        <is>
          <t>中央設備(株)</t>
        </is>
      </c>
      <c r="F2152" t="inlineStr">
        <is>
          <t>愛知県</t>
        </is>
      </c>
      <c r="G2152" t="inlineStr">
        <is>
          <t>消耗品</t>
        </is>
      </c>
      <c r="H2152" t="inlineStr">
        <is>
          <t>交換用ヘッド</t>
        </is>
      </c>
      <c r="I2152" s="4" t="n">
        <v>9</v>
      </c>
      <c r="J2152" s="4" t="n">
        <v>33240</v>
      </c>
      <c r="K2152" s="4">
        <f>I2152*J2152</f>
        <v/>
      </c>
      <c r="L2152" t="inlineStr"/>
    </row>
    <row r="2153">
      <c r="A2153" t="inlineStr">
        <is>
          <t>SR090</t>
        </is>
      </c>
      <c r="B2153" t="inlineStr">
        <is>
          <t>営業担当090</t>
        </is>
      </c>
      <c r="C2153" t="inlineStr">
        <is>
          <t>インサイドセールス部</t>
        </is>
      </c>
      <c r="D2153" s="3" t="n">
        <v>45956</v>
      </c>
      <c r="E2153" t="inlineStr">
        <is>
          <t>青葉商事有限会社</t>
        </is>
      </c>
      <c r="F2153" t="inlineStr">
        <is>
          <t>京都府</t>
        </is>
      </c>
      <c r="G2153" t="inlineStr">
        <is>
          <t>ハードウェア</t>
        </is>
      </c>
      <c r="H2153" t="inlineStr">
        <is>
          <t>小型ハンディ端末</t>
        </is>
      </c>
      <c r="I2153" s="4" t="n">
        <v>1</v>
      </c>
      <c r="J2153" s="4" t="n">
        <v>51200</v>
      </c>
      <c r="K2153" s="4">
        <f>I2153*J2153</f>
        <v/>
      </c>
      <c r="L2153" t="inlineStr">
        <is>
          <t>リピート受注</t>
        </is>
      </c>
    </row>
    <row r="2154">
      <c r="A2154" t="inlineStr">
        <is>
          <t>SR090</t>
        </is>
      </c>
      <c r="B2154" t="inlineStr">
        <is>
          <t>営業担当090</t>
        </is>
      </c>
      <c r="C2154" t="inlineStr">
        <is>
          <t>インサイドセールス部</t>
        </is>
      </c>
      <c r="D2154" s="3" t="n">
        <v>45957</v>
      </c>
      <c r="E2154" t="inlineStr">
        <is>
          <t>未来通信(株)</t>
        </is>
      </c>
      <c r="F2154" t="inlineStr">
        <is>
          <t>福岡県</t>
        </is>
      </c>
      <c r="G2154" t="inlineStr">
        <is>
          <t>導入支援</t>
        </is>
      </c>
      <c r="H2154" t="inlineStr">
        <is>
          <t>操作研修パック</t>
        </is>
      </c>
      <c r="I2154" s="4" t="n">
        <v>1</v>
      </c>
      <c r="J2154" s="4" t="n">
        <v>99600</v>
      </c>
      <c r="K2154" s="4">
        <f>I2154*J2154</f>
        <v/>
      </c>
      <c r="L2154" t="inlineStr"/>
    </row>
    <row r="2155">
      <c r="A2155" t="inlineStr">
        <is>
          <t>SR090</t>
        </is>
      </c>
      <c r="B2155" t="inlineStr">
        <is>
          <t>営業担当090</t>
        </is>
      </c>
      <c r="C2155" t="inlineStr">
        <is>
          <t>インサイドセールス部</t>
        </is>
      </c>
      <c r="D2155" s="3" t="n">
        <v>45971</v>
      </c>
      <c r="E2155" t="inlineStr">
        <is>
          <t>北斗産業(株)</t>
        </is>
      </c>
      <c r="F2155" t="inlineStr">
        <is>
          <t>愛知県</t>
        </is>
      </c>
      <c r="G2155" t="inlineStr">
        <is>
          <t>ハードウェア</t>
        </is>
      </c>
      <c r="H2155" t="inlineStr">
        <is>
          <t>小型ハンディ端末</t>
        </is>
      </c>
      <c r="I2155" s="4" t="n">
        <v>2</v>
      </c>
      <c r="J2155" s="4" t="n">
        <v>81300</v>
      </c>
      <c r="K2155" s="4">
        <f>I2155*J2155</f>
        <v/>
      </c>
      <c r="L2155" t="inlineStr">
        <is>
          <t>大型案件</t>
        </is>
      </c>
    </row>
    <row r="2156">
      <c r="A2156" t="inlineStr">
        <is>
          <t>SR090</t>
        </is>
      </c>
      <c r="B2156" t="inlineStr">
        <is>
          <t>営業担当090</t>
        </is>
      </c>
      <c r="C2156" t="inlineStr">
        <is>
          <t>インサイドセールス部</t>
        </is>
      </c>
      <c r="D2156" s="3" t="n">
        <v>45987</v>
      </c>
      <c r="E2156" t="inlineStr">
        <is>
          <t>北斗産業株式会社</t>
        </is>
      </c>
      <c r="F2156" t="inlineStr">
        <is>
          <t>宮城県</t>
        </is>
      </c>
      <c r="G2156" t="inlineStr">
        <is>
          <t>保守サービス</t>
        </is>
      </c>
      <c r="H2156" t="inlineStr">
        <is>
          <t>ヘルプデスク契約</t>
        </is>
      </c>
      <c r="I2156" s="4" t="n">
        <v>1</v>
      </c>
      <c r="J2156" s="4" t="n">
        <v>92900</v>
      </c>
      <c r="K2156" s="4">
        <f>I2156*J2156</f>
        <v/>
      </c>
      <c r="L2156" t="inlineStr">
        <is>
          <t>値引き調整あり</t>
        </is>
      </c>
    </row>
    <row r="2157">
      <c r="A2157" t="inlineStr">
        <is>
          <t>SR090</t>
        </is>
      </c>
      <c r="B2157" t="inlineStr">
        <is>
          <t>営業担当090</t>
        </is>
      </c>
      <c r="C2157" t="inlineStr">
        <is>
          <t>インサイドセールス部</t>
        </is>
      </c>
      <c r="D2157" s="3" t="n">
        <v>46015</v>
      </c>
      <c r="E2157" t="inlineStr">
        <is>
          <t>青葉商事(株)</t>
        </is>
      </c>
      <c r="F2157" t="inlineStr">
        <is>
          <t>神奈川県</t>
        </is>
      </c>
      <c r="G2157" t="inlineStr">
        <is>
          <t>ハードウェア</t>
        </is>
      </c>
      <c r="H2157" t="inlineStr">
        <is>
          <t>ネットワークカメラ</t>
        </is>
      </c>
      <c r="I2157" s="4" t="n">
        <v>4</v>
      </c>
      <c r="J2157" s="4" t="n">
        <v>49400</v>
      </c>
      <c r="K2157" s="4">
        <f>I2157*J2157</f>
        <v/>
      </c>
      <c r="L2157" t="inlineStr">
        <is>
          <t>値引き調整あり</t>
        </is>
      </c>
    </row>
    <row r="2158">
      <c r="A2158" t="inlineStr">
        <is>
          <t>SR090</t>
        </is>
      </c>
      <c r="B2158" t="inlineStr">
        <is>
          <t>営業担当090</t>
        </is>
      </c>
      <c r="C2158" t="inlineStr">
        <is>
          <t>インサイドセールス部</t>
        </is>
      </c>
      <c r="D2158" s="3" t="n">
        <v>46018</v>
      </c>
      <c r="E2158" t="inlineStr">
        <is>
          <t>大和精機(株)</t>
        </is>
      </c>
      <c r="F2158" t="inlineStr">
        <is>
          <t>兵庫県</t>
        </is>
      </c>
      <c r="G2158" t="inlineStr">
        <is>
          <t>保守サービス</t>
        </is>
      </c>
      <c r="H2158" t="inlineStr">
        <is>
          <t>ヘルプデスク契約</t>
        </is>
      </c>
      <c r="I2158" s="4" t="n">
        <v>1</v>
      </c>
      <c r="J2158" s="4" t="n">
        <v>76400</v>
      </c>
      <c r="K2158" s="4">
        <f>I2158*J2158</f>
        <v/>
      </c>
      <c r="L2158" t="inlineStr">
        <is>
          <t>大型案件</t>
        </is>
      </c>
    </row>
    <row r="2159">
      <c r="A2159" t="inlineStr">
        <is>
          <t>SR090</t>
        </is>
      </c>
      <c r="B2159" t="inlineStr">
        <is>
          <t>営業担当090</t>
        </is>
      </c>
      <c r="C2159" t="inlineStr">
        <is>
          <t>インサイドセールス部</t>
        </is>
      </c>
      <c r="D2159" s="3" t="n">
        <v>46029</v>
      </c>
      <c r="E2159" t="inlineStr">
        <is>
          <t>日新サービス有限会社</t>
        </is>
      </c>
      <c r="F2159" t="inlineStr">
        <is>
          <t>愛知県</t>
        </is>
      </c>
      <c r="G2159" t="inlineStr">
        <is>
          <t>消耗品</t>
        </is>
      </c>
      <c r="H2159" t="inlineStr">
        <is>
          <t>交換用ヘッド</t>
        </is>
      </c>
      <c r="I2159" s="4" t="n">
        <v>2</v>
      </c>
      <c r="J2159" s="4" t="n">
        <v>28370</v>
      </c>
      <c r="K2159" s="4">
        <f>I2159*J2159</f>
        <v/>
      </c>
      <c r="L2159" t="inlineStr">
        <is>
          <t>リピート受注</t>
        </is>
      </c>
    </row>
    <row r="2160">
      <c r="A2160" t="inlineStr">
        <is>
          <t>SR090</t>
        </is>
      </c>
      <c r="B2160" t="inlineStr">
        <is>
          <t>営業担当090</t>
        </is>
      </c>
      <c r="C2160" t="inlineStr">
        <is>
          <t>インサイドセールス部</t>
        </is>
      </c>
      <c r="D2160" s="3" t="n">
        <v>46048</v>
      </c>
      <c r="E2160" t="inlineStr">
        <is>
          <t>グリーンテック株式会社</t>
        </is>
      </c>
      <c r="F2160" t="inlineStr">
        <is>
          <t>大阪府</t>
        </is>
      </c>
      <c r="G2160" t="inlineStr">
        <is>
          <t>ソフトウェア</t>
        </is>
      </c>
      <c r="H2160" t="inlineStr">
        <is>
          <t>AIチャットボット</t>
        </is>
      </c>
      <c r="I2160" s="4" t="n">
        <v>5</v>
      </c>
      <c r="J2160" s="4" t="n">
        <v>632100</v>
      </c>
      <c r="K2160" s="4">
        <f>I2160*J2160</f>
        <v/>
      </c>
      <c r="L2160" t="inlineStr"/>
    </row>
    <row r="2161">
      <c r="A2161" t="inlineStr">
        <is>
          <t>SR090</t>
        </is>
      </c>
      <c r="B2161" t="inlineStr">
        <is>
          <t>営業担当090</t>
        </is>
      </c>
      <c r="C2161" t="inlineStr">
        <is>
          <t>インサイドセールス部</t>
        </is>
      </c>
      <c r="D2161" s="3" t="n">
        <v>46061</v>
      </c>
      <c r="E2161" t="inlineStr">
        <is>
          <t>グリーンテック有限会社</t>
        </is>
      </c>
      <c r="F2161" t="inlineStr">
        <is>
          <t>大阪府</t>
        </is>
      </c>
      <c r="G2161" t="inlineStr">
        <is>
          <t>ハードウェア</t>
        </is>
      </c>
      <c r="H2161" t="inlineStr">
        <is>
          <t>ネットワークカメラ</t>
        </is>
      </c>
      <c r="I2161" s="4" t="n">
        <v>5</v>
      </c>
      <c r="J2161" s="4" t="n">
        <v>54200</v>
      </c>
      <c r="K2161" s="4">
        <f>I2161*J2161</f>
        <v/>
      </c>
      <c r="L2161" t="inlineStr"/>
    </row>
    <row r="2162">
      <c r="A2162" t="inlineStr">
        <is>
          <t>SR090</t>
        </is>
      </c>
      <c r="B2162" t="inlineStr">
        <is>
          <t>営業担当090</t>
        </is>
      </c>
      <c r="C2162" t="inlineStr">
        <is>
          <t>インサイドセールス部</t>
        </is>
      </c>
      <c r="D2162" s="3" t="n">
        <v>46071</v>
      </c>
      <c r="E2162" t="inlineStr">
        <is>
          <t>北斗産業有限会社</t>
        </is>
      </c>
      <c r="F2162" t="inlineStr">
        <is>
          <t>愛知県</t>
        </is>
      </c>
      <c r="G2162" t="inlineStr">
        <is>
          <t>ハードウェア</t>
        </is>
      </c>
      <c r="H2162" t="inlineStr">
        <is>
          <t>産業用タブレット</t>
        </is>
      </c>
      <c r="I2162" s="4" t="n">
        <v>2</v>
      </c>
      <c r="J2162" s="4" t="n">
        <v>118400</v>
      </c>
      <c r="K2162" s="4">
        <f>I2162*J2162</f>
        <v/>
      </c>
      <c r="L2162" t="inlineStr">
        <is>
          <t>大型案件</t>
        </is>
      </c>
    </row>
    <row r="2163">
      <c r="A2163" t="inlineStr">
        <is>
          <t>SR090</t>
        </is>
      </c>
      <c r="B2163" t="inlineStr">
        <is>
          <t>営業担当090</t>
        </is>
      </c>
      <c r="C2163" t="inlineStr">
        <is>
          <t>インサイドセールス部</t>
        </is>
      </c>
      <c r="D2163" s="3" t="n">
        <v>46086</v>
      </c>
      <c r="E2163" t="inlineStr">
        <is>
          <t>日新サービス有限会社</t>
        </is>
      </c>
      <c r="F2163" t="inlineStr">
        <is>
          <t>北海道</t>
        </is>
      </c>
      <c r="G2163" t="inlineStr">
        <is>
          <t>ハードウェア</t>
        </is>
      </c>
      <c r="H2163" t="inlineStr">
        <is>
          <t>産業用タブレット</t>
        </is>
      </c>
      <c r="I2163" s="4" t="n">
        <v>4</v>
      </c>
      <c r="J2163" s="4" t="n">
        <v>71500</v>
      </c>
      <c r="K2163" s="4">
        <f>I2163*J2163</f>
        <v/>
      </c>
      <c r="L2163" t="inlineStr"/>
    </row>
    <row r="2164">
      <c r="A2164" t="inlineStr">
        <is>
          <t>SR090</t>
        </is>
      </c>
      <c r="B2164" t="inlineStr">
        <is>
          <t>営業担当090</t>
        </is>
      </c>
      <c r="C2164" t="inlineStr">
        <is>
          <t>インサイドセールス部</t>
        </is>
      </c>
      <c r="D2164" s="3" t="n">
        <v>46098</v>
      </c>
      <c r="E2164" t="inlineStr">
        <is>
          <t>星和商会有限会社</t>
        </is>
      </c>
      <c r="F2164" t="inlineStr">
        <is>
          <t>神奈川県</t>
        </is>
      </c>
      <c r="G2164" t="inlineStr">
        <is>
          <t>導入支援</t>
        </is>
      </c>
      <c r="H2164" t="inlineStr">
        <is>
          <t>データ移行支援</t>
        </is>
      </c>
      <c r="I2164" s="4" t="n">
        <v>2</v>
      </c>
      <c r="J2164" s="4" t="n">
        <v>88400</v>
      </c>
      <c r="K2164" s="4">
        <f>I2164*J2164</f>
        <v/>
      </c>
      <c r="L2164" t="inlineStr">
        <is>
          <t>大型案件</t>
        </is>
      </c>
    </row>
    <row r="2165">
      <c r="A2165" t="inlineStr">
        <is>
          <t>SR091</t>
        </is>
      </c>
      <c r="B2165" t="inlineStr">
        <is>
          <t>営業担当091</t>
        </is>
      </c>
      <c r="C2165" t="inlineStr">
        <is>
          <t>第1営業部</t>
        </is>
      </c>
      <c r="D2165" s="3" t="n">
        <v>45750</v>
      </c>
      <c r="E2165" t="inlineStr">
        <is>
          <t>ライトホーム有限会社</t>
        </is>
      </c>
      <c r="F2165" t="inlineStr">
        <is>
          <t>広島県</t>
        </is>
      </c>
      <c r="G2165" t="inlineStr">
        <is>
          <t>保守サービス</t>
        </is>
      </c>
      <c r="H2165" t="inlineStr">
        <is>
          <t>オンサイト保守</t>
        </is>
      </c>
      <c r="I2165" s="4" t="n">
        <v>1</v>
      </c>
      <c r="J2165" s="4" t="n">
        <v>134500</v>
      </c>
      <c r="K2165" s="4">
        <f>I2165*J2165</f>
        <v/>
      </c>
      <c r="L2165" t="inlineStr">
        <is>
          <t>値引き調整あり</t>
        </is>
      </c>
    </row>
    <row r="2166">
      <c r="A2166" t="inlineStr">
        <is>
          <t>SR091</t>
        </is>
      </c>
      <c r="B2166" t="inlineStr">
        <is>
          <t>営業担当091</t>
        </is>
      </c>
      <c r="C2166" t="inlineStr">
        <is>
          <t>第1営業部</t>
        </is>
      </c>
      <c r="D2166" s="3" t="n">
        <v>45772</v>
      </c>
      <c r="E2166" t="inlineStr">
        <is>
          <t>青葉商事株式会社</t>
        </is>
      </c>
      <c r="F2166" t="inlineStr">
        <is>
          <t>愛知県</t>
        </is>
      </c>
      <c r="G2166" t="inlineStr">
        <is>
          <t>ソフトウェア</t>
        </is>
      </c>
      <c r="H2166" t="inlineStr">
        <is>
          <t>営業支援SaaS</t>
        </is>
      </c>
      <c r="I2166" s="4" t="n">
        <v>3</v>
      </c>
      <c r="J2166" s="4" t="n">
        <v>279900</v>
      </c>
      <c r="K2166" s="4">
        <f>I2166*J2166</f>
        <v/>
      </c>
      <c r="L2166" t="inlineStr">
        <is>
          <t>キャンペーン適用</t>
        </is>
      </c>
    </row>
    <row r="2167">
      <c r="A2167" t="inlineStr">
        <is>
          <t>SR091</t>
        </is>
      </c>
      <c r="B2167" t="inlineStr">
        <is>
          <t>営業担当091</t>
        </is>
      </c>
      <c r="C2167" t="inlineStr">
        <is>
          <t>第1営業部</t>
        </is>
      </c>
      <c r="D2167" s="3" t="n">
        <v>45797</v>
      </c>
      <c r="E2167" t="inlineStr">
        <is>
          <t>みらい物流株式会社</t>
        </is>
      </c>
      <c r="F2167" t="inlineStr">
        <is>
          <t>宮城県</t>
        </is>
      </c>
      <c r="G2167" t="inlineStr">
        <is>
          <t>ハードウェア</t>
        </is>
      </c>
      <c r="H2167" t="inlineStr">
        <is>
          <t>ネットワークカメラ</t>
        </is>
      </c>
      <c r="I2167" s="4" t="n">
        <v>1</v>
      </c>
      <c r="J2167" s="4" t="n">
        <v>56800</v>
      </c>
      <c r="K2167" s="4">
        <f>I2167*J2167</f>
        <v/>
      </c>
      <c r="L2167" t="inlineStr">
        <is>
          <t>大型案件</t>
        </is>
      </c>
    </row>
    <row r="2168">
      <c r="A2168" t="inlineStr">
        <is>
          <t>SR091</t>
        </is>
      </c>
      <c r="B2168" t="inlineStr">
        <is>
          <t>営業担当091</t>
        </is>
      </c>
      <c r="C2168" t="inlineStr">
        <is>
          <t>第1営業部</t>
        </is>
      </c>
      <c r="D2168" s="3" t="n">
        <v>45805</v>
      </c>
      <c r="E2168" t="inlineStr">
        <is>
          <t>アーク電機有限会社</t>
        </is>
      </c>
      <c r="F2168" t="inlineStr">
        <is>
          <t>京都府</t>
        </is>
      </c>
      <c r="G2168" t="inlineStr">
        <is>
          <t>ソフトウェア</t>
        </is>
      </c>
      <c r="H2168" t="inlineStr">
        <is>
          <t>在庫管理クラウド</t>
        </is>
      </c>
      <c r="I2168" s="4" t="n">
        <v>2</v>
      </c>
      <c r="J2168" s="4" t="n">
        <v>265400</v>
      </c>
      <c r="K2168" s="4">
        <f>I2168*J2168</f>
        <v/>
      </c>
      <c r="L2168" t="inlineStr"/>
    </row>
    <row r="2169">
      <c r="A2169" t="inlineStr">
        <is>
          <t>SR091</t>
        </is>
      </c>
      <c r="B2169" t="inlineStr">
        <is>
          <t>営業担当091</t>
        </is>
      </c>
      <c r="C2169" t="inlineStr">
        <is>
          <t>第1営業部</t>
        </is>
      </c>
      <c r="D2169" s="3" t="n">
        <v>45812</v>
      </c>
      <c r="E2169" t="inlineStr">
        <is>
          <t>西日本機工株式会社</t>
        </is>
      </c>
      <c r="F2169" t="inlineStr">
        <is>
          <t>神奈川県</t>
        </is>
      </c>
      <c r="G2169" t="inlineStr">
        <is>
          <t>保守サービス</t>
        </is>
      </c>
      <c r="H2169" t="inlineStr">
        <is>
          <t>オンサイト保守</t>
        </is>
      </c>
      <c r="I2169" s="4" t="n">
        <v>1</v>
      </c>
      <c r="J2169" s="4" t="n">
        <v>128000</v>
      </c>
      <c r="K2169" s="4">
        <f>I2169*J2169</f>
        <v/>
      </c>
      <c r="L2169" t="inlineStr">
        <is>
          <t>値引き調整あり</t>
        </is>
      </c>
    </row>
    <row r="2170">
      <c r="A2170" t="inlineStr">
        <is>
          <t>SR091</t>
        </is>
      </c>
      <c r="B2170" t="inlineStr">
        <is>
          <t>営業担当091</t>
        </is>
      </c>
      <c r="C2170" t="inlineStr">
        <is>
          <t>第1営業部</t>
        </is>
      </c>
      <c r="D2170" s="3" t="n">
        <v>45834</v>
      </c>
      <c r="E2170" t="inlineStr">
        <is>
          <t>青葉商事有限会社</t>
        </is>
      </c>
      <c r="F2170" t="inlineStr">
        <is>
          <t>大阪府</t>
        </is>
      </c>
      <c r="G2170" t="inlineStr">
        <is>
          <t>保守サービス</t>
        </is>
      </c>
      <c r="H2170" t="inlineStr">
        <is>
          <t>オンサイト保守</t>
        </is>
      </c>
      <c r="I2170" s="4" t="n">
        <v>1</v>
      </c>
      <c r="J2170" s="4" t="n">
        <v>152500</v>
      </c>
      <c r="K2170" s="4">
        <f>I2170*J2170</f>
        <v/>
      </c>
      <c r="L2170" t="inlineStr"/>
    </row>
    <row r="2171">
      <c r="A2171" t="inlineStr">
        <is>
          <t>SR091</t>
        </is>
      </c>
      <c r="B2171" t="inlineStr">
        <is>
          <t>営業担当091</t>
        </is>
      </c>
      <c r="C2171" t="inlineStr">
        <is>
          <t>第1営業部</t>
        </is>
      </c>
      <c r="D2171" s="3" t="n">
        <v>45856</v>
      </c>
      <c r="E2171" t="inlineStr">
        <is>
          <t>西日本機工(株)</t>
        </is>
      </c>
      <c r="F2171" t="inlineStr">
        <is>
          <t>兵庫県</t>
        </is>
      </c>
      <c r="G2171" t="inlineStr">
        <is>
          <t>ソフトウェア</t>
        </is>
      </c>
      <c r="H2171" t="inlineStr">
        <is>
          <t>AIチャットボット</t>
        </is>
      </c>
      <c r="I2171" s="4" t="n">
        <v>4</v>
      </c>
      <c r="J2171" s="4" t="n">
        <v>597700</v>
      </c>
      <c r="K2171" s="4">
        <f>I2171*J2171</f>
        <v/>
      </c>
      <c r="L2171" t="inlineStr">
        <is>
          <t>値引き調整あり</t>
        </is>
      </c>
    </row>
    <row r="2172">
      <c r="A2172" t="inlineStr">
        <is>
          <t>SR091</t>
        </is>
      </c>
      <c r="B2172" t="inlineStr">
        <is>
          <t>営業担当091</t>
        </is>
      </c>
      <c r="C2172" t="inlineStr">
        <is>
          <t>第1営業部</t>
        </is>
      </c>
      <c r="D2172" s="3" t="n">
        <v>45865</v>
      </c>
      <c r="E2172" t="inlineStr">
        <is>
          <t>ライトホーム有限会社</t>
        </is>
      </c>
      <c r="F2172" t="inlineStr">
        <is>
          <t>東京都</t>
        </is>
      </c>
      <c r="G2172" t="inlineStr">
        <is>
          <t>ハードウェア</t>
        </is>
      </c>
      <c r="H2172" t="inlineStr">
        <is>
          <t>ネットワークカメラ</t>
        </is>
      </c>
      <c r="I2172" s="4" t="n">
        <v>3</v>
      </c>
      <c r="J2172" s="4" t="n">
        <v>72300</v>
      </c>
      <c r="K2172" s="4">
        <f>I2172*J2172</f>
        <v/>
      </c>
      <c r="L2172" t="inlineStr">
        <is>
          <t>分納</t>
        </is>
      </c>
    </row>
    <row r="2173">
      <c r="A2173" t="inlineStr">
        <is>
          <t>SR091</t>
        </is>
      </c>
      <c r="B2173" t="inlineStr">
        <is>
          <t>営業担当091</t>
        </is>
      </c>
      <c r="C2173" t="inlineStr">
        <is>
          <t>第1営業部</t>
        </is>
      </c>
      <c r="D2173" s="3" t="n">
        <v>45878</v>
      </c>
      <c r="E2173" t="inlineStr">
        <is>
          <t>サンライズ建設有限会社</t>
        </is>
      </c>
      <c r="F2173" t="inlineStr">
        <is>
          <t>大阪府</t>
        </is>
      </c>
      <c r="G2173" t="inlineStr">
        <is>
          <t>導入支援</t>
        </is>
      </c>
      <c r="H2173" t="inlineStr">
        <is>
          <t>初期設定支援</t>
        </is>
      </c>
      <c r="I2173" s="4" t="n">
        <v>5</v>
      </c>
      <c r="J2173" s="4" t="n">
        <v>189200</v>
      </c>
      <c r="K2173" s="4">
        <f>I2173*J2173</f>
        <v/>
      </c>
      <c r="L2173" t="inlineStr">
        <is>
          <t>大型案件</t>
        </is>
      </c>
    </row>
    <row r="2174">
      <c r="A2174" t="inlineStr">
        <is>
          <t>SR091</t>
        </is>
      </c>
      <c r="B2174" t="inlineStr">
        <is>
          <t>営業担当091</t>
        </is>
      </c>
      <c r="C2174" t="inlineStr">
        <is>
          <t>第1営業部</t>
        </is>
      </c>
      <c r="D2174" s="3" t="n">
        <v>45890</v>
      </c>
      <c r="E2174" t="inlineStr">
        <is>
          <t>グリーンテック有限会社</t>
        </is>
      </c>
      <c r="F2174" t="inlineStr">
        <is>
          <t>愛知県</t>
        </is>
      </c>
      <c r="G2174" t="inlineStr">
        <is>
          <t>消耗品</t>
        </is>
      </c>
      <c r="H2174" t="inlineStr">
        <is>
          <t>保守用バッテリー</t>
        </is>
      </c>
      <c r="I2174" s="4" t="n">
        <v>5</v>
      </c>
      <c r="J2174" s="4" t="n">
        <v>6620</v>
      </c>
      <c r="K2174" s="4">
        <f>I2174*J2174</f>
        <v/>
      </c>
      <c r="L2174" t="inlineStr"/>
    </row>
    <row r="2175">
      <c r="A2175" t="inlineStr">
        <is>
          <t>SR091</t>
        </is>
      </c>
      <c r="B2175" t="inlineStr">
        <is>
          <t>営業担当091</t>
        </is>
      </c>
      <c r="C2175" t="inlineStr">
        <is>
          <t>第1営業部</t>
        </is>
      </c>
      <c r="D2175" s="3" t="n">
        <v>45908</v>
      </c>
      <c r="E2175" t="inlineStr">
        <is>
          <t>サンライズ建設有限会社</t>
        </is>
      </c>
      <c r="F2175" t="inlineStr">
        <is>
          <t>東京都</t>
        </is>
      </c>
      <c r="G2175" t="inlineStr">
        <is>
          <t>消耗品</t>
        </is>
      </c>
      <c r="H2175" t="inlineStr">
        <is>
          <t>保守用バッテリー</t>
        </is>
      </c>
      <c r="I2175" s="4" t="n">
        <v>13</v>
      </c>
      <c r="J2175" s="4" t="n">
        <v>9770</v>
      </c>
      <c r="K2175" s="4">
        <f>I2175*J2175</f>
        <v/>
      </c>
      <c r="L2175" t="inlineStr">
        <is>
          <t>新規開拓</t>
        </is>
      </c>
    </row>
    <row r="2176">
      <c r="A2176" t="inlineStr">
        <is>
          <t>SR091</t>
        </is>
      </c>
      <c r="B2176" t="inlineStr">
        <is>
          <t>営業担当091</t>
        </is>
      </c>
      <c r="C2176" t="inlineStr">
        <is>
          <t>第1営業部</t>
        </is>
      </c>
      <c r="D2176" s="3" t="n">
        <v>45913</v>
      </c>
      <c r="E2176" t="inlineStr">
        <is>
          <t>福岡流通有限会社</t>
        </is>
      </c>
      <c r="F2176" t="inlineStr">
        <is>
          <t>北海道</t>
        </is>
      </c>
      <c r="G2176" t="inlineStr">
        <is>
          <t>ハードウェア</t>
        </is>
      </c>
      <c r="H2176" t="inlineStr">
        <is>
          <t>産業用タブレット</t>
        </is>
      </c>
      <c r="I2176" s="4" t="n">
        <v>1</v>
      </c>
      <c r="J2176" s="4" t="n">
        <v>99800</v>
      </c>
      <c r="K2176" s="4">
        <f>I2176*J2176</f>
        <v/>
      </c>
      <c r="L2176" t="inlineStr"/>
    </row>
    <row r="2177">
      <c r="A2177" t="inlineStr">
        <is>
          <t>SR091</t>
        </is>
      </c>
      <c r="B2177" t="inlineStr">
        <is>
          <t>営業担当091</t>
        </is>
      </c>
      <c r="C2177" t="inlineStr">
        <is>
          <t>第1営業部</t>
        </is>
      </c>
      <c r="D2177" s="3" t="n">
        <v>45940</v>
      </c>
      <c r="E2177" t="inlineStr">
        <is>
          <t>桜井メディカル(株)</t>
        </is>
      </c>
      <c r="F2177" t="inlineStr">
        <is>
          <t>京都府</t>
        </is>
      </c>
      <c r="G2177" t="inlineStr">
        <is>
          <t>消耗品</t>
        </is>
      </c>
      <c r="H2177" t="inlineStr">
        <is>
          <t>ラベルロール</t>
        </is>
      </c>
      <c r="I2177" s="4" t="n">
        <v>7</v>
      </c>
      <c r="J2177" s="4" t="n">
        <v>3140</v>
      </c>
      <c r="K2177" s="4">
        <f>I2177*J2177</f>
        <v/>
      </c>
      <c r="L2177" t="inlineStr">
        <is>
          <t>大型案件</t>
        </is>
      </c>
    </row>
    <row r="2178">
      <c r="A2178" t="inlineStr">
        <is>
          <t>SR091</t>
        </is>
      </c>
      <c r="B2178" t="inlineStr">
        <is>
          <t>営業担当091</t>
        </is>
      </c>
      <c r="C2178" t="inlineStr">
        <is>
          <t>第1営業部</t>
        </is>
      </c>
      <c r="D2178" s="3" t="n">
        <v>45956</v>
      </c>
      <c r="E2178" t="inlineStr">
        <is>
          <t>中央設備有限会社</t>
        </is>
      </c>
      <c r="F2178" t="inlineStr">
        <is>
          <t>兵庫県</t>
        </is>
      </c>
      <c r="G2178" t="inlineStr">
        <is>
          <t>保守サービス</t>
        </is>
      </c>
      <c r="H2178" t="inlineStr">
        <is>
          <t>年間保守契約</t>
        </is>
      </c>
      <c r="I2178" s="4" t="n">
        <v>5</v>
      </c>
      <c r="J2178" s="4" t="n">
        <v>179700</v>
      </c>
      <c r="K2178" s="4">
        <f>I2178*J2178</f>
        <v/>
      </c>
      <c r="L2178" t="inlineStr">
        <is>
          <t>大型案件</t>
        </is>
      </c>
    </row>
    <row r="2179">
      <c r="A2179" t="inlineStr">
        <is>
          <t>SR091</t>
        </is>
      </c>
      <c r="B2179" t="inlineStr">
        <is>
          <t>営業担当091</t>
        </is>
      </c>
      <c r="C2179" t="inlineStr">
        <is>
          <t>第1営業部</t>
        </is>
      </c>
      <c r="D2179" s="3" t="n">
        <v>45969</v>
      </c>
      <c r="E2179" t="inlineStr">
        <is>
          <t>福岡流通有限会社</t>
        </is>
      </c>
      <c r="F2179" t="inlineStr">
        <is>
          <t>大阪府</t>
        </is>
      </c>
      <c r="G2179" t="inlineStr">
        <is>
          <t>ソフトウェア</t>
        </is>
      </c>
      <c r="H2179" t="inlineStr">
        <is>
          <t>在庫管理クラウド</t>
        </is>
      </c>
      <c r="I2179" s="4" t="n">
        <v>3</v>
      </c>
      <c r="J2179" s="4" t="n">
        <v>364900</v>
      </c>
      <c r="K2179" s="4">
        <f>I2179*J2179</f>
        <v/>
      </c>
      <c r="L2179" t="inlineStr"/>
    </row>
    <row r="2180">
      <c r="A2180" t="inlineStr">
        <is>
          <t>SR091</t>
        </is>
      </c>
      <c r="B2180" t="inlineStr">
        <is>
          <t>営業担当091</t>
        </is>
      </c>
      <c r="C2180" t="inlineStr">
        <is>
          <t>第1営業部</t>
        </is>
      </c>
      <c r="D2180" s="3" t="n">
        <v>45969</v>
      </c>
      <c r="E2180" t="inlineStr">
        <is>
          <t>日新サービス有限会社</t>
        </is>
      </c>
      <c r="F2180" t="inlineStr">
        <is>
          <t>広島県</t>
        </is>
      </c>
      <c r="G2180" t="inlineStr">
        <is>
          <t>保守サービス</t>
        </is>
      </c>
      <c r="H2180" t="inlineStr">
        <is>
          <t>年間保守契約</t>
        </is>
      </c>
      <c r="I2180" s="4" t="n">
        <v>5</v>
      </c>
      <c r="J2180" s="4" t="n">
        <v>117000</v>
      </c>
      <c r="K2180" s="4">
        <f>I2180*J2180</f>
        <v/>
      </c>
      <c r="L2180" t="inlineStr">
        <is>
          <t>キャンペーン適用</t>
        </is>
      </c>
    </row>
    <row r="2181">
      <c r="A2181" t="inlineStr">
        <is>
          <t>SR091</t>
        </is>
      </c>
      <c r="B2181" t="inlineStr">
        <is>
          <t>営業担当091</t>
        </is>
      </c>
      <c r="C2181" t="inlineStr">
        <is>
          <t>第1営業部</t>
        </is>
      </c>
      <c r="D2181" s="3" t="n">
        <v>45998</v>
      </c>
      <c r="E2181" t="inlineStr">
        <is>
          <t>西日本機工有限会社</t>
        </is>
      </c>
      <c r="F2181" t="inlineStr">
        <is>
          <t>福岡県</t>
        </is>
      </c>
      <c r="G2181" t="inlineStr">
        <is>
          <t>ハードウェア</t>
        </is>
      </c>
      <c r="H2181" t="inlineStr">
        <is>
          <t>小型ハンディ端末</t>
        </is>
      </c>
      <c r="I2181" s="4" t="n">
        <v>1</v>
      </c>
      <c r="J2181" s="4" t="n">
        <v>69500</v>
      </c>
      <c r="K2181" s="4">
        <f>I2181*J2181</f>
        <v/>
      </c>
      <c r="L2181" t="inlineStr">
        <is>
          <t>分納</t>
        </is>
      </c>
    </row>
    <row r="2182">
      <c r="A2182" t="inlineStr">
        <is>
          <t>SR091</t>
        </is>
      </c>
      <c r="B2182" t="inlineStr">
        <is>
          <t>営業担当091</t>
        </is>
      </c>
      <c r="C2182" t="inlineStr">
        <is>
          <t>第1営業部</t>
        </is>
      </c>
      <c r="D2182" s="3" t="n">
        <v>46011</v>
      </c>
      <c r="E2182" t="inlineStr">
        <is>
          <t>北斗産業有限会社</t>
        </is>
      </c>
      <c r="F2182" t="inlineStr">
        <is>
          <t>北海道</t>
        </is>
      </c>
      <c r="G2182" t="inlineStr">
        <is>
          <t>消耗品</t>
        </is>
      </c>
      <c r="H2182" t="inlineStr">
        <is>
          <t>交換用ヘッド</t>
        </is>
      </c>
      <c r="I2182" s="4" t="n">
        <v>12</v>
      </c>
      <c r="J2182" s="4" t="n">
        <v>14650</v>
      </c>
      <c r="K2182" s="4">
        <f>I2182*J2182</f>
        <v/>
      </c>
      <c r="L2182" t="inlineStr">
        <is>
          <t>リピート受注</t>
        </is>
      </c>
    </row>
    <row r="2183">
      <c r="A2183" t="inlineStr">
        <is>
          <t>SR091</t>
        </is>
      </c>
      <c r="B2183" t="inlineStr">
        <is>
          <t>営業担当091</t>
        </is>
      </c>
      <c r="C2183" t="inlineStr">
        <is>
          <t>第1営業部</t>
        </is>
      </c>
      <c r="D2183" s="3" t="n">
        <v>46031</v>
      </c>
      <c r="E2183" t="inlineStr">
        <is>
          <t>オーシャン製作所(株)</t>
        </is>
      </c>
      <c r="F2183" t="inlineStr">
        <is>
          <t>宮城県</t>
        </is>
      </c>
      <c r="G2183" t="inlineStr">
        <is>
          <t>ソフトウェア</t>
        </is>
      </c>
      <c r="H2183" t="inlineStr">
        <is>
          <t>在庫管理クラウド</t>
        </is>
      </c>
      <c r="I2183" s="4" t="n">
        <v>3</v>
      </c>
      <c r="J2183" s="4" t="n">
        <v>194900</v>
      </c>
      <c r="K2183" s="4">
        <f>I2183*J2183</f>
        <v/>
      </c>
      <c r="L2183" t="inlineStr">
        <is>
          <t>リピート受注</t>
        </is>
      </c>
    </row>
    <row r="2184">
      <c r="A2184" t="inlineStr">
        <is>
          <t>SR091</t>
        </is>
      </c>
      <c r="B2184" t="inlineStr">
        <is>
          <t>営業担当091</t>
        </is>
      </c>
      <c r="C2184" t="inlineStr">
        <is>
          <t>第1営業部</t>
        </is>
      </c>
      <c r="D2184" s="3" t="n">
        <v>46032</v>
      </c>
      <c r="E2184" t="inlineStr">
        <is>
          <t>星和商会株式会社</t>
        </is>
      </c>
      <c r="F2184" t="inlineStr">
        <is>
          <t>東京都</t>
        </is>
      </c>
      <c r="G2184" t="inlineStr">
        <is>
          <t>導入支援</t>
        </is>
      </c>
      <c r="H2184" t="inlineStr">
        <is>
          <t>データ移行支援</t>
        </is>
      </c>
      <c r="I2184" s="4" t="n">
        <v>5</v>
      </c>
      <c r="J2184" s="4" t="n">
        <v>147800</v>
      </c>
      <c r="K2184" s="4">
        <f>I2184*J2184</f>
        <v/>
      </c>
      <c r="L2184" t="inlineStr">
        <is>
          <t>キャンペーン適用</t>
        </is>
      </c>
    </row>
    <row r="2185">
      <c r="A2185" t="inlineStr">
        <is>
          <t>SR091</t>
        </is>
      </c>
      <c r="B2185" t="inlineStr">
        <is>
          <t>営業担当091</t>
        </is>
      </c>
      <c r="C2185" t="inlineStr">
        <is>
          <t>第1営業部</t>
        </is>
      </c>
      <c r="D2185" s="3" t="n">
        <v>46058</v>
      </c>
      <c r="E2185" t="inlineStr">
        <is>
          <t>大和精機有限会社</t>
        </is>
      </c>
      <c r="F2185" t="inlineStr">
        <is>
          <t>宮城県</t>
        </is>
      </c>
      <c r="G2185" t="inlineStr">
        <is>
          <t>ソフトウェア</t>
        </is>
      </c>
      <c r="H2185" t="inlineStr">
        <is>
          <t>帳票自動化ツール</t>
        </is>
      </c>
      <c r="I2185" s="4" t="n">
        <v>1</v>
      </c>
      <c r="J2185" s="4" t="n">
        <v>288200</v>
      </c>
      <c r="K2185" s="4">
        <f>I2185*J2185</f>
        <v/>
      </c>
      <c r="L2185" t="inlineStr">
        <is>
          <t>大型案件</t>
        </is>
      </c>
    </row>
    <row r="2186">
      <c r="A2186" t="inlineStr">
        <is>
          <t>SR091</t>
        </is>
      </c>
      <c r="B2186" t="inlineStr">
        <is>
          <t>営業担当091</t>
        </is>
      </c>
      <c r="C2186" t="inlineStr">
        <is>
          <t>第1営業部</t>
        </is>
      </c>
      <c r="D2186" s="3" t="n">
        <v>46078</v>
      </c>
      <c r="E2186" t="inlineStr">
        <is>
          <t>ライトホーム有限会社</t>
        </is>
      </c>
      <c r="F2186" t="inlineStr">
        <is>
          <t>兵庫県</t>
        </is>
      </c>
      <c r="G2186" t="inlineStr">
        <is>
          <t>消耗品</t>
        </is>
      </c>
      <c r="H2186" t="inlineStr">
        <is>
          <t>交換用ヘッド</t>
        </is>
      </c>
      <c r="I2186" s="4" t="n">
        <v>7</v>
      </c>
      <c r="J2186" s="4" t="n">
        <v>37570</v>
      </c>
      <c r="K2186" s="4">
        <f>I2186*J2186</f>
        <v/>
      </c>
      <c r="L2186" t="inlineStr">
        <is>
          <t>キャンペーン適用</t>
        </is>
      </c>
    </row>
    <row r="2187">
      <c r="A2187" t="inlineStr">
        <is>
          <t>SR091</t>
        </is>
      </c>
      <c r="B2187" t="inlineStr">
        <is>
          <t>営業担当091</t>
        </is>
      </c>
      <c r="C2187" t="inlineStr">
        <is>
          <t>第1営業部</t>
        </is>
      </c>
      <c r="D2187" s="3" t="n">
        <v>46097</v>
      </c>
      <c r="E2187" t="inlineStr">
        <is>
          <t>日新サービス(株)</t>
        </is>
      </c>
      <c r="F2187" t="inlineStr">
        <is>
          <t>宮城県</t>
        </is>
      </c>
      <c r="G2187" t="inlineStr">
        <is>
          <t>ソフトウェア</t>
        </is>
      </c>
      <c r="H2187" t="inlineStr">
        <is>
          <t>在庫管理クラウド</t>
        </is>
      </c>
      <c r="I2187" s="4" t="n">
        <v>1</v>
      </c>
      <c r="J2187" s="4" t="n">
        <v>232700</v>
      </c>
      <c r="K2187" s="4">
        <f>I2187*J2187</f>
        <v/>
      </c>
      <c r="L2187" t="inlineStr">
        <is>
          <t>キャンペーン適用</t>
        </is>
      </c>
    </row>
    <row r="2188">
      <c r="A2188" t="inlineStr">
        <is>
          <t>SR091</t>
        </is>
      </c>
      <c r="B2188" t="inlineStr">
        <is>
          <t>営業担当091</t>
        </is>
      </c>
      <c r="C2188" t="inlineStr">
        <is>
          <t>第1営業部</t>
        </is>
      </c>
      <c r="D2188" s="3" t="n">
        <v>46109</v>
      </c>
      <c r="E2188" t="inlineStr">
        <is>
          <t>サンライズ建設有限会社</t>
        </is>
      </c>
      <c r="F2188" t="inlineStr">
        <is>
          <t>兵庫県</t>
        </is>
      </c>
      <c r="G2188" t="inlineStr">
        <is>
          <t>消耗品</t>
        </is>
      </c>
      <c r="H2188" t="inlineStr">
        <is>
          <t>交換用ヘッド</t>
        </is>
      </c>
      <c r="I2188" s="4" t="n">
        <v>12</v>
      </c>
      <c r="J2188" s="4" t="n">
        <v>39680</v>
      </c>
      <c r="K2188" s="4">
        <f>I2188*J2188</f>
        <v/>
      </c>
      <c r="L2188" t="inlineStr">
        <is>
          <t>分納</t>
        </is>
      </c>
    </row>
    <row r="2189">
      <c r="A2189" t="inlineStr">
        <is>
          <t>SR092</t>
        </is>
      </c>
      <c r="B2189" t="inlineStr">
        <is>
          <t>営業担当092</t>
        </is>
      </c>
      <c r="C2189" t="inlineStr">
        <is>
          <t>第2営業部</t>
        </is>
      </c>
      <c r="D2189" s="3" t="n">
        <v>45750</v>
      </c>
      <c r="E2189" t="inlineStr">
        <is>
          <t>大和精機(株)</t>
        </is>
      </c>
      <c r="F2189" t="inlineStr">
        <is>
          <t>福岡県</t>
        </is>
      </c>
      <c r="G2189" t="inlineStr">
        <is>
          <t>消耗品</t>
        </is>
      </c>
      <c r="H2189" t="inlineStr">
        <is>
          <t>保守用バッテリー</t>
        </is>
      </c>
      <c r="I2189" s="4" t="n">
        <v>10</v>
      </c>
      <c r="J2189" s="4" t="n">
        <v>13660</v>
      </c>
      <c r="K2189" s="4">
        <f>I2189*J2189</f>
        <v/>
      </c>
      <c r="L2189" t="inlineStr">
        <is>
          <t>大型案件</t>
        </is>
      </c>
    </row>
    <row r="2190">
      <c r="A2190" t="inlineStr">
        <is>
          <t>SR092</t>
        </is>
      </c>
      <c r="B2190" t="inlineStr">
        <is>
          <t>営業担当092</t>
        </is>
      </c>
      <c r="C2190" t="inlineStr">
        <is>
          <t>第2営業部</t>
        </is>
      </c>
      <c r="D2190" s="3" t="n">
        <v>45774</v>
      </c>
      <c r="E2190" t="inlineStr">
        <is>
          <t>東洋フーズ(株)</t>
        </is>
      </c>
      <c r="F2190" t="inlineStr">
        <is>
          <t>宮城県</t>
        </is>
      </c>
      <c r="G2190" t="inlineStr">
        <is>
          <t>消耗品</t>
        </is>
      </c>
      <c r="H2190" t="inlineStr">
        <is>
          <t>ラベルロール</t>
        </is>
      </c>
      <c r="I2190" s="4" t="n">
        <v>4</v>
      </c>
      <c r="J2190" s="4" t="n">
        <v>8560</v>
      </c>
      <c r="K2190" s="4">
        <f>I2190*J2190</f>
        <v/>
      </c>
      <c r="L2190" t="inlineStr">
        <is>
          <t>値引き調整あり</t>
        </is>
      </c>
    </row>
    <row r="2191">
      <c r="A2191" t="inlineStr">
        <is>
          <t>SR092</t>
        </is>
      </c>
      <c r="B2191" t="inlineStr">
        <is>
          <t>営業担当092</t>
        </is>
      </c>
      <c r="C2191" t="inlineStr">
        <is>
          <t>第2営業部</t>
        </is>
      </c>
      <c r="D2191" s="3" t="n">
        <v>45782</v>
      </c>
      <c r="E2191" t="inlineStr">
        <is>
          <t>オーシャン製作所有限会社</t>
        </is>
      </c>
      <c r="F2191" t="inlineStr">
        <is>
          <t>大阪府</t>
        </is>
      </c>
      <c r="G2191" t="inlineStr">
        <is>
          <t>保守サービス</t>
        </is>
      </c>
      <c r="H2191" t="inlineStr">
        <is>
          <t>年間保守契約</t>
        </is>
      </c>
      <c r="I2191" s="4" t="n">
        <v>5</v>
      </c>
      <c r="J2191" s="4" t="n">
        <v>186800</v>
      </c>
      <c r="K2191" s="4">
        <f>I2191*J2191</f>
        <v/>
      </c>
      <c r="L2191" t="inlineStr">
        <is>
          <t>大型案件</t>
        </is>
      </c>
    </row>
    <row r="2192">
      <c r="A2192" t="inlineStr">
        <is>
          <t>SR092</t>
        </is>
      </c>
      <c r="B2192" t="inlineStr">
        <is>
          <t>営業担当092</t>
        </is>
      </c>
      <c r="C2192" t="inlineStr">
        <is>
          <t>第2営業部</t>
        </is>
      </c>
      <c r="D2192" s="3" t="n">
        <v>45786</v>
      </c>
      <c r="E2192" t="inlineStr">
        <is>
          <t>北斗産業株式会社</t>
        </is>
      </c>
      <c r="F2192" t="inlineStr">
        <is>
          <t>福岡県</t>
        </is>
      </c>
      <c r="G2192" t="inlineStr">
        <is>
          <t>導入支援</t>
        </is>
      </c>
      <c r="H2192" t="inlineStr">
        <is>
          <t>初期設定支援</t>
        </is>
      </c>
      <c r="I2192" s="4" t="n">
        <v>1</v>
      </c>
      <c r="J2192" s="4" t="n">
        <v>51300</v>
      </c>
      <c r="K2192" s="4">
        <f>I2192*J2192</f>
        <v/>
      </c>
      <c r="L2192" t="inlineStr">
        <is>
          <t>値引き調整あり</t>
        </is>
      </c>
    </row>
    <row r="2193">
      <c r="A2193" t="inlineStr">
        <is>
          <t>SR092</t>
        </is>
      </c>
      <c r="B2193" t="inlineStr">
        <is>
          <t>営業担当092</t>
        </is>
      </c>
      <c r="C2193" t="inlineStr">
        <is>
          <t>第2営業部</t>
        </is>
      </c>
      <c r="D2193" s="3" t="n">
        <v>45814</v>
      </c>
      <c r="E2193" t="inlineStr">
        <is>
          <t>東洋フーズ株式会社</t>
        </is>
      </c>
      <c r="F2193" t="inlineStr">
        <is>
          <t>福岡県</t>
        </is>
      </c>
      <c r="G2193" t="inlineStr">
        <is>
          <t>ハードウェア</t>
        </is>
      </c>
      <c r="H2193" t="inlineStr">
        <is>
          <t>ラベルプリンター</t>
        </is>
      </c>
      <c r="I2193" s="4" t="n">
        <v>2</v>
      </c>
      <c r="J2193" s="4" t="n">
        <v>77700</v>
      </c>
      <c r="K2193" s="4">
        <f>I2193*J2193</f>
        <v/>
      </c>
      <c r="L2193" t="inlineStr">
        <is>
          <t>キャンペーン適用</t>
        </is>
      </c>
    </row>
    <row r="2194">
      <c r="A2194" t="inlineStr">
        <is>
          <t>SR092</t>
        </is>
      </c>
      <c r="B2194" t="inlineStr">
        <is>
          <t>営業担当092</t>
        </is>
      </c>
      <c r="C2194" t="inlineStr">
        <is>
          <t>第2営業部</t>
        </is>
      </c>
      <c r="D2194" s="3" t="n">
        <v>45822</v>
      </c>
      <c r="E2194" t="inlineStr">
        <is>
          <t>ライトホーム(株)</t>
        </is>
      </c>
      <c r="F2194" t="inlineStr">
        <is>
          <t>宮城県</t>
        </is>
      </c>
      <c r="G2194" t="inlineStr">
        <is>
          <t>ソフトウェア</t>
        </is>
      </c>
      <c r="H2194" t="inlineStr">
        <is>
          <t>在庫管理クラウド</t>
        </is>
      </c>
      <c r="I2194" s="4" t="n">
        <v>1</v>
      </c>
      <c r="J2194" s="4" t="n">
        <v>338500</v>
      </c>
      <c r="K2194" s="4">
        <f>I2194*J2194</f>
        <v/>
      </c>
      <c r="L2194" t="inlineStr">
        <is>
          <t>値引き調整あり</t>
        </is>
      </c>
    </row>
    <row r="2195">
      <c r="A2195" t="inlineStr">
        <is>
          <t>SR092</t>
        </is>
      </c>
      <c r="B2195" t="inlineStr">
        <is>
          <t>営業担当092</t>
        </is>
      </c>
      <c r="C2195" t="inlineStr">
        <is>
          <t>第2営業部</t>
        </is>
      </c>
      <c r="D2195" s="3" t="n">
        <v>45845</v>
      </c>
      <c r="E2195" t="inlineStr">
        <is>
          <t>みらい物流株式会社</t>
        </is>
      </c>
      <c r="F2195" t="inlineStr">
        <is>
          <t>愛知県</t>
        </is>
      </c>
      <c r="G2195" t="inlineStr">
        <is>
          <t>消耗品</t>
        </is>
      </c>
      <c r="H2195" t="inlineStr">
        <is>
          <t>保守用バッテリー</t>
        </is>
      </c>
      <c r="I2195" s="4" t="n">
        <v>14</v>
      </c>
      <c r="J2195" s="4" t="n">
        <v>6320</v>
      </c>
      <c r="K2195" s="4">
        <f>I2195*J2195</f>
        <v/>
      </c>
      <c r="L2195" t="inlineStr"/>
    </row>
    <row r="2196">
      <c r="A2196" t="inlineStr">
        <is>
          <t>SR092</t>
        </is>
      </c>
      <c r="B2196" t="inlineStr">
        <is>
          <t>営業担当092</t>
        </is>
      </c>
      <c r="C2196" t="inlineStr">
        <is>
          <t>第2営業部</t>
        </is>
      </c>
      <c r="D2196" s="3" t="n">
        <v>45851</v>
      </c>
      <c r="E2196" t="inlineStr">
        <is>
          <t>星和商会有限会社</t>
        </is>
      </c>
      <c r="F2196" t="inlineStr">
        <is>
          <t>東京都</t>
        </is>
      </c>
      <c r="G2196" t="inlineStr">
        <is>
          <t>導入支援</t>
        </is>
      </c>
      <c r="H2196" t="inlineStr">
        <is>
          <t>操作研修パック</t>
        </is>
      </c>
      <c r="I2196" s="4" t="n">
        <v>1</v>
      </c>
      <c r="J2196" s="4" t="n">
        <v>144200</v>
      </c>
      <c r="K2196" s="4">
        <f>I2196*J2196</f>
        <v/>
      </c>
      <c r="L2196" t="inlineStr">
        <is>
          <t>分納</t>
        </is>
      </c>
    </row>
    <row r="2197">
      <c r="A2197" t="inlineStr">
        <is>
          <t>SR092</t>
        </is>
      </c>
      <c r="B2197" t="inlineStr">
        <is>
          <t>営業担当092</t>
        </is>
      </c>
      <c r="C2197" t="inlineStr">
        <is>
          <t>第2営業部</t>
        </is>
      </c>
      <c r="D2197" s="3" t="n">
        <v>45872</v>
      </c>
      <c r="E2197" t="inlineStr">
        <is>
          <t>日新サービス有限会社</t>
        </is>
      </c>
      <c r="F2197" t="inlineStr">
        <is>
          <t>東京都</t>
        </is>
      </c>
      <c r="G2197" t="inlineStr">
        <is>
          <t>消耗品</t>
        </is>
      </c>
      <c r="H2197" t="inlineStr">
        <is>
          <t>交換用ヘッド</t>
        </is>
      </c>
      <c r="I2197" s="4" t="n">
        <v>5</v>
      </c>
      <c r="J2197" s="4" t="n">
        <v>15280</v>
      </c>
      <c r="K2197" s="4">
        <f>I2197*J2197</f>
        <v/>
      </c>
      <c r="L2197" t="inlineStr">
        <is>
          <t>リピート受注</t>
        </is>
      </c>
    </row>
    <row r="2198">
      <c r="A2198" t="inlineStr">
        <is>
          <t>SR092</t>
        </is>
      </c>
      <c r="B2198" t="inlineStr">
        <is>
          <t>営業担当092</t>
        </is>
      </c>
      <c r="C2198" t="inlineStr">
        <is>
          <t>第2営業部</t>
        </is>
      </c>
      <c r="D2198" s="3" t="n">
        <v>45874</v>
      </c>
      <c r="E2198" t="inlineStr">
        <is>
          <t>日新サービス有限会社</t>
        </is>
      </c>
      <c r="F2198" t="inlineStr">
        <is>
          <t>大阪府</t>
        </is>
      </c>
      <c r="G2198" t="inlineStr">
        <is>
          <t>導入支援</t>
        </is>
      </c>
      <c r="H2198" t="inlineStr">
        <is>
          <t>データ移行支援</t>
        </is>
      </c>
      <c r="I2198" s="4" t="n">
        <v>1</v>
      </c>
      <c r="J2198" s="4" t="n">
        <v>342900</v>
      </c>
      <c r="K2198" s="4">
        <f>I2198*J2198</f>
        <v/>
      </c>
      <c r="L2198" t="inlineStr">
        <is>
          <t>分納</t>
        </is>
      </c>
    </row>
    <row r="2199">
      <c r="A2199" t="inlineStr">
        <is>
          <t>SR092</t>
        </is>
      </c>
      <c r="B2199" t="inlineStr">
        <is>
          <t>営業担当092</t>
        </is>
      </c>
      <c r="C2199" t="inlineStr">
        <is>
          <t>第2営業部</t>
        </is>
      </c>
      <c r="D2199" s="3" t="n">
        <v>45906</v>
      </c>
      <c r="E2199" t="inlineStr">
        <is>
          <t>東洋フーズ(株)</t>
        </is>
      </c>
      <c r="F2199" t="inlineStr">
        <is>
          <t>京都府</t>
        </is>
      </c>
      <c r="G2199" t="inlineStr">
        <is>
          <t>ハードウェア</t>
        </is>
      </c>
      <c r="H2199" t="inlineStr">
        <is>
          <t>小型ハンディ端末</t>
        </is>
      </c>
      <c r="I2199" s="4" t="n">
        <v>3</v>
      </c>
      <c r="J2199" s="4" t="n">
        <v>82000</v>
      </c>
      <c r="K2199" s="4">
        <f>I2199*J2199</f>
        <v/>
      </c>
      <c r="L2199" t="inlineStr">
        <is>
          <t>大型案件</t>
        </is>
      </c>
    </row>
    <row r="2200">
      <c r="A2200" t="inlineStr">
        <is>
          <t>SR092</t>
        </is>
      </c>
      <c r="B2200" t="inlineStr">
        <is>
          <t>営業担当092</t>
        </is>
      </c>
      <c r="C2200" t="inlineStr">
        <is>
          <t>第2営業部</t>
        </is>
      </c>
      <c r="D2200" s="3" t="n">
        <v>45921</v>
      </c>
      <c r="E2200" t="inlineStr">
        <is>
          <t>ライトホーム株式会社</t>
        </is>
      </c>
      <c r="F2200" t="inlineStr">
        <is>
          <t>北海道</t>
        </is>
      </c>
      <c r="G2200" t="inlineStr">
        <is>
          <t>ソフトウェア</t>
        </is>
      </c>
      <c r="H2200" t="inlineStr">
        <is>
          <t>AIチャットボット</t>
        </is>
      </c>
      <c r="I2200" s="4" t="n">
        <v>4</v>
      </c>
      <c r="J2200" s="4" t="n">
        <v>883700</v>
      </c>
      <c r="K2200" s="4">
        <f>I2200*J2200</f>
        <v/>
      </c>
      <c r="L2200" t="inlineStr"/>
    </row>
    <row r="2201">
      <c r="A2201" t="inlineStr">
        <is>
          <t>SR092</t>
        </is>
      </c>
      <c r="B2201" t="inlineStr">
        <is>
          <t>営業担当092</t>
        </is>
      </c>
      <c r="C2201" t="inlineStr">
        <is>
          <t>第2営業部</t>
        </is>
      </c>
      <c r="D2201" s="3" t="n">
        <v>45947</v>
      </c>
      <c r="E2201" t="inlineStr">
        <is>
          <t>グリーンテック有限会社</t>
        </is>
      </c>
      <c r="F2201" t="inlineStr">
        <is>
          <t>京都府</t>
        </is>
      </c>
      <c r="G2201" t="inlineStr">
        <is>
          <t>ソフトウェア</t>
        </is>
      </c>
      <c r="H2201" t="inlineStr">
        <is>
          <t>帳票自動化ツール</t>
        </is>
      </c>
      <c r="I2201" s="4" t="n">
        <v>1</v>
      </c>
      <c r="J2201" s="4" t="n">
        <v>291100</v>
      </c>
      <c r="K2201" s="4">
        <f>I2201*J2201</f>
        <v/>
      </c>
      <c r="L2201" t="inlineStr">
        <is>
          <t>キャンペーン適用</t>
        </is>
      </c>
    </row>
    <row r="2202">
      <c r="A2202" t="inlineStr">
        <is>
          <t>SR092</t>
        </is>
      </c>
      <c r="B2202" t="inlineStr">
        <is>
          <t>営業担当092</t>
        </is>
      </c>
      <c r="C2202" t="inlineStr">
        <is>
          <t>第2営業部</t>
        </is>
      </c>
      <c r="D2202" s="3" t="n">
        <v>45958</v>
      </c>
      <c r="E2202" t="inlineStr">
        <is>
          <t>大和精機株式会社</t>
        </is>
      </c>
      <c r="F2202" t="inlineStr">
        <is>
          <t>兵庫県</t>
        </is>
      </c>
      <c r="G2202" t="inlineStr">
        <is>
          <t>導入支援</t>
        </is>
      </c>
      <c r="H2202" t="inlineStr">
        <is>
          <t>操作研修パック</t>
        </is>
      </c>
      <c r="I2202" s="4" t="n">
        <v>4</v>
      </c>
      <c r="J2202" s="4" t="n">
        <v>59400</v>
      </c>
      <c r="K2202" s="4">
        <f>I2202*J2202</f>
        <v/>
      </c>
      <c r="L2202" t="inlineStr"/>
    </row>
    <row r="2203">
      <c r="A2203" t="inlineStr">
        <is>
          <t>SR092</t>
        </is>
      </c>
      <c r="B2203" t="inlineStr">
        <is>
          <t>営業担当092</t>
        </is>
      </c>
      <c r="C2203" t="inlineStr">
        <is>
          <t>第2営業部</t>
        </is>
      </c>
      <c r="D2203" s="3" t="n">
        <v>45983</v>
      </c>
      <c r="E2203" t="inlineStr">
        <is>
          <t>中央設備株式会社</t>
        </is>
      </c>
      <c r="F2203" t="inlineStr">
        <is>
          <t>兵庫県</t>
        </is>
      </c>
      <c r="G2203" t="inlineStr">
        <is>
          <t>消耗品</t>
        </is>
      </c>
      <c r="H2203" t="inlineStr">
        <is>
          <t>保守用バッテリー</t>
        </is>
      </c>
      <c r="I2203" s="4" t="n">
        <v>6</v>
      </c>
      <c r="J2203" s="4" t="n">
        <v>6410</v>
      </c>
      <c r="K2203" s="4">
        <f>I2203*J2203</f>
        <v/>
      </c>
      <c r="L2203" t="inlineStr">
        <is>
          <t>値引き調整あり</t>
        </is>
      </c>
    </row>
    <row r="2204">
      <c r="A2204" t="inlineStr">
        <is>
          <t>SR092</t>
        </is>
      </c>
      <c r="B2204" t="inlineStr">
        <is>
          <t>営業担当092</t>
        </is>
      </c>
      <c r="C2204" t="inlineStr">
        <is>
          <t>第2営業部</t>
        </is>
      </c>
      <c r="D2204" s="3" t="n">
        <v>45985</v>
      </c>
      <c r="E2204" t="inlineStr">
        <is>
          <t>福岡流通株式会社</t>
        </is>
      </c>
      <c r="F2204" t="inlineStr">
        <is>
          <t>神奈川県</t>
        </is>
      </c>
      <c r="G2204" t="inlineStr">
        <is>
          <t>保守サービス</t>
        </is>
      </c>
      <c r="H2204" t="inlineStr">
        <is>
          <t>年間保守契約</t>
        </is>
      </c>
      <c r="I2204" s="4" t="n">
        <v>4</v>
      </c>
      <c r="J2204" s="4" t="n">
        <v>240400</v>
      </c>
      <c r="K2204" s="4">
        <f>I2204*J2204</f>
        <v/>
      </c>
      <c r="L2204" t="inlineStr">
        <is>
          <t>分納</t>
        </is>
      </c>
    </row>
    <row r="2205">
      <c r="A2205" t="inlineStr">
        <is>
          <t>SR092</t>
        </is>
      </c>
      <c r="B2205" t="inlineStr">
        <is>
          <t>営業担当092</t>
        </is>
      </c>
      <c r="C2205" t="inlineStr">
        <is>
          <t>第2営業部</t>
        </is>
      </c>
      <c r="D2205" s="3" t="n">
        <v>46011</v>
      </c>
      <c r="E2205" t="inlineStr">
        <is>
          <t>サンライズ建設(株)</t>
        </is>
      </c>
      <c r="F2205" t="inlineStr">
        <is>
          <t>福岡県</t>
        </is>
      </c>
      <c r="G2205" t="inlineStr">
        <is>
          <t>ソフトウェア</t>
        </is>
      </c>
      <c r="H2205" t="inlineStr">
        <is>
          <t>AIチャットボット</t>
        </is>
      </c>
      <c r="I2205" s="4" t="n">
        <v>2</v>
      </c>
      <c r="J2205" s="4" t="n">
        <v>844700</v>
      </c>
      <c r="K2205" s="4">
        <f>I2205*J2205</f>
        <v/>
      </c>
      <c r="L2205" t="inlineStr">
        <is>
          <t>キャンペーン適用</t>
        </is>
      </c>
    </row>
    <row r="2206">
      <c r="A2206" t="inlineStr">
        <is>
          <t>SR092</t>
        </is>
      </c>
      <c r="B2206" t="inlineStr">
        <is>
          <t>営業担当092</t>
        </is>
      </c>
      <c r="C2206" t="inlineStr">
        <is>
          <t>第2営業部</t>
        </is>
      </c>
      <c r="D2206" s="3" t="n">
        <v>46017</v>
      </c>
      <c r="E2206" t="inlineStr">
        <is>
          <t>グリーンテック(株)</t>
        </is>
      </c>
      <c r="F2206" t="inlineStr">
        <is>
          <t>兵庫県</t>
        </is>
      </c>
      <c r="G2206" t="inlineStr">
        <is>
          <t>保守サービス</t>
        </is>
      </c>
      <c r="H2206" t="inlineStr">
        <is>
          <t>ヘルプデスク契約</t>
        </is>
      </c>
      <c r="I2206" s="4" t="n">
        <v>2</v>
      </c>
      <c r="J2206" s="4" t="n">
        <v>80400</v>
      </c>
      <c r="K2206" s="4">
        <f>I2206*J2206</f>
        <v/>
      </c>
      <c r="L2206" t="inlineStr">
        <is>
          <t>リピート受注</t>
        </is>
      </c>
    </row>
    <row r="2207">
      <c r="A2207" t="inlineStr">
        <is>
          <t>SR092</t>
        </is>
      </c>
      <c r="B2207" t="inlineStr">
        <is>
          <t>営業担当092</t>
        </is>
      </c>
      <c r="C2207" t="inlineStr">
        <is>
          <t>第2営業部</t>
        </is>
      </c>
      <c r="D2207" s="3" t="n">
        <v>46025</v>
      </c>
      <c r="E2207" t="inlineStr">
        <is>
          <t>九州エナジー(株)</t>
        </is>
      </c>
      <c r="F2207" t="inlineStr">
        <is>
          <t>兵庫県</t>
        </is>
      </c>
      <c r="G2207" t="inlineStr">
        <is>
          <t>導入支援</t>
        </is>
      </c>
      <c r="H2207" t="inlineStr">
        <is>
          <t>データ移行支援</t>
        </is>
      </c>
      <c r="I2207" s="4" t="n">
        <v>4</v>
      </c>
      <c r="J2207" s="4" t="n">
        <v>338100</v>
      </c>
      <c r="K2207" s="4">
        <f>I2207*J2207</f>
        <v/>
      </c>
      <c r="L2207" t="inlineStr"/>
    </row>
    <row r="2208">
      <c r="A2208" t="inlineStr">
        <is>
          <t>SR092</t>
        </is>
      </c>
      <c r="B2208" t="inlineStr">
        <is>
          <t>営業担当092</t>
        </is>
      </c>
      <c r="C2208" t="inlineStr">
        <is>
          <t>第2営業部</t>
        </is>
      </c>
      <c r="D2208" s="3" t="n">
        <v>46047</v>
      </c>
      <c r="E2208" t="inlineStr">
        <is>
          <t>アーク電機有限会社</t>
        </is>
      </c>
      <c r="F2208" t="inlineStr">
        <is>
          <t>福岡県</t>
        </is>
      </c>
      <c r="G2208" t="inlineStr">
        <is>
          <t>消耗品</t>
        </is>
      </c>
      <c r="H2208" t="inlineStr">
        <is>
          <t>ラベルロール</t>
        </is>
      </c>
      <c r="I2208" s="4" t="n">
        <v>6</v>
      </c>
      <c r="J2208" s="4" t="n">
        <v>2590</v>
      </c>
      <c r="K2208" s="4">
        <f>I2208*J2208</f>
        <v/>
      </c>
      <c r="L2208" t="inlineStr">
        <is>
          <t>値引き調整あり</t>
        </is>
      </c>
    </row>
    <row r="2209">
      <c r="A2209" t="inlineStr">
        <is>
          <t>SR092</t>
        </is>
      </c>
      <c r="B2209" t="inlineStr">
        <is>
          <t>営業担当092</t>
        </is>
      </c>
      <c r="C2209" t="inlineStr">
        <is>
          <t>第2営業部</t>
        </is>
      </c>
      <c r="D2209" s="3" t="n">
        <v>46079</v>
      </c>
      <c r="E2209" t="inlineStr">
        <is>
          <t>みらい物流有限会社</t>
        </is>
      </c>
      <c r="F2209" t="inlineStr">
        <is>
          <t>広島県</t>
        </is>
      </c>
      <c r="G2209" t="inlineStr">
        <is>
          <t>導入支援</t>
        </is>
      </c>
      <c r="H2209" t="inlineStr">
        <is>
          <t>データ移行支援</t>
        </is>
      </c>
      <c r="I2209" s="4" t="n">
        <v>1</v>
      </c>
      <c r="J2209" s="4" t="n">
        <v>145900</v>
      </c>
      <c r="K2209" s="4">
        <f>I2209*J2209</f>
        <v/>
      </c>
      <c r="L2209" t="inlineStr"/>
    </row>
    <row r="2210">
      <c r="A2210" t="inlineStr">
        <is>
          <t>SR092</t>
        </is>
      </c>
      <c r="B2210" t="inlineStr">
        <is>
          <t>営業担当092</t>
        </is>
      </c>
      <c r="C2210" t="inlineStr">
        <is>
          <t>第2営業部</t>
        </is>
      </c>
      <c r="D2210" s="3" t="n">
        <v>46080</v>
      </c>
      <c r="E2210" t="inlineStr">
        <is>
          <t>東洋フーズ株式会社</t>
        </is>
      </c>
      <c r="F2210" t="inlineStr">
        <is>
          <t>京都府</t>
        </is>
      </c>
      <c r="G2210" t="inlineStr">
        <is>
          <t>導入支援</t>
        </is>
      </c>
      <c r="H2210" t="inlineStr">
        <is>
          <t>データ移行支援</t>
        </is>
      </c>
      <c r="I2210" s="4" t="n">
        <v>1</v>
      </c>
      <c r="J2210" s="4" t="n">
        <v>355200</v>
      </c>
      <c r="K2210" s="4">
        <f>I2210*J2210</f>
        <v/>
      </c>
      <c r="L2210" t="inlineStr"/>
    </row>
    <row r="2211">
      <c r="A2211" t="inlineStr">
        <is>
          <t>SR092</t>
        </is>
      </c>
      <c r="B2211" t="inlineStr">
        <is>
          <t>営業担当092</t>
        </is>
      </c>
      <c r="C2211" t="inlineStr">
        <is>
          <t>第2営業部</t>
        </is>
      </c>
      <c r="D2211" s="3" t="n">
        <v>46106</v>
      </c>
      <c r="E2211" t="inlineStr">
        <is>
          <t>未来通信株式会社</t>
        </is>
      </c>
      <c r="F2211" t="inlineStr">
        <is>
          <t>宮城県</t>
        </is>
      </c>
      <c r="G2211" t="inlineStr">
        <is>
          <t>消耗品</t>
        </is>
      </c>
      <c r="H2211" t="inlineStr">
        <is>
          <t>交換用ヘッド</t>
        </is>
      </c>
      <c r="I2211" s="4" t="n">
        <v>9</v>
      </c>
      <c r="J2211" s="4" t="n">
        <v>22760</v>
      </c>
      <c r="K2211" s="4">
        <f>I2211*J2211</f>
        <v/>
      </c>
      <c r="L2211" t="inlineStr"/>
    </row>
    <row r="2212">
      <c r="A2212" t="inlineStr">
        <is>
          <t>SR092</t>
        </is>
      </c>
      <c r="B2212" t="inlineStr">
        <is>
          <t>営業担当092</t>
        </is>
      </c>
      <c r="C2212" t="inlineStr">
        <is>
          <t>第2営業部</t>
        </is>
      </c>
      <c r="D2212" s="3" t="n">
        <v>46106</v>
      </c>
      <c r="E2212" t="inlineStr">
        <is>
          <t>東洋フーズ有限会社</t>
        </is>
      </c>
      <c r="F2212" t="inlineStr">
        <is>
          <t>北海道</t>
        </is>
      </c>
      <c r="G2212" t="inlineStr">
        <is>
          <t>消耗品</t>
        </is>
      </c>
      <c r="H2212" t="inlineStr">
        <is>
          <t>保守用バッテリー</t>
        </is>
      </c>
      <c r="I2212" s="4" t="n">
        <v>15</v>
      </c>
      <c r="J2212" s="4" t="n">
        <v>8260</v>
      </c>
      <c r="K2212" s="4">
        <f>I2212*J2212</f>
        <v/>
      </c>
      <c r="L2212" t="inlineStr">
        <is>
          <t>リピート受注</t>
        </is>
      </c>
    </row>
    <row r="2213">
      <c r="A2213" t="inlineStr">
        <is>
          <t>SR093</t>
        </is>
      </c>
      <c r="B2213" t="inlineStr">
        <is>
          <t>営業担当093</t>
        </is>
      </c>
      <c r="C2213" t="inlineStr">
        <is>
          <t>第3営業部</t>
        </is>
      </c>
      <c r="D2213" s="3" t="n">
        <v>45754</v>
      </c>
      <c r="E2213" t="inlineStr">
        <is>
          <t>東洋フーズ株式会社</t>
        </is>
      </c>
      <c r="F2213" t="inlineStr">
        <is>
          <t>広島県</t>
        </is>
      </c>
      <c r="G2213" t="inlineStr">
        <is>
          <t>ハードウェア</t>
        </is>
      </c>
      <c r="H2213" t="inlineStr">
        <is>
          <t>産業用タブレット</t>
        </is>
      </c>
      <c r="I2213" s="4" t="n">
        <v>2</v>
      </c>
      <c r="J2213" s="4" t="n">
        <v>100100</v>
      </c>
      <c r="K2213" s="4">
        <f>I2213*J2213</f>
        <v/>
      </c>
      <c r="L2213" t="inlineStr">
        <is>
          <t>新規開拓</t>
        </is>
      </c>
    </row>
    <row r="2214">
      <c r="A2214" t="inlineStr">
        <is>
          <t>SR093</t>
        </is>
      </c>
      <c r="B2214" t="inlineStr">
        <is>
          <t>営業担当093</t>
        </is>
      </c>
      <c r="C2214" t="inlineStr">
        <is>
          <t>第3営業部</t>
        </is>
      </c>
      <c r="D2214" s="3" t="n">
        <v>45775</v>
      </c>
      <c r="E2214" t="inlineStr">
        <is>
          <t>九州エナジー株式会社</t>
        </is>
      </c>
      <c r="F2214" t="inlineStr">
        <is>
          <t>大阪府</t>
        </is>
      </c>
      <c r="G2214" t="inlineStr">
        <is>
          <t>消耗品</t>
        </is>
      </c>
      <c r="H2214" t="inlineStr">
        <is>
          <t>ラベルロール</t>
        </is>
      </c>
      <c r="I2214" s="4" t="n">
        <v>9</v>
      </c>
      <c r="J2214" s="4" t="n">
        <v>8720</v>
      </c>
      <c r="K2214" s="4">
        <f>I2214*J2214</f>
        <v/>
      </c>
      <c r="L2214" t="inlineStr">
        <is>
          <t>キャンペーン適用</t>
        </is>
      </c>
    </row>
    <row r="2215">
      <c r="A2215" t="inlineStr">
        <is>
          <t>SR093</t>
        </is>
      </c>
      <c r="B2215" t="inlineStr">
        <is>
          <t>営業担当093</t>
        </is>
      </c>
      <c r="C2215" t="inlineStr">
        <is>
          <t>第3営業部</t>
        </is>
      </c>
      <c r="D2215" s="3" t="n">
        <v>45778</v>
      </c>
      <c r="E2215" t="inlineStr">
        <is>
          <t>オーシャン製作所株式会社</t>
        </is>
      </c>
      <c r="F2215" t="inlineStr">
        <is>
          <t>兵庫県</t>
        </is>
      </c>
      <c r="G2215" t="inlineStr">
        <is>
          <t>導入支援</t>
        </is>
      </c>
      <c r="H2215" t="inlineStr">
        <is>
          <t>操作研修パック</t>
        </is>
      </c>
      <c r="I2215" s="4" t="n">
        <v>1</v>
      </c>
      <c r="J2215" s="4" t="n">
        <v>130900</v>
      </c>
      <c r="K2215" s="4">
        <f>I2215*J2215</f>
        <v/>
      </c>
      <c r="L2215" t="inlineStr">
        <is>
          <t>値引き調整あり</t>
        </is>
      </c>
    </row>
    <row r="2216">
      <c r="A2216" t="inlineStr">
        <is>
          <t>SR093</t>
        </is>
      </c>
      <c r="B2216" t="inlineStr">
        <is>
          <t>営業担当093</t>
        </is>
      </c>
      <c r="C2216" t="inlineStr">
        <is>
          <t>第3営業部</t>
        </is>
      </c>
      <c r="D2216" s="3" t="n">
        <v>45800</v>
      </c>
      <c r="E2216" t="inlineStr">
        <is>
          <t>西日本機工株式会社</t>
        </is>
      </c>
      <c r="F2216" t="inlineStr">
        <is>
          <t>北海道</t>
        </is>
      </c>
      <c r="G2216" t="inlineStr">
        <is>
          <t>導入支援</t>
        </is>
      </c>
      <c r="H2216" t="inlineStr">
        <is>
          <t>初期設定支援</t>
        </is>
      </c>
      <c r="I2216" s="4" t="n">
        <v>4</v>
      </c>
      <c r="J2216" s="4" t="n">
        <v>161500</v>
      </c>
      <c r="K2216" s="4">
        <f>I2216*J2216</f>
        <v/>
      </c>
      <c r="L2216" t="inlineStr"/>
    </row>
    <row r="2217">
      <c r="A2217" t="inlineStr">
        <is>
          <t>SR093</t>
        </is>
      </c>
      <c r="B2217" t="inlineStr">
        <is>
          <t>営業担当093</t>
        </is>
      </c>
      <c r="C2217" t="inlineStr">
        <is>
          <t>第3営業部</t>
        </is>
      </c>
      <c r="D2217" s="3" t="n">
        <v>45823</v>
      </c>
      <c r="E2217" t="inlineStr">
        <is>
          <t>青葉商事株式会社</t>
        </is>
      </c>
      <c r="F2217" t="inlineStr">
        <is>
          <t>福岡県</t>
        </is>
      </c>
      <c r="G2217" t="inlineStr">
        <is>
          <t>ソフトウェア</t>
        </is>
      </c>
      <c r="H2217" t="inlineStr">
        <is>
          <t>在庫管理クラウド</t>
        </is>
      </c>
      <c r="I2217" s="4" t="n">
        <v>5</v>
      </c>
      <c r="J2217" s="4" t="n">
        <v>246900</v>
      </c>
      <c r="K2217" s="4">
        <f>I2217*J2217</f>
        <v/>
      </c>
      <c r="L2217" t="inlineStr"/>
    </row>
    <row r="2218">
      <c r="A2218" t="inlineStr">
        <is>
          <t>SR093</t>
        </is>
      </c>
      <c r="B2218" t="inlineStr">
        <is>
          <t>営業担当093</t>
        </is>
      </c>
      <c r="C2218" t="inlineStr">
        <is>
          <t>第3営業部</t>
        </is>
      </c>
      <c r="D2218" s="3" t="n">
        <v>45832</v>
      </c>
      <c r="E2218" t="inlineStr">
        <is>
          <t>アーク電機(株)</t>
        </is>
      </c>
      <c r="F2218" t="inlineStr">
        <is>
          <t>大阪府</t>
        </is>
      </c>
      <c r="G2218" t="inlineStr">
        <is>
          <t>導入支援</t>
        </is>
      </c>
      <c r="H2218" t="inlineStr">
        <is>
          <t>データ移行支援</t>
        </is>
      </c>
      <c r="I2218" s="4" t="n">
        <v>1</v>
      </c>
      <c r="J2218" s="4" t="n">
        <v>244900</v>
      </c>
      <c r="K2218" s="4">
        <f>I2218*J2218</f>
        <v/>
      </c>
      <c r="L2218" t="inlineStr">
        <is>
          <t>分納</t>
        </is>
      </c>
    </row>
    <row r="2219">
      <c r="A2219" t="inlineStr">
        <is>
          <t>SR093</t>
        </is>
      </c>
      <c r="B2219" t="inlineStr">
        <is>
          <t>営業担当093</t>
        </is>
      </c>
      <c r="C2219" t="inlineStr">
        <is>
          <t>第3営業部</t>
        </is>
      </c>
      <c r="D2219" s="3" t="n">
        <v>45846</v>
      </c>
      <c r="E2219" t="inlineStr">
        <is>
          <t>日新サービス有限会社</t>
        </is>
      </c>
      <c r="F2219" t="inlineStr">
        <is>
          <t>福岡県</t>
        </is>
      </c>
      <c r="G2219" t="inlineStr">
        <is>
          <t>ソフトウェア</t>
        </is>
      </c>
      <c r="H2219" t="inlineStr">
        <is>
          <t>帳票自動化ツール</t>
        </is>
      </c>
      <c r="I2219" s="4" t="n">
        <v>1</v>
      </c>
      <c r="J2219" s="4" t="n">
        <v>304000</v>
      </c>
      <c r="K2219" s="4">
        <f>I2219*J2219</f>
        <v/>
      </c>
      <c r="L2219" t="inlineStr">
        <is>
          <t>値引き調整あり</t>
        </is>
      </c>
    </row>
    <row r="2220">
      <c r="A2220" t="inlineStr">
        <is>
          <t>SR093</t>
        </is>
      </c>
      <c r="B2220" t="inlineStr">
        <is>
          <t>営業担当093</t>
        </is>
      </c>
      <c r="C2220" t="inlineStr">
        <is>
          <t>第3営業部</t>
        </is>
      </c>
      <c r="D2220" s="3" t="n">
        <v>45851</v>
      </c>
      <c r="E2220" t="inlineStr">
        <is>
          <t>中央設備株式会社</t>
        </is>
      </c>
      <c r="F2220" t="inlineStr">
        <is>
          <t>宮城県</t>
        </is>
      </c>
      <c r="G2220" t="inlineStr">
        <is>
          <t>ハードウェア</t>
        </is>
      </c>
      <c r="H2220" t="inlineStr">
        <is>
          <t>ラベルプリンター</t>
        </is>
      </c>
      <c r="I2220" s="4" t="n">
        <v>2</v>
      </c>
      <c r="J2220" s="4" t="n">
        <v>61900</v>
      </c>
      <c r="K2220" s="4">
        <f>I2220*J2220</f>
        <v/>
      </c>
      <c r="L2220" t="inlineStr">
        <is>
          <t>分納</t>
        </is>
      </c>
    </row>
    <row r="2221">
      <c r="A2221" t="inlineStr">
        <is>
          <t>SR093</t>
        </is>
      </c>
      <c r="B2221" t="inlineStr">
        <is>
          <t>営業担当093</t>
        </is>
      </c>
      <c r="C2221" t="inlineStr">
        <is>
          <t>第3営業部</t>
        </is>
      </c>
      <c r="D2221" s="3" t="n">
        <v>45874</v>
      </c>
      <c r="E2221" t="inlineStr">
        <is>
          <t>みらい物流有限会社</t>
        </is>
      </c>
      <c r="F2221" t="inlineStr">
        <is>
          <t>福岡県</t>
        </is>
      </c>
      <c r="G2221" t="inlineStr">
        <is>
          <t>ハードウェア</t>
        </is>
      </c>
      <c r="H2221" t="inlineStr">
        <is>
          <t>小型ハンディ端末</t>
        </is>
      </c>
      <c r="I2221" s="4" t="n">
        <v>3</v>
      </c>
      <c r="J2221" s="4" t="n">
        <v>78500</v>
      </c>
      <c r="K2221" s="4">
        <f>I2221*J2221</f>
        <v/>
      </c>
      <c r="L2221" t="inlineStr"/>
    </row>
    <row r="2222">
      <c r="A2222" t="inlineStr">
        <is>
          <t>SR093</t>
        </is>
      </c>
      <c r="B2222" t="inlineStr">
        <is>
          <t>営業担当093</t>
        </is>
      </c>
      <c r="C2222" t="inlineStr">
        <is>
          <t>第3営業部</t>
        </is>
      </c>
      <c r="D2222" s="3" t="n">
        <v>45887</v>
      </c>
      <c r="E2222" t="inlineStr">
        <is>
          <t>星和商会(株)</t>
        </is>
      </c>
      <c r="F2222" t="inlineStr">
        <is>
          <t>宮城県</t>
        </is>
      </c>
      <c r="G2222" t="inlineStr">
        <is>
          <t>ソフトウェア</t>
        </is>
      </c>
      <c r="H2222" t="inlineStr">
        <is>
          <t>営業支援SaaS</t>
        </is>
      </c>
      <c r="I2222" s="4" t="n">
        <v>2</v>
      </c>
      <c r="J2222" s="4" t="n">
        <v>303200</v>
      </c>
      <c r="K2222" s="4">
        <f>I2222*J2222</f>
        <v/>
      </c>
      <c r="L2222" t="inlineStr"/>
    </row>
    <row r="2223">
      <c r="A2223" t="inlineStr">
        <is>
          <t>SR093</t>
        </is>
      </c>
      <c r="B2223" t="inlineStr">
        <is>
          <t>営業担当093</t>
        </is>
      </c>
      <c r="C2223" t="inlineStr">
        <is>
          <t>第3営業部</t>
        </is>
      </c>
      <c r="D2223" s="3" t="n">
        <v>45903</v>
      </c>
      <c r="E2223" t="inlineStr">
        <is>
          <t>日新サービス有限会社</t>
        </is>
      </c>
      <c r="F2223" t="inlineStr">
        <is>
          <t>北海道</t>
        </is>
      </c>
      <c r="G2223" t="inlineStr">
        <is>
          <t>ソフトウェア</t>
        </is>
      </c>
      <c r="H2223" t="inlineStr">
        <is>
          <t>帳票自動化ツール</t>
        </is>
      </c>
      <c r="I2223" s="4" t="n">
        <v>5</v>
      </c>
      <c r="J2223" s="4" t="n">
        <v>333200</v>
      </c>
      <c r="K2223" s="4">
        <f>I2223*J2223</f>
        <v/>
      </c>
      <c r="L2223" t="inlineStr"/>
    </row>
    <row r="2224">
      <c r="A2224" t="inlineStr">
        <is>
          <t>SR093</t>
        </is>
      </c>
      <c r="B2224" t="inlineStr">
        <is>
          <t>営業担当093</t>
        </is>
      </c>
      <c r="C2224" t="inlineStr">
        <is>
          <t>第3営業部</t>
        </is>
      </c>
      <c r="D2224" s="3" t="n">
        <v>45922</v>
      </c>
      <c r="E2224" t="inlineStr">
        <is>
          <t>九州エナジー(株)</t>
        </is>
      </c>
      <c r="F2224" t="inlineStr">
        <is>
          <t>神奈川県</t>
        </is>
      </c>
      <c r="G2224" t="inlineStr">
        <is>
          <t>保守サービス</t>
        </is>
      </c>
      <c r="H2224" t="inlineStr">
        <is>
          <t>ヘルプデスク契約</t>
        </is>
      </c>
      <c r="I2224" s="4" t="n">
        <v>1</v>
      </c>
      <c r="J2224" s="4" t="n">
        <v>110300</v>
      </c>
      <c r="K2224" s="4">
        <f>I2224*J2224</f>
        <v/>
      </c>
      <c r="L2224" t="inlineStr"/>
    </row>
    <row r="2225">
      <c r="A2225" t="inlineStr">
        <is>
          <t>SR093</t>
        </is>
      </c>
      <c r="B2225" t="inlineStr">
        <is>
          <t>営業担当093</t>
        </is>
      </c>
      <c r="C2225" t="inlineStr">
        <is>
          <t>第3営業部</t>
        </is>
      </c>
      <c r="D2225" s="3" t="n">
        <v>45952</v>
      </c>
      <c r="E2225" t="inlineStr">
        <is>
          <t>未来通信(株)</t>
        </is>
      </c>
      <c r="F2225" t="inlineStr">
        <is>
          <t>兵庫県</t>
        </is>
      </c>
      <c r="G2225" t="inlineStr">
        <is>
          <t>ハードウェア</t>
        </is>
      </c>
      <c r="H2225" t="inlineStr">
        <is>
          <t>産業用タブレット</t>
        </is>
      </c>
      <c r="I2225" s="4" t="n">
        <v>5</v>
      </c>
      <c r="J2225" s="4" t="n">
        <v>85800</v>
      </c>
      <c r="K2225" s="4">
        <f>I2225*J2225</f>
        <v/>
      </c>
      <c r="L2225" t="inlineStr"/>
    </row>
    <row r="2226">
      <c r="A2226" t="inlineStr">
        <is>
          <t>SR093</t>
        </is>
      </c>
      <c r="B2226" t="inlineStr">
        <is>
          <t>営業担当093</t>
        </is>
      </c>
      <c r="C2226" t="inlineStr">
        <is>
          <t>第3営業部</t>
        </is>
      </c>
      <c r="D2226" s="3" t="n">
        <v>45958</v>
      </c>
      <c r="E2226" t="inlineStr">
        <is>
          <t>星和商会(株)</t>
        </is>
      </c>
      <c r="F2226" t="inlineStr">
        <is>
          <t>東京都</t>
        </is>
      </c>
      <c r="G2226" t="inlineStr">
        <is>
          <t>ハードウェア</t>
        </is>
      </c>
      <c r="H2226" t="inlineStr">
        <is>
          <t>ネットワークカメラ</t>
        </is>
      </c>
      <c r="I2226" s="4" t="n">
        <v>3</v>
      </c>
      <c r="J2226" s="4" t="n">
        <v>28400</v>
      </c>
      <c r="K2226" s="4">
        <f>I2226*J2226</f>
        <v/>
      </c>
      <c r="L2226" t="inlineStr"/>
    </row>
    <row r="2227">
      <c r="A2227" t="inlineStr">
        <is>
          <t>SR093</t>
        </is>
      </c>
      <c r="B2227" t="inlineStr">
        <is>
          <t>営業担当093</t>
        </is>
      </c>
      <c r="C2227" t="inlineStr">
        <is>
          <t>第3営業部</t>
        </is>
      </c>
      <c r="D2227" s="3" t="n">
        <v>45975</v>
      </c>
      <c r="E2227" t="inlineStr">
        <is>
          <t>未来通信(株)</t>
        </is>
      </c>
      <c r="F2227" t="inlineStr">
        <is>
          <t>東京都</t>
        </is>
      </c>
      <c r="G2227" t="inlineStr">
        <is>
          <t>ハードウェア</t>
        </is>
      </c>
      <c r="H2227" t="inlineStr">
        <is>
          <t>ネットワークカメラ</t>
        </is>
      </c>
      <c r="I2227" s="4" t="n">
        <v>2</v>
      </c>
      <c r="J2227" s="4" t="n">
        <v>49600</v>
      </c>
      <c r="K2227" s="4">
        <f>I2227*J2227</f>
        <v/>
      </c>
      <c r="L2227" t="inlineStr"/>
    </row>
    <row r="2228">
      <c r="A2228" t="inlineStr">
        <is>
          <t>SR093</t>
        </is>
      </c>
      <c r="B2228" t="inlineStr">
        <is>
          <t>営業担当093</t>
        </is>
      </c>
      <c r="C2228" t="inlineStr">
        <is>
          <t>第3営業部</t>
        </is>
      </c>
      <c r="D2228" s="3" t="n">
        <v>45980</v>
      </c>
      <c r="E2228" t="inlineStr">
        <is>
          <t>グリーンテック(株)</t>
        </is>
      </c>
      <c r="F2228" t="inlineStr">
        <is>
          <t>兵庫県</t>
        </is>
      </c>
      <c r="G2228" t="inlineStr">
        <is>
          <t>導入支援</t>
        </is>
      </c>
      <c r="H2228" t="inlineStr">
        <is>
          <t>データ移行支援</t>
        </is>
      </c>
      <c r="I2228" s="4" t="n">
        <v>5</v>
      </c>
      <c r="J2228" s="4" t="n">
        <v>96100</v>
      </c>
      <c r="K2228" s="4">
        <f>I2228*J2228</f>
        <v/>
      </c>
      <c r="L2228" t="inlineStr">
        <is>
          <t>値引き調整あり</t>
        </is>
      </c>
    </row>
    <row r="2229">
      <c r="A2229" t="inlineStr">
        <is>
          <t>SR093</t>
        </is>
      </c>
      <c r="B2229" t="inlineStr">
        <is>
          <t>営業担当093</t>
        </is>
      </c>
      <c r="C2229" t="inlineStr">
        <is>
          <t>第3営業部</t>
        </is>
      </c>
      <c r="D2229" s="3" t="n">
        <v>46004</v>
      </c>
      <c r="E2229" t="inlineStr">
        <is>
          <t>ネクストソリューション有限会社</t>
        </is>
      </c>
      <c r="F2229" t="inlineStr">
        <is>
          <t>大阪府</t>
        </is>
      </c>
      <c r="G2229" t="inlineStr">
        <is>
          <t>ハードウェア</t>
        </is>
      </c>
      <c r="H2229" t="inlineStr">
        <is>
          <t>ネットワークカメラ</t>
        </is>
      </c>
      <c r="I2229" s="4" t="n">
        <v>4</v>
      </c>
      <c r="J2229" s="4" t="n">
        <v>41400</v>
      </c>
      <c r="K2229" s="4">
        <f>I2229*J2229</f>
        <v/>
      </c>
      <c r="L2229" t="inlineStr"/>
    </row>
    <row r="2230">
      <c r="A2230" t="inlineStr">
        <is>
          <t>SR093</t>
        </is>
      </c>
      <c r="B2230" t="inlineStr">
        <is>
          <t>営業担当093</t>
        </is>
      </c>
      <c r="C2230" t="inlineStr">
        <is>
          <t>第3営業部</t>
        </is>
      </c>
      <c r="D2230" s="3" t="n">
        <v>46010</v>
      </c>
      <c r="E2230" t="inlineStr">
        <is>
          <t>九州エナジー有限会社</t>
        </is>
      </c>
      <c r="F2230" t="inlineStr">
        <is>
          <t>神奈川県</t>
        </is>
      </c>
      <c r="G2230" t="inlineStr">
        <is>
          <t>ハードウェア</t>
        </is>
      </c>
      <c r="H2230" t="inlineStr">
        <is>
          <t>ネットワークカメラ</t>
        </is>
      </c>
      <c r="I2230" s="4" t="n">
        <v>5</v>
      </c>
      <c r="J2230" s="4" t="n">
        <v>53500</v>
      </c>
      <c r="K2230" s="4">
        <f>I2230*J2230</f>
        <v/>
      </c>
      <c r="L2230" t="inlineStr">
        <is>
          <t>値引き調整あり</t>
        </is>
      </c>
    </row>
    <row r="2231">
      <c r="A2231" t="inlineStr">
        <is>
          <t>SR093</t>
        </is>
      </c>
      <c r="B2231" t="inlineStr">
        <is>
          <t>営業担当093</t>
        </is>
      </c>
      <c r="C2231" t="inlineStr">
        <is>
          <t>第3営業部</t>
        </is>
      </c>
      <c r="D2231" s="3" t="n">
        <v>46025</v>
      </c>
      <c r="E2231" t="inlineStr">
        <is>
          <t>青葉商事株式会社</t>
        </is>
      </c>
      <c r="F2231" t="inlineStr">
        <is>
          <t>大阪府</t>
        </is>
      </c>
      <c r="G2231" t="inlineStr">
        <is>
          <t>導入支援</t>
        </is>
      </c>
      <c r="H2231" t="inlineStr">
        <is>
          <t>操作研修パック</t>
        </is>
      </c>
      <c r="I2231" s="4" t="n">
        <v>5</v>
      </c>
      <c r="J2231" s="4" t="n">
        <v>67300</v>
      </c>
      <c r="K2231" s="4">
        <f>I2231*J2231</f>
        <v/>
      </c>
      <c r="L2231" t="inlineStr"/>
    </row>
    <row r="2232">
      <c r="A2232" t="inlineStr">
        <is>
          <t>SR093</t>
        </is>
      </c>
      <c r="B2232" t="inlineStr">
        <is>
          <t>営業担当093</t>
        </is>
      </c>
      <c r="C2232" t="inlineStr">
        <is>
          <t>第3営業部</t>
        </is>
      </c>
      <c r="D2232" s="3" t="n">
        <v>46050</v>
      </c>
      <c r="E2232" t="inlineStr">
        <is>
          <t>青葉商事株式会社</t>
        </is>
      </c>
      <c r="F2232" t="inlineStr">
        <is>
          <t>福岡県</t>
        </is>
      </c>
      <c r="G2232" t="inlineStr">
        <is>
          <t>ソフトウェア</t>
        </is>
      </c>
      <c r="H2232" t="inlineStr">
        <is>
          <t>帳票自動化ツール</t>
        </is>
      </c>
      <c r="I2232" s="4" t="n">
        <v>1</v>
      </c>
      <c r="J2232" s="4" t="n">
        <v>397800</v>
      </c>
      <c r="K2232" s="4">
        <f>I2232*J2232</f>
        <v/>
      </c>
      <c r="L2232" t="inlineStr">
        <is>
          <t>大型案件</t>
        </is>
      </c>
    </row>
    <row r="2233">
      <c r="A2233" t="inlineStr">
        <is>
          <t>SR093</t>
        </is>
      </c>
      <c r="B2233" t="inlineStr">
        <is>
          <t>営業担当093</t>
        </is>
      </c>
      <c r="C2233" t="inlineStr">
        <is>
          <t>第3営業部</t>
        </is>
      </c>
      <c r="D2233" s="3" t="n">
        <v>46074</v>
      </c>
      <c r="E2233" t="inlineStr">
        <is>
          <t>東洋フーズ(株)</t>
        </is>
      </c>
      <c r="F2233" t="inlineStr">
        <is>
          <t>京都府</t>
        </is>
      </c>
      <c r="G2233" t="inlineStr">
        <is>
          <t>導入支援</t>
        </is>
      </c>
      <c r="H2233" t="inlineStr">
        <is>
          <t>初期設定支援</t>
        </is>
      </c>
      <c r="I2233" s="4" t="n">
        <v>5</v>
      </c>
      <c r="J2233" s="4" t="n">
        <v>161800</v>
      </c>
      <c r="K2233" s="4">
        <f>I2233*J2233</f>
        <v/>
      </c>
      <c r="L2233" t="inlineStr">
        <is>
          <t>新規開拓</t>
        </is>
      </c>
    </row>
    <row r="2234">
      <c r="A2234" t="inlineStr">
        <is>
          <t>SR093</t>
        </is>
      </c>
      <c r="B2234" t="inlineStr">
        <is>
          <t>営業担当093</t>
        </is>
      </c>
      <c r="C2234" t="inlineStr">
        <is>
          <t>第3営業部</t>
        </is>
      </c>
      <c r="D2234" s="3" t="n">
        <v>46075</v>
      </c>
      <c r="E2234" t="inlineStr">
        <is>
          <t>九州エナジー(株)</t>
        </is>
      </c>
      <c r="F2234" t="inlineStr">
        <is>
          <t>兵庫県</t>
        </is>
      </c>
      <c r="G2234" t="inlineStr">
        <is>
          <t>保守サービス</t>
        </is>
      </c>
      <c r="H2234" t="inlineStr">
        <is>
          <t>ヘルプデスク契約</t>
        </is>
      </c>
      <c r="I2234" s="4" t="n">
        <v>3</v>
      </c>
      <c r="J2234" s="4" t="n">
        <v>102300</v>
      </c>
      <c r="K2234" s="4">
        <f>I2234*J2234</f>
        <v/>
      </c>
      <c r="L2234" t="inlineStr"/>
    </row>
    <row r="2235">
      <c r="A2235" t="inlineStr">
        <is>
          <t>SR093</t>
        </is>
      </c>
      <c r="B2235" t="inlineStr">
        <is>
          <t>営業担当093</t>
        </is>
      </c>
      <c r="C2235" t="inlineStr">
        <is>
          <t>第3営業部</t>
        </is>
      </c>
      <c r="D2235" s="3" t="n">
        <v>46091</v>
      </c>
      <c r="E2235" t="inlineStr">
        <is>
          <t>ライトホーム(株)</t>
        </is>
      </c>
      <c r="F2235" t="inlineStr">
        <is>
          <t>兵庫県</t>
        </is>
      </c>
      <c r="G2235" t="inlineStr">
        <is>
          <t>消耗品</t>
        </is>
      </c>
      <c r="H2235" t="inlineStr">
        <is>
          <t>交換用ヘッド</t>
        </is>
      </c>
      <c r="I2235" s="4" t="n">
        <v>11</v>
      </c>
      <c r="J2235" s="4" t="n">
        <v>14700</v>
      </c>
      <c r="K2235" s="4">
        <f>I2235*J2235</f>
        <v/>
      </c>
      <c r="L2235" t="inlineStr"/>
    </row>
    <row r="2236">
      <c r="A2236" t="inlineStr">
        <is>
          <t>SR093</t>
        </is>
      </c>
      <c r="B2236" t="inlineStr">
        <is>
          <t>営業担当093</t>
        </is>
      </c>
      <c r="C2236" t="inlineStr">
        <is>
          <t>第3営業部</t>
        </is>
      </c>
      <c r="D2236" s="3" t="n">
        <v>46105</v>
      </c>
      <c r="E2236" t="inlineStr">
        <is>
          <t>ネクストソリューション有限会社</t>
        </is>
      </c>
      <c r="F2236" t="inlineStr">
        <is>
          <t>兵庫県</t>
        </is>
      </c>
      <c r="G2236" t="inlineStr">
        <is>
          <t>導入支援</t>
        </is>
      </c>
      <c r="H2236" t="inlineStr">
        <is>
          <t>初期設定支援</t>
        </is>
      </c>
      <c r="I2236" s="4" t="n">
        <v>4</v>
      </c>
      <c r="J2236" s="4" t="n">
        <v>219200</v>
      </c>
      <c r="K2236" s="4">
        <f>I2236*J2236</f>
        <v/>
      </c>
      <c r="L2236" t="inlineStr">
        <is>
          <t>大型案件</t>
        </is>
      </c>
    </row>
    <row r="2237">
      <c r="A2237" t="inlineStr">
        <is>
          <t>SR094</t>
        </is>
      </c>
      <c r="B2237" t="inlineStr">
        <is>
          <t>営業担当094</t>
        </is>
      </c>
      <c r="C2237" t="inlineStr">
        <is>
          <t>パートナー営業部</t>
        </is>
      </c>
      <c r="D2237" s="3" t="n">
        <v>45756</v>
      </c>
      <c r="E2237" t="inlineStr">
        <is>
          <t>みらい物流有限会社</t>
        </is>
      </c>
      <c r="F2237" t="inlineStr">
        <is>
          <t>北海道</t>
        </is>
      </c>
      <c r="G2237" t="inlineStr">
        <is>
          <t>ハードウェア</t>
        </is>
      </c>
      <c r="H2237" t="inlineStr">
        <is>
          <t>ラベルプリンター</t>
        </is>
      </c>
      <c r="I2237" s="4" t="n">
        <v>4</v>
      </c>
      <c r="J2237" s="4" t="n">
        <v>47100</v>
      </c>
      <c r="K2237" s="4">
        <f>I2237*J2237</f>
        <v/>
      </c>
      <c r="L2237" t="inlineStr">
        <is>
          <t>新規開拓</t>
        </is>
      </c>
    </row>
    <row r="2238">
      <c r="A2238" t="inlineStr">
        <is>
          <t>SR094</t>
        </is>
      </c>
      <c r="B2238" t="inlineStr">
        <is>
          <t>営業担当094</t>
        </is>
      </c>
      <c r="C2238" t="inlineStr">
        <is>
          <t>パートナー営業部</t>
        </is>
      </c>
      <c r="D2238" s="3" t="n">
        <v>45757</v>
      </c>
      <c r="E2238" t="inlineStr">
        <is>
          <t>福岡流通(株)</t>
        </is>
      </c>
      <c r="F2238" t="inlineStr">
        <is>
          <t>京都府</t>
        </is>
      </c>
      <c r="G2238" t="inlineStr">
        <is>
          <t>消耗品</t>
        </is>
      </c>
      <c r="H2238" t="inlineStr">
        <is>
          <t>保守用バッテリー</t>
        </is>
      </c>
      <c r="I2238" s="4" t="n">
        <v>13</v>
      </c>
      <c r="J2238" s="4" t="n">
        <v>6530</v>
      </c>
      <c r="K2238" s="4">
        <f>I2238*J2238</f>
        <v/>
      </c>
      <c r="L2238" t="inlineStr">
        <is>
          <t>分納</t>
        </is>
      </c>
    </row>
    <row r="2239">
      <c r="A2239" t="inlineStr">
        <is>
          <t>SR094</t>
        </is>
      </c>
      <c r="B2239" t="inlineStr">
        <is>
          <t>営業担当094</t>
        </is>
      </c>
      <c r="C2239" t="inlineStr">
        <is>
          <t>パートナー営業部</t>
        </is>
      </c>
      <c r="D2239" s="3" t="n">
        <v>45780</v>
      </c>
      <c r="E2239" t="inlineStr">
        <is>
          <t>福岡流通株式会社</t>
        </is>
      </c>
      <c r="F2239" t="inlineStr">
        <is>
          <t>愛知県</t>
        </is>
      </c>
      <c r="G2239" t="inlineStr">
        <is>
          <t>消耗品</t>
        </is>
      </c>
      <c r="H2239" t="inlineStr">
        <is>
          <t>保守用バッテリー</t>
        </is>
      </c>
      <c r="I2239" s="4" t="n">
        <v>8</v>
      </c>
      <c r="J2239" s="4" t="n">
        <v>13790</v>
      </c>
      <c r="K2239" s="4">
        <f>I2239*J2239</f>
        <v/>
      </c>
      <c r="L2239" t="inlineStr">
        <is>
          <t>分納</t>
        </is>
      </c>
    </row>
    <row r="2240">
      <c r="A2240" t="inlineStr">
        <is>
          <t>SR094</t>
        </is>
      </c>
      <c r="B2240" t="inlineStr">
        <is>
          <t>営業担当094</t>
        </is>
      </c>
      <c r="C2240" t="inlineStr">
        <is>
          <t>パートナー営業部</t>
        </is>
      </c>
      <c r="D2240" s="3" t="n">
        <v>45790</v>
      </c>
      <c r="E2240" t="inlineStr">
        <is>
          <t>西日本機工有限会社</t>
        </is>
      </c>
      <c r="F2240" t="inlineStr">
        <is>
          <t>福岡県</t>
        </is>
      </c>
      <c r="G2240" t="inlineStr">
        <is>
          <t>導入支援</t>
        </is>
      </c>
      <c r="H2240" t="inlineStr">
        <is>
          <t>操作研修パック</t>
        </is>
      </c>
      <c r="I2240" s="4" t="n">
        <v>2</v>
      </c>
      <c r="J2240" s="4" t="n">
        <v>75500</v>
      </c>
      <c r="K2240" s="4">
        <f>I2240*J2240</f>
        <v/>
      </c>
      <c r="L2240" t="inlineStr">
        <is>
          <t>新規開拓</t>
        </is>
      </c>
    </row>
    <row r="2241">
      <c r="A2241" t="inlineStr">
        <is>
          <t>SR094</t>
        </is>
      </c>
      <c r="B2241" t="inlineStr">
        <is>
          <t>営業担当094</t>
        </is>
      </c>
      <c r="C2241" t="inlineStr">
        <is>
          <t>パートナー営業部</t>
        </is>
      </c>
      <c r="D2241" s="3" t="n">
        <v>45815</v>
      </c>
      <c r="E2241" t="inlineStr">
        <is>
          <t>九州エナジー有限会社</t>
        </is>
      </c>
      <c r="F2241" t="inlineStr">
        <is>
          <t>福岡県</t>
        </is>
      </c>
      <c r="G2241" t="inlineStr">
        <is>
          <t>ソフトウェア</t>
        </is>
      </c>
      <c r="H2241" t="inlineStr">
        <is>
          <t>AIチャットボット</t>
        </is>
      </c>
      <c r="I2241" s="4" t="n">
        <v>3</v>
      </c>
      <c r="J2241" s="4" t="n">
        <v>561600</v>
      </c>
      <c r="K2241" s="4">
        <f>I2241*J2241</f>
        <v/>
      </c>
      <c r="L2241" t="inlineStr"/>
    </row>
    <row r="2242">
      <c r="A2242" t="inlineStr">
        <is>
          <t>SR094</t>
        </is>
      </c>
      <c r="B2242" t="inlineStr">
        <is>
          <t>営業担当094</t>
        </is>
      </c>
      <c r="C2242" t="inlineStr">
        <is>
          <t>パートナー営業部</t>
        </is>
      </c>
      <c r="D2242" s="3" t="n">
        <v>45825</v>
      </c>
      <c r="E2242" t="inlineStr">
        <is>
          <t>ライトホーム有限会社</t>
        </is>
      </c>
      <c r="F2242" t="inlineStr">
        <is>
          <t>北海道</t>
        </is>
      </c>
      <c r="G2242" t="inlineStr">
        <is>
          <t>ソフトウェア</t>
        </is>
      </c>
      <c r="H2242" t="inlineStr">
        <is>
          <t>営業支援SaaS</t>
        </is>
      </c>
      <c r="I2242" s="4" t="n">
        <v>5</v>
      </c>
      <c r="J2242" s="4" t="n">
        <v>163500</v>
      </c>
      <c r="K2242" s="4">
        <f>I2242*J2242</f>
        <v/>
      </c>
      <c r="L2242" t="inlineStr">
        <is>
          <t>値引き調整あり</t>
        </is>
      </c>
    </row>
    <row r="2243">
      <c r="A2243" t="inlineStr">
        <is>
          <t>SR094</t>
        </is>
      </c>
      <c r="B2243" t="inlineStr">
        <is>
          <t>営業担当094</t>
        </is>
      </c>
      <c r="C2243" t="inlineStr">
        <is>
          <t>パートナー営業部</t>
        </is>
      </c>
      <c r="D2243" s="3" t="n">
        <v>45858</v>
      </c>
      <c r="E2243" t="inlineStr">
        <is>
          <t>みらい物流有限会社</t>
        </is>
      </c>
      <c r="F2243" t="inlineStr">
        <is>
          <t>広島県</t>
        </is>
      </c>
      <c r="G2243" t="inlineStr">
        <is>
          <t>導入支援</t>
        </is>
      </c>
      <c r="H2243" t="inlineStr">
        <is>
          <t>操作研修パック</t>
        </is>
      </c>
      <c r="I2243" s="4" t="n">
        <v>5</v>
      </c>
      <c r="J2243" s="4" t="n">
        <v>130800</v>
      </c>
      <c r="K2243" s="4">
        <f>I2243*J2243</f>
        <v/>
      </c>
      <c r="L2243" t="inlineStr">
        <is>
          <t>キャンペーン適用</t>
        </is>
      </c>
    </row>
    <row r="2244">
      <c r="A2244" t="inlineStr">
        <is>
          <t>SR094</t>
        </is>
      </c>
      <c r="B2244" t="inlineStr">
        <is>
          <t>営業担当094</t>
        </is>
      </c>
      <c r="C2244" t="inlineStr">
        <is>
          <t>パートナー営業部</t>
        </is>
      </c>
      <c r="D2244" s="3" t="n">
        <v>45861</v>
      </c>
      <c r="E2244" t="inlineStr">
        <is>
          <t>日新サービス(株)</t>
        </is>
      </c>
      <c r="F2244" t="inlineStr">
        <is>
          <t>北海道</t>
        </is>
      </c>
      <c r="G2244" t="inlineStr">
        <is>
          <t>ソフトウェア</t>
        </is>
      </c>
      <c r="H2244" t="inlineStr">
        <is>
          <t>AIチャットボット</t>
        </is>
      </c>
      <c r="I2244" s="4" t="n">
        <v>5</v>
      </c>
      <c r="J2244" s="4" t="n">
        <v>465300</v>
      </c>
      <c r="K2244" s="4">
        <f>I2244*J2244</f>
        <v/>
      </c>
      <c r="L2244" t="inlineStr">
        <is>
          <t>キャンペーン適用</t>
        </is>
      </c>
    </row>
    <row r="2245">
      <c r="A2245" t="inlineStr">
        <is>
          <t>SR094</t>
        </is>
      </c>
      <c r="B2245" t="inlineStr">
        <is>
          <t>営業担当094</t>
        </is>
      </c>
      <c r="C2245" t="inlineStr">
        <is>
          <t>パートナー営業部</t>
        </is>
      </c>
      <c r="D2245" s="3" t="n">
        <v>45887</v>
      </c>
      <c r="E2245" t="inlineStr">
        <is>
          <t>グリーンテック有限会社</t>
        </is>
      </c>
      <c r="F2245" t="inlineStr">
        <is>
          <t>兵庫県</t>
        </is>
      </c>
      <c r="G2245" t="inlineStr">
        <is>
          <t>導入支援</t>
        </is>
      </c>
      <c r="H2245" t="inlineStr">
        <is>
          <t>操作研修パック</t>
        </is>
      </c>
      <c r="I2245" s="4" t="n">
        <v>4</v>
      </c>
      <c r="J2245" s="4" t="n">
        <v>61500</v>
      </c>
      <c r="K2245" s="4">
        <f>I2245*J2245</f>
        <v/>
      </c>
      <c r="L2245" t="inlineStr"/>
    </row>
    <row r="2246">
      <c r="A2246" t="inlineStr">
        <is>
          <t>SR094</t>
        </is>
      </c>
      <c r="B2246" t="inlineStr">
        <is>
          <t>営業担当094</t>
        </is>
      </c>
      <c r="C2246" t="inlineStr">
        <is>
          <t>パートナー営業部</t>
        </is>
      </c>
      <c r="D2246" s="3" t="n">
        <v>45897</v>
      </c>
      <c r="E2246" t="inlineStr">
        <is>
          <t>九州エナジー(株)</t>
        </is>
      </c>
      <c r="F2246" t="inlineStr">
        <is>
          <t>東京都</t>
        </is>
      </c>
      <c r="G2246" t="inlineStr">
        <is>
          <t>消耗品</t>
        </is>
      </c>
      <c r="H2246" t="inlineStr">
        <is>
          <t>保守用バッテリー</t>
        </is>
      </c>
      <c r="I2246" s="4" t="n">
        <v>13</v>
      </c>
      <c r="J2246" s="4" t="n">
        <v>15780</v>
      </c>
      <c r="K2246" s="4">
        <f>I2246*J2246</f>
        <v/>
      </c>
      <c r="L2246" t="inlineStr">
        <is>
          <t>リピート受注</t>
        </is>
      </c>
    </row>
    <row r="2247">
      <c r="A2247" t="inlineStr">
        <is>
          <t>SR094</t>
        </is>
      </c>
      <c r="B2247" t="inlineStr">
        <is>
          <t>営業担当094</t>
        </is>
      </c>
      <c r="C2247" t="inlineStr">
        <is>
          <t>パートナー営業部</t>
        </is>
      </c>
      <c r="D2247" s="3" t="n">
        <v>45911</v>
      </c>
      <c r="E2247" t="inlineStr">
        <is>
          <t>大和精機有限会社</t>
        </is>
      </c>
      <c r="F2247" t="inlineStr">
        <is>
          <t>愛知県</t>
        </is>
      </c>
      <c r="G2247" t="inlineStr">
        <is>
          <t>導入支援</t>
        </is>
      </c>
      <c r="H2247" t="inlineStr">
        <is>
          <t>操作研修パック</t>
        </is>
      </c>
      <c r="I2247" s="4" t="n">
        <v>1</v>
      </c>
      <c r="J2247" s="4" t="n">
        <v>138900</v>
      </c>
      <c r="K2247" s="4">
        <f>I2247*J2247</f>
        <v/>
      </c>
      <c r="L2247" t="inlineStr">
        <is>
          <t>新規開拓</t>
        </is>
      </c>
    </row>
    <row r="2248">
      <c r="A2248" t="inlineStr">
        <is>
          <t>SR094</t>
        </is>
      </c>
      <c r="B2248" t="inlineStr">
        <is>
          <t>営業担当094</t>
        </is>
      </c>
      <c r="C2248" t="inlineStr">
        <is>
          <t>パートナー営業部</t>
        </is>
      </c>
      <c r="D2248" s="3" t="n">
        <v>45927</v>
      </c>
      <c r="E2248" t="inlineStr">
        <is>
          <t>未来通信株式会社</t>
        </is>
      </c>
      <c r="F2248" t="inlineStr">
        <is>
          <t>東京都</t>
        </is>
      </c>
      <c r="G2248" t="inlineStr">
        <is>
          <t>ハードウェア</t>
        </is>
      </c>
      <c r="H2248" t="inlineStr">
        <is>
          <t>ラベルプリンター</t>
        </is>
      </c>
      <c r="I2248" s="4" t="n">
        <v>5</v>
      </c>
      <c r="J2248" s="4" t="n">
        <v>44100</v>
      </c>
      <c r="K2248" s="4">
        <f>I2248*J2248</f>
        <v/>
      </c>
      <c r="L2248" t="inlineStr">
        <is>
          <t>値引き調整あり</t>
        </is>
      </c>
    </row>
    <row r="2249">
      <c r="A2249" t="inlineStr">
        <is>
          <t>SR094</t>
        </is>
      </c>
      <c r="B2249" t="inlineStr">
        <is>
          <t>営業担当094</t>
        </is>
      </c>
      <c r="C2249" t="inlineStr">
        <is>
          <t>パートナー営業部</t>
        </is>
      </c>
      <c r="D2249" s="3" t="n">
        <v>45952</v>
      </c>
      <c r="E2249" t="inlineStr">
        <is>
          <t>大和精機株式会社</t>
        </is>
      </c>
      <c r="F2249" t="inlineStr">
        <is>
          <t>宮城県</t>
        </is>
      </c>
      <c r="G2249" t="inlineStr">
        <is>
          <t>ハードウェア</t>
        </is>
      </c>
      <c r="H2249" t="inlineStr">
        <is>
          <t>小型ハンディ端末</t>
        </is>
      </c>
      <c r="I2249" s="4" t="n">
        <v>3</v>
      </c>
      <c r="J2249" s="4" t="n">
        <v>50300</v>
      </c>
      <c r="K2249" s="4">
        <f>I2249*J2249</f>
        <v/>
      </c>
      <c r="L2249" t="inlineStr">
        <is>
          <t>リピート受注</t>
        </is>
      </c>
    </row>
    <row r="2250">
      <c r="A2250" t="inlineStr">
        <is>
          <t>SR094</t>
        </is>
      </c>
      <c r="B2250" t="inlineStr">
        <is>
          <t>営業担当094</t>
        </is>
      </c>
      <c r="C2250" t="inlineStr">
        <is>
          <t>パートナー営業部</t>
        </is>
      </c>
      <c r="D2250" s="3" t="n">
        <v>45957</v>
      </c>
      <c r="E2250" t="inlineStr">
        <is>
          <t>星和商会株式会社</t>
        </is>
      </c>
      <c r="F2250" t="inlineStr">
        <is>
          <t>大阪府</t>
        </is>
      </c>
      <c r="G2250" t="inlineStr">
        <is>
          <t>導入支援</t>
        </is>
      </c>
      <c r="H2250" t="inlineStr">
        <is>
          <t>操作研修パック</t>
        </is>
      </c>
      <c r="I2250" s="4" t="n">
        <v>4</v>
      </c>
      <c r="J2250" s="4" t="n">
        <v>63700</v>
      </c>
      <c r="K2250" s="4">
        <f>I2250*J2250</f>
        <v/>
      </c>
      <c r="L2250" t="inlineStr"/>
    </row>
    <row r="2251">
      <c r="A2251" t="inlineStr">
        <is>
          <t>SR094</t>
        </is>
      </c>
      <c r="B2251" t="inlineStr">
        <is>
          <t>営業担当094</t>
        </is>
      </c>
      <c r="C2251" t="inlineStr">
        <is>
          <t>パートナー営業部</t>
        </is>
      </c>
      <c r="D2251" s="3" t="n">
        <v>45962</v>
      </c>
      <c r="E2251" t="inlineStr">
        <is>
          <t>福岡流通(株)</t>
        </is>
      </c>
      <c r="F2251" t="inlineStr">
        <is>
          <t>宮城県</t>
        </is>
      </c>
      <c r="G2251" t="inlineStr">
        <is>
          <t>消耗品</t>
        </is>
      </c>
      <c r="H2251" t="inlineStr">
        <is>
          <t>保守用バッテリー</t>
        </is>
      </c>
      <c r="I2251" s="4" t="n">
        <v>11</v>
      </c>
      <c r="J2251" s="4" t="n">
        <v>15150</v>
      </c>
      <c r="K2251" s="4">
        <f>I2251*J2251</f>
        <v/>
      </c>
      <c r="L2251" t="inlineStr"/>
    </row>
    <row r="2252">
      <c r="A2252" t="inlineStr">
        <is>
          <t>SR094</t>
        </is>
      </c>
      <c r="B2252" t="inlineStr">
        <is>
          <t>営業担当094</t>
        </is>
      </c>
      <c r="C2252" t="inlineStr">
        <is>
          <t>パートナー営業部</t>
        </is>
      </c>
      <c r="D2252" s="3" t="n">
        <v>45968</v>
      </c>
      <c r="E2252" t="inlineStr">
        <is>
          <t>大和精機有限会社</t>
        </is>
      </c>
      <c r="F2252" t="inlineStr">
        <is>
          <t>北海道</t>
        </is>
      </c>
      <c r="G2252" t="inlineStr">
        <is>
          <t>消耗品</t>
        </is>
      </c>
      <c r="H2252" t="inlineStr">
        <is>
          <t>ラベルロール</t>
        </is>
      </c>
      <c r="I2252" s="4" t="n">
        <v>5</v>
      </c>
      <c r="J2252" s="4" t="n">
        <v>2970</v>
      </c>
      <c r="K2252" s="4">
        <f>I2252*J2252</f>
        <v/>
      </c>
      <c r="L2252" t="inlineStr"/>
    </row>
    <row r="2253">
      <c r="A2253" t="inlineStr">
        <is>
          <t>SR094</t>
        </is>
      </c>
      <c r="B2253" t="inlineStr">
        <is>
          <t>営業担当094</t>
        </is>
      </c>
      <c r="C2253" t="inlineStr">
        <is>
          <t>パートナー営業部</t>
        </is>
      </c>
      <c r="D2253" s="3" t="n">
        <v>45992</v>
      </c>
      <c r="E2253" t="inlineStr">
        <is>
          <t>中央設備株式会社</t>
        </is>
      </c>
      <c r="F2253" t="inlineStr">
        <is>
          <t>神奈川県</t>
        </is>
      </c>
      <c r="G2253" t="inlineStr">
        <is>
          <t>消耗品</t>
        </is>
      </c>
      <c r="H2253" t="inlineStr">
        <is>
          <t>ラベルロール</t>
        </is>
      </c>
      <c r="I2253" s="4" t="n">
        <v>13</v>
      </c>
      <c r="J2253" s="4" t="n">
        <v>9210</v>
      </c>
      <c r="K2253" s="4">
        <f>I2253*J2253</f>
        <v/>
      </c>
      <c r="L2253" t="inlineStr">
        <is>
          <t>新規開拓</t>
        </is>
      </c>
    </row>
    <row r="2254">
      <c r="A2254" t="inlineStr">
        <is>
          <t>SR094</t>
        </is>
      </c>
      <c r="B2254" t="inlineStr">
        <is>
          <t>営業担当094</t>
        </is>
      </c>
      <c r="C2254" t="inlineStr">
        <is>
          <t>パートナー営業部</t>
        </is>
      </c>
      <c r="D2254" s="3" t="n">
        <v>46018</v>
      </c>
      <c r="E2254" t="inlineStr">
        <is>
          <t>福岡流通株式会社</t>
        </is>
      </c>
      <c r="F2254" t="inlineStr">
        <is>
          <t>宮城県</t>
        </is>
      </c>
      <c r="G2254" t="inlineStr">
        <is>
          <t>保守サービス</t>
        </is>
      </c>
      <c r="H2254" t="inlineStr">
        <is>
          <t>年間保守契約</t>
        </is>
      </c>
      <c r="I2254" s="4" t="n">
        <v>3</v>
      </c>
      <c r="J2254" s="4" t="n">
        <v>180200</v>
      </c>
      <c r="K2254" s="4">
        <f>I2254*J2254</f>
        <v/>
      </c>
      <c r="L2254" t="inlineStr">
        <is>
          <t>分納</t>
        </is>
      </c>
    </row>
    <row r="2255">
      <c r="A2255" t="inlineStr">
        <is>
          <t>SR094</t>
        </is>
      </c>
      <c r="B2255" t="inlineStr">
        <is>
          <t>営業担当094</t>
        </is>
      </c>
      <c r="C2255" t="inlineStr">
        <is>
          <t>パートナー営業部</t>
        </is>
      </c>
      <c r="D2255" s="3" t="n">
        <v>46026</v>
      </c>
      <c r="E2255" t="inlineStr">
        <is>
          <t>オーシャン製作所(株)</t>
        </is>
      </c>
      <c r="F2255" t="inlineStr">
        <is>
          <t>愛知県</t>
        </is>
      </c>
      <c r="G2255" t="inlineStr">
        <is>
          <t>ソフトウェア</t>
        </is>
      </c>
      <c r="H2255" t="inlineStr">
        <is>
          <t>営業支援SaaS</t>
        </is>
      </c>
      <c r="I2255" s="4" t="n">
        <v>2</v>
      </c>
      <c r="J2255" s="4" t="n">
        <v>269900</v>
      </c>
      <c r="K2255" s="4">
        <f>I2255*J2255</f>
        <v/>
      </c>
      <c r="L2255" t="inlineStr">
        <is>
          <t>大型案件</t>
        </is>
      </c>
    </row>
    <row r="2256">
      <c r="A2256" t="inlineStr">
        <is>
          <t>SR094</t>
        </is>
      </c>
      <c r="B2256" t="inlineStr">
        <is>
          <t>営業担当094</t>
        </is>
      </c>
      <c r="C2256" t="inlineStr">
        <is>
          <t>パートナー営業部</t>
        </is>
      </c>
      <c r="D2256" s="3" t="n">
        <v>46031</v>
      </c>
      <c r="E2256" t="inlineStr">
        <is>
          <t>未来通信株式会社</t>
        </is>
      </c>
      <c r="F2256" t="inlineStr">
        <is>
          <t>京都府</t>
        </is>
      </c>
      <c r="G2256" t="inlineStr">
        <is>
          <t>導入支援</t>
        </is>
      </c>
      <c r="H2256" t="inlineStr">
        <is>
          <t>データ移行支援</t>
        </is>
      </c>
      <c r="I2256" s="4" t="n">
        <v>5</v>
      </c>
      <c r="J2256" s="4" t="n">
        <v>241400</v>
      </c>
      <c r="K2256" s="4">
        <f>I2256*J2256</f>
        <v/>
      </c>
      <c r="L2256" t="inlineStr">
        <is>
          <t>大型案件</t>
        </is>
      </c>
    </row>
    <row r="2257">
      <c r="A2257" t="inlineStr">
        <is>
          <t>SR094</t>
        </is>
      </c>
      <c r="B2257" t="inlineStr">
        <is>
          <t>営業担当094</t>
        </is>
      </c>
      <c r="C2257" t="inlineStr">
        <is>
          <t>パートナー営業部</t>
        </is>
      </c>
      <c r="D2257" s="3" t="n">
        <v>46058</v>
      </c>
      <c r="E2257" t="inlineStr">
        <is>
          <t>福岡流通有限会社</t>
        </is>
      </c>
      <c r="F2257" t="inlineStr">
        <is>
          <t>神奈川県</t>
        </is>
      </c>
      <c r="G2257" t="inlineStr">
        <is>
          <t>ハードウェア</t>
        </is>
      </c>
      <c r="H2257" t="inlineStr">
        <is>
          <t>小型ハンディ端末</t>
        </is>
      </c>
      <c r="I2257" s="4" t="n">
        <v>2</v>
      </c>
      <c r="J2257" s="4" t="n">
        <v>72500</v>
      </c>
      <c r="K2257" s="4">
        <f>I2257*J2257</f>
        <v/>
      </c>
      <c r="L2257" t="inlineStr">
        <is>
          <t>キャンペーン適用</t>
        </is>
      </c>
    </row>
    <row r="2258">
      <c r="A2258" t="inlineStr">
        <is>
          <t>SR094</t>
        </is>
      </c>
      <c r="B2258" t="inlineStr">
        <is>
          <t>営業担当094</t>
        </is>
      </c>
      <c r="C2258" t="inlineStr">
        <is>
          <t>パートナー営業部</t>
        </is>
      </c>
      <c r="D2258" s="3" t="n">
        <v>46080</v>
      </c>
      <c r="E2258" t="inlineStr">
        <is>
          <t>アーク電機(株)</t>
        </is>
      </c>
      <c r="F2258" t="inlineStr">
        <is>
          <t>京都府</t>
        </is>
      </c>
      <c r="G2258" t="inlineStr">
        <is>
          <t>ソフトウェア</t>
        </is>
      </c>
      <c r="H2258" t="inlineStr">
        <is>
          <t>営業支援SaaS</t>
        </is>
      </c>
      <c r="I2258" s="4" t="n">
        <v>4</v>
      </c>
      <c r="J2258" s="4" t="n">
        <v>303200</v>
      </c>
      <c r="K2258" s="4">
        <f>I2258*J2258</f>
        <v/>
      </c>
      <c r="L2258" t="inlineStr">
        <is>
          <t>新規開拓</t>
        </is>
      </c>
    </row>
    <row r="2259">
      <c r="A2259" t="inlineStr">
        <is>
          <t>SR094</t>
        </is>
      </c>
      <c r="B2259" t="inlineStr">
        <is>
          <t>営業担当094</t>
        </is>
      </c>
      <c r="C2259" t="inlineStr">
        <is>
          <t>パートナー営業部</t>
        </is>
      </c>
      <c r="D2259" s="3" t="n">
        <v>46083</v>
      </c>
      <c r="E2259" t="inlineStr">
        <is>
          <t>青葉商事有限会社</t>
        </is>
      </c>
      <c r="F2259" t="inlineStr">
        <is>
          <t>神奈川県</t>
        </is>
      </c>
      <c r="G2259" t="inlineStr">
        <is>
          <t>ハードウェア</t>
        </is>
      </c>
      <c r="H2259" t="inlineStr">
        <is>
          <t>産業用タブレット</t>
        </is>
      </c>
      <c r="I2259" s="4" t="n">
        <v>3</v>
      </c>
      <c r="J2259" s="4" t="n">
        <v>76900</v>
      </c>
      <c r="K2259" s="4">
        <f>I2259*J2259</f>
        <v/>
      </c>
      <c r="L2259" t="inlineStr"/>
    </row>
    <row r="2260">
      <c r="A2260" t="inlineStr">
        <is>
          <t>SR094</t>
        </is>
      </c>
      <c r="B2260" t="inlineStr">
        <is>
          <t>営業担当094</t>
        </is>
      </c>
      <c r="C2260" t="inlineStr">
        <is>
          <t>パートナー営業部</t>
        </is>
      </c>
      <c r="D2260" s="3" t="n">
        <v>46108</v>
      </c>
      <c r="E2260" t="inlineStr">
        <is>
          <t>桜井メディカル株式会社</t>
        </is>
      </c>
      <c r="F2260" t="inlineStr">
        <is>
          <t>京都府</t>
        </is>
      </c>
      <c r="G2260" t="inlineStr">
        <is>
          <t>消耗品</t>
        </is>
      </c>
      <c r="H2260" t="inlineStr">
        <is>
          <t>ラベルロール</t>
        </is>
      </c>
      <c r="I2260" s="4" t="n">
        <v>6</v>
      </c>
      <c r="J2260" s="4" t="n">
        <v>10490</v>
      </c>
      <c r="K2260" s="4">
        <f>I2260*J2260</f>
        <v/>
      </c>
      <c r="L2260" t="inlineStr"/>
    </row>
    <row r="2261">
      <c r="A2261" t="inlineStr">
        <is>
          <t>SR095</t>
        </is>
      </c>
      <c r="B2261" t="inlineStr">
        <is>
          <t>営業担当095</t>
        </is>
      </c>
      <c r="C2261" t="inlineStr">
        <is>
          <t>インサイドセールス部</t>
        </is>
      </c>
      <c r="D2261" s="3" t="n">
        <v>45752</v>
      </c>
      <c r="E2261" t="inlineStr">
        <is>
          <t>ネクストソリューション有限会社</t>
        </is>
      </c>
      <c r="F2261" t="inlineStr">
        <is>
          <t>愛知県</t>
        </is>
      </c>
      <c r="G2261" t="inlineStr">
        <is>
          <t>導入支援</t>
        </is>
      </c>
      <c r="H2261" t="inlineStr">
        <is>
          <t>データ移行支援</t>
        </is>
      </c>
      <c r="I2261" s="4" t="n">
        <v>4</v>
      </c>
      <c r="J2261" s="4" t="n">
        <v>199800</v>
      </c>
      <c r="K2261" s="4">
        <f>I2261*J2261</f>
        <v/>
      </c>
      <c r="L2261" t="inlineStr">
        <is>
          <t>キャンペーン適用</t>
        </is>
      </c>
    </row>
    <row r="2262">
      <c r="A2262" t="inlineStr">
        <is>
          <t>SR095</t>
        </is>
      </c>
      <c r="B2262" t="inlineStr">
        <is>
          <t>営業担当095</t>
        </is>
      </c>
      <c r="C2262" t="inlineStr">
        <is>
          <t>インサイドセールス部</t>
        </is>
      </c>
      <c r="D2262" s="3" t="n">
        <v>45772</v>
      </c>
      <c r="E2262" t="inlineStr">
        <is>
          <t>福岡流通株式会社</t>
        </is>
      </c>
      <c r="F2262" t="inlineStr">
        <is>
          <t>広島県</t>
        </is>
      </c>
      <c r="G2262" t="inlineStr">
        <is>
          <t>導入支援</t>
        </is>
      </c>
      <c r="H2262" t="inlineStr">
        <is>
          <t>操作研修パック</t>
        </is>
      </c>
      <c r="I2262" s="4" t="n">
        <v>5</v>
      </c>
      <c r="J2262" s="4" t="n">
        <v>54900</v>
      </c>
      <c r="K2262" s="4">
        <f>I2262*J2262</f>
        <v/>
      </c>
      <c r="L2262" t="inlineStr">
        <is>
          <t>値引き調整あり</t>
        </is>
      </c>
    </row>
    <row r="2263">
      <c r="A2263" t="inlineStr">
        <is>
          <t>SR095</t>
        </is>
      </c>
      <c r="B2263" t="inlineStr">
        <is>
          <t>営業担当095</t>
        </is>
      </c>
      <c r="C2263" t="inlineStr">
        <is>
          <t>インサイドセールス部</t>
        </is>
      </c>
      <c r="D2263" s="3" t="n">
        <v>45782</v>
      </c>
      <c r="E2263" t="inlineStr">
        <is>
          <t>青葉商事株式会社</t>
        </is>
      </c>
      <c r="F2263" t="inlineStr">
        <is>
          <t>北海道</t>
        </is>
      </c>
      <c r="G2263" t="inlineStr">
        <is>
          <t>消耗品</t>
        </is>
      </c>
      <c r="H2263" t="inlineStr">
        <is>
          <t>交換用ヘッド</t>
        </is>
      </c>
      <c r="I2263" s="4" t="n">
        <v>12</v>
      </c>
      <c r="J2263" s="4" t="n">
        <v>18860</v>
      </c>
      <c r="K2263" s="4">
        <f>I2263*J2263</f>
        <v/>
      </c>
      <c r="L2263" t="inlineStr">
        <is>
          <t>新規開拓</t>
        </is>
      </c>
    </row>
    <row r="2264">
      <c r="A2264" t="inlineStr">
        <is>
          <t>SR095</t>
        </is>
      </c>
      <c r="B2264" t="inlineStr">
        <is>
          <t>営業担当095</t>
        </is>
      </c>
      <c r="C2264" t="inlineStr">
        <is>
          <t>インサイドセールス部</t>
        </is>
      </c>
      <c r="D2264" s="3" t="n">
        <v>45793</v>
      </c>
      <c r="E2264" t="inlineStr">
        <is>
          <t>九州エナジー株式会社</t>
        </is>
      </c>
      <c r="F2264" t="inlineStr">
        <is>
          <t>兵庫県</t>
        </is>
      </c>
      <c r="G2264" t="inlineStr">
        <is>
          <t>ハードウェア</t>
        </is>
      </c>
      <c r="H2264" t="inlineStr">
        <is>
          <t>ネットワークカメラ</t>
        </is>
      </c>
      <c r="I2264" s="4" t="n">
        <v>1</v>
      </c>
      <c r="J2264" s="4" t="n">
        <v>51800</v>
      </c>
      <c r="K2264" s="4">
        <f>I2264*J2264</f>
        <v/>
      </c>
      <c r="L2264" t="inlineStr">
        <is>
          <t>新規開拓</t>
        </is>
      </c>
    </row>
    <row r="2265">
      <c r="A2265" t="inlineStr">
        <is>
          <t>SR095</t>
        </is>
      </c>
      <c r="B2265" t="inlineStr">
        <is>
          <t>営業担当095</t>
        </is>
      </c>
      <c r="C2265" t="inlineStr">
        <is>
          <t>インサイドセールス部</t>
        </is>
      </c>
      <c r="D2265" s="3" t="n">
        <v>45813</v>
      </c>
      <c r="E2265" t="inlineStr">
        <is>
          <t>桜井メディカル有限会社</t>
        </is>
      </c>
      <c r="F2265" t="inlineStr">
        <is>
          <t>京都府</t>
        </is>
      </c>
      <c r="G2265" t="inlineStr">
        <is>
          <t>消耗品</t>
        </is>
      </c>
      <c r="H2265" t="inlineStr">
        <is>
          <t>保守用バッテリー</t>
        </is>
      </c>
      <c r="I2265" s="4" t="n">
        <v>7</v>
      </c>
      <c r="J2265" s="4" t="n">
        <v>9130</v>
      </c>
      <c r="K2265" s="4">
        <f>I2265*J2265</f>
        <v/>
      </c>
      <c r="L2265" t="inlineStr"/>
    </row>
    <row r="2266">
      <c r="A2266" t="inlineStr">
        <is>
          <t>SR095</t>
        </is>
      </c>
      <c r="B2266" t="inlineStr">
        <is>
          <t>営業担当095</t>
        </is>
      </c>
      <c r="C2266" t="inlineStr">
        <is>
          <t>インサイドセールス部</t>
        </is>
      </c>
      <c r="D2266" s="3" t="n">
        <v>45818</v>
      </c>
      <c r="E2266" t="inlineStr">
        <is>
          <t>東洋フーズ株式会社</t>
        </is>
      </c>
      <c r="F2266" t="inlineStr">
        <is>
          <t>京都府</t>
        </is>
      </c>
      <c r="G2266" t="inlineStr">
        <is>
          <t>ハードウェア</t>
        </is>
      </c>
      <c r="H2266" t="inlineStr">
        <is>
          <t>小型ハンディ端末</t>
        </is>
      </c>
      <c r="I2266" s="4" t="n">
        <v>5</v>
      </c>
      <c r="J2266" s="4" t="n">
        <v>55800</v>
      </c>
      <c r="K2266" s="4">
        <f>I2266*J2266</f>
        <v/>
      </c>
      <c r="L2266" t="inlineStr"/>
    </row>
    <row r="2267">
      <c r="A2267" t="inlineStr">
        <is>
          <t>SR095</t>
        </is>
      </c>
      <c r="B2267" t="inlineStr">
        <is>
          <t>営業担当095</t>
        </is>
      </c>
      <c r="C2267" t="inlineStr">
        <is>
          <t>インサイドセールス部</t>
        </is>
      </c>
      <c r="D2267" s="3" t="n">
        <v>45845</v>
      </c>
      <c r="E2267" t="inlineStr">
        <is>
          <t>みらい物流株式会社</t>
        </is>
      </c>
      <c r="F2267" t="inlineStr">
        <is>
          <t>愛知県</t>
        </is>
      </c>
      <c r="G2267" t="inlineStr">
        <is>
          <t>消耗品</t>
        </is>
      </c>
      <c r="H2267" t="inlineStr">
        <is>
          <t>ラベルロール</t>
        </is>
      </c>
      <c r="I2267" s="4" t="n">
        <v>15</v>
      </c>
      <c r="J2267" s="4" t="n">
        <v>2340</v>
      </c>
      <c r="K2267" s="4">
        <f>I2267*J2267</f>
        <v/>
      </c>
      <c r="L2267" t="inlineStr">
        <is>
          <t>リピート受注</t>
        </is>
      </c>
    </row>
    <row r="2268">
      <c r="A2268" t="inlineStr">
        <is>
          <t>SR095</t>
        </is>
      </c>
      <c r="B2268" t="inlineStr">
        <is>
          <t>営業担当095</t>
        </is>
      </c>
      <c r="C2268" t="inlineStr">
        <is>
          <t>インサイドセールス部</t>
        </is>
      </c>
      <c r="D2268" s="3" t="n">
        <v>45849</v>
      </c>
      <c r="E2268" t="inlineStr">
        <is>
          <t>九州エナジー(株)</t>
        </is>
      </c>
      <c r="F2268" t="inlineStr">
        <is>
          <t>宮城県</t>
        </is>
      </c>
      <c r="G2268" t="inlineStr">
        <is>
          <t>ソフトウェア</t>
        </is>
      </c>
      <c r="H2268" t="inlineStr">
        <is>
          <t>帳票自動化ツール</t>
        </is>
      </c>
      <c r="I2268" s="4" t="n">
        <v>5</v>
      </c>
      <c r="J2268" s="4" t="n">
        <v>357400</v>
      </c>
      <c r="K2268" s="4">
        <f>I2268*J2268</f>
        <v/>
      </c>
      <c r="L2268" t="inlineStr">
        <is>
          <t>キャンペーン適用</t>
        </is>
      </c>
    </row>
    <row r="2269">
      <c r="A2269" t="inlineStr">
        <is>
          <t>SR095</t>
        </is>
      </c>
      <c r="B2269" t="inlineStr">
        <is>
          <t>営業担当095</t>
        </is>
      </c>
      <c r="C2269" t="inlineStr">
        <is>
          <t>インサイドセールス部</t>
        </is>
      </c>
      <c r="D2269" s="3" t="n">
        <v>45889</v>
      </c>
      <c r="E2269" t="inlineStr">
        <is>
          <t>みらい物流株式会社</t>
        </is>
      </c>
      <c r="F2269" t="inlineStr">
        <is>
          <t>宮城県</t>
        </is>
      </c>
      <c r="G2269" t="inlineStr">
        <is>
          <t>ソフトウェア</t>
        </is>
      </c>
      <c r="H2269" t="inlineStr">
        <is>
          <t>在庫管理クラウド</t>
        </is>
      </c>
      <c r="I2269" s="4" t="n">
        <v>5</v>
      </c>
      <c r="J2269" s="4" t="n">
        <v>280200</v>
      </c>
      <c r="K2269" s="4">
        <f>I2269*J2269</f>
        <v/>
      </c>
      <c r="L2269" t="inlineStr">
        <is>
          <t>キャンペーン適用</t>
        </is>
      </c>
    </row>
    <row r="2270">
      <c r="A2270" t="inlineStr">
        <is>
          <t>SR095</t>
        </is>
      </c>
      <c r="B2270" t="inlineStr">
        <is>
          <t>営業担当095</t>
        </is>
      </c>
      <c r="C2270" t="inlineStr">
        <is>
          <t>インサイドセールス部</t>
        </is>
      </c>
      <c r="D2270" s="3" t="n">
        <v>45895</v>
      </c>
      <c r="E2270" t="inlineStr">
        <is>
          <t>白峰化学有限会社</t>
        </is>
      </c>
      <c r="F2270" t="inlineStr">
        <is>
          <t>広島県</t>
        </is>
      </c>
      <c r="G2270" t="inlineStr">
        <is>
          <t>保守サービス</t>
        </is>
      </c>
      <c r="H2270" t="inlineStr">
        <is>
          <t>オンサイト保守</t>
        </is>
      </c>
      <c r="I2270" s="4" t="n">
        <v>2</v>
      </c>
      <c r="J2270" s="4" t="n">
        <v>68300</v>
      </c>
      <c r="K2270" s="4">
        <f>I2270*J2270</f>
        <v/>
      </c>
      <c r="L2270" t="inlineStr">
        <is>
          <t>分納</t>
        </is>
      </c>
    </row>
    <row r="2271">
      <c r="A2271" t="inlineStr">
        <is>
          <t>SR095</t>
        </is>
      </c>
      <c r="B2271" t="inlineStr">
        <is>
          <t>営業担当095</t>
        </is>
      </c>
      <c r="C2271" t="inlineStr">
        <is>
          <t>インサイドセールス部</t>
        </is>
      </c>
      <c r="D2271" s="3" t="n">
        <v>45909</v>
      </c>
      <c r="E2271" t="inlineStr">
        <is>
          <t>ネクストソリューション株式会社</t>
        </is>
      </c>
      <c r="F2271" t="inlineStr">
        <is>
          <t>愛知県</t>
        </is>
      </c>
      <c r="G2271" t="inlineStr">
        <is>
          <t>消耗品</t>
        </is>
      </c>
      <c r="H2271" t="inlineStr">
        <is>
          <t>保守用バッテリー</t>
        </is>
      </c>
      <c r="I2271" s="4" t="n">
        <v>6</v>
      </c>
      <c r="J2271" s="4" t="n">
        <v>6290</v>
      </c>
      <c r="K2271" s="4">
        <f>I2271*J2271</f>
        <v/>
      </c>
      <c r="L2271" t="inlineStr">
        <is>
          <t>値引き調整あり</t>
        </is>
      </c>
    </row>
    <row r="2272">
      <c r="A2272" t="inlineStr">
        <is>
          <t>SR095</t>
        </is>
      </c>
      <c r="B2272" t="inlineStr">
        <is>
          <t>営業担当095</t>
        </is>
      </c>
      <c r="C2272" t="inlineStr">
        <is>
          <t>インサイドセールス部</t>
        </is>
      </c>
      <c r="D2272" s="3" t="n">
        <v>45923</v>
      </c>
      <c r="E2272" t="inlineStr">
        <is>
          <t>オーシャン製作所有限会社</t>
        </is>
      </c>
      <c r="F2272" t="inlineStr">
        <is>
          <t>北海道</t>
        </is>
      </c>
      <c r="G2272" t="inlineStr">
        <is>
          <t>保守サービス</t>
        </is>
      </c>
      <c r="H2272" t="inlineStr">
        <is>
          <t>ヘルプデスク契約</t>
        </is>
      </c>
      <c r="I2272" s="4" t="n">
        <v>3</v>
      </c>
      <c r="J2272" s="4" t="n">
        <v>111000</v>
      </c>
      <c r="K2272" s="4">
        <f>I2272*J2272</f>
        <v/>
      </c>
      <c r="L2272" t="inlineStr">
        <is>
          <t>キャンペーン適用</t>
        </is>
      </c>
    </row>
    <row r="2273">
      <c r="A2273" t="inlineStr">
        <is>
          <t>SR095</t>
        </is>
      </c>
      <c r="B2273" t="inlineStr">
        <is>
          <t>営業担当095</t>
        </is>
      </c>
      <c r="C2273" t="inlineStr">
        <is>
          <t>インサイドセールス部</t>
        </is>
      </c>
      <c r="D2273" s="3" t="n">
        <v>45936</v>
      </c>
      <c r="E2273" t="inlineStr">
        <is>
          <t>ネクストソリューション(株)</t>
        </is>
      </c>
      <c r="F2273" t="inlineStr">
        <is>
          <t>京都府</t>
        </is>
      </c>
      <c r="G2273" t="inlineStr">
        <is>
          <t>ソフトウェア</t>
        </is>
      </c>
      <c r="H2273" t="inlineStr">
        <is>
          <t>AIチャットボット</t>
        </is>
      </c>
      <c r="I2273" s="4" t="n">
        <v>2</v>
      </c>
      <c r="J2273" s="4" t="n">
        <v>894600</v>
      </c>
      <c r="K2273" s="4">
        <f>I2273*J2273</f>
        <v/>
      </c>
      <c r="L2273" t="inlineStr"/>
    </row>
    <row r="2274">
      <c r="A2274" t="inlineStr">
        <is>
          <t>SR095</t>
        </is>
      </c>
      <c r="B2274" t="inlineStr">
        <is>
          <t>営業担当095</t>
        </is>
      </c>
      <c r="C2274" t="inlineStr">
        <is>
          <t>インサイドセールス部</t>
        </is>
      </c>
      <c r="D2274" s="3" t="n">
        <v>45942</v>
      </c>
      <c r="E2274" t="inlineStr">
        <is>
          <t>オーシャン製作所有限会社</t>
        </is>
      </c>
      <c r="F2274" t="inlineStr">
        <is>
          <t>兵庫県</t>
        </is>
      </c>
      <c r="G2274" t="inlineStr">
        <is>
          <t>保守サービス</t>
        </is>
      </c>
      <c r="H2274" t="inlineStr">
        <is>
          <t>年間保守契約</t>
        </is>
      </c>
      <c r="I2274" s="4" t="n">
        <v>5</v>
      </c>
      <c r="J2274" s="4" t="n">
        <v>112700</v>
      </c>
      <c r="K2274" s="4">
        <f>I2274*J2274</f>
        <v/>
      </c>
      <c r="L2274" t="inlineStr">
        <is>
          <t>リピート受注</t>
        </is>
      </c>
    </row>
    <row r="2275">
      <c r="A2275" t="inlineStr">
        <is>
          <t>SR095</t>
        </is>
      </c>
      <c r="B2275" t="inlineStr">
        <is>
          <t>営業担当095</t>
        </is>
      </c>
      <c r="C2275" t="inlineStr">
        <is>
          <t>インサイドセールス部</t>
        </is>
      </c>
      <c r="D2275" s="3" t="n">
        <v>45973</v>
      </c>
      <c r="E2275" t="inlineStr">
        <is>
          <t>ネクストソリューション(株)</t>
        </is>
      </c>
      <c r="F2275" t="inlineStr">
        <is>
          <t>北海道</t>
        </is>
      </c>
      <c r="G2275" t="inlineStr">
        <is>
          <t>保守サービス</t>
        </is>
      </c>
      <c r="H2275" t="inlineStr">
        <is>
          <t>ヘルプデスク契約</t>
        </is>
      </c>
      <c r="I2275" s="4" t="n">
        <v>3</v>
      </c>
      <c r="J2275" s="4" t="n">
        <v>93500</v>
      </c>
      <c r="K2275" s="4">
        <f>I2275*J2275</f>
        <v/>
      </c>
      <c r="L2275" t="inlineStr">
        <is>
          <t>リピート受注</t>
        </is>
      </c>
    </row>
    <row r="2276">
      <c r="A2276" t="inlineStr">
        <is>
          <t>SR095</t>
        </is>
      </c>
      <c r="B2276" t="inlineStr">
        <is>
          <t>営業担当095</t>
        </is>
      </c>
      <c r="C2276" t="inlineStr">
        <is>
          <t>インサイドセールス部</t>
        </is>
      </c>
      <c r="D2276" s="3" t="n">
        <v>45981</v>
      </c>
      <c r="E2276" t="inlineStr">
        <is>
          <t>中央設備株式会社</t>
        </is>
      </c>
      <c r="F2276" t="inlineStr">
        <is>
          <t>宮城県</t>
        </is>
      </c>
      <c r="G2276" t="inlineStr">
        <is>
          <t>保守サービス</t>
        </is>
      </c>
      <c r="H2276" t="inlineStr">
        <is>
          <t>年間保守契約</t>
        </is>
      </c>
      <c r="I2276" s="4" t="n">
        <v>2</v>
      </c>
      <c r="J2276" s="4" t="n">
        <v>62500</v>
      </c>
      <c r="K2276" s="4">
        <f>I2276*J2276</f>
        <v/>
      </c>
      <c r="L2276" t="inlineStr"/>
    </row>
    <row r="2277">
      <c r="A2277" t="inlineStr">
        <is>
          <t>SR095</t>
        </is>
      </c>
      <c r="B2277" t="inlineStr">
        <is>
          <t>営業担当095</t>
        </is>
      </c>
      <c r="C2277" t="inlineStr">
        <is>
          <t>インサイドセールス部</t>
        </is>
      </c>
      <c r="D2277" s="3" t="n">
        <v>45993</v>
      </c>
      <c r="E2277" t="inlineStr">
        <is>
          <t>グリーンテック(株)</t>
        </is>
      </c>
      <c r="F2277" t="inlineStr">
        <is>
          <t>北海道</t>
        </is>
      </c>
      <c r="G2277" t="inlineStr">
        <is>
          <t>ハードウェア</t>
        </is>
      </c>
      <c r="H2277" t="inlineStr">
        <is>
          <t>小型ハンディ端末</t>
        </is>
      </c>
      <c r="I2277" s="4" t="n">
        <v>1</v>
      </c>
      <c r="J2277" s="4" t="n">
        <v>69200</v>
      </c>
      <c r="K2277" s="4">
        <f>I2277*J2277</f>
        <v/>
      </c>
      <c r="L2277" t="inlineStr"/>
    </row>
    <row r="2278">
      <c r="A2278" t="inlineStr">
        <is>
          <t>SR095</t>
        </is>
      </c>
      <c r="B2278" t="inlineStr">
        <is>
          <t>営業担当095</t>
        </is>
      </c>
      <c r="C2278" t="inlineStr">
        <is>
          <t>インサイドセールス部</t>
        </is>
      </c>
      <c r="D2278" s="3" t="n">
        <v>46007</v>
      </c>
      <c r="E2278" t="inlineStr">
        <is>
          <t>グリーンテック(株)</t>
        </is>
      </c>
      <c r="F2278" t="inlineStr">
        <is>
          <t>福岡県</t>
        </is>
      </c>
      <c r="G2278" t="inlineStr">
        <is>
          <t>消耗品</t>
        </is>
      </c>
      <c r="H2278" t="inlineStr">
        <is>
          <t>ラベルロール</t>
        </is>
      </c>
      <c r="I2278" s="4" t="n">
        <v>6</v>
      </c>
      <c r="J2278" s="4" t="n">
        <v>5110</v>
      </c>
      <c r="K2278" s="4">
        <f>I2278*J2278</f>
        <v/>
      </c>
      <c r="L2278" t="inlineStr"/>
    </row>
    <row r="2279">
      <c r="A2279" t="inlineStr">
        <is>
          <t>SR095</t>
        </is>
      </c>
      <c r="B2279" t="inlineStr">
        <is>
          <t>営業担当095</t>
        </is>
      </c>
      <c r="C2279" t="inlineStr">
        <is>
          <t>インサイドセールス部</t>
        </is>
      </c>
      <c r="D2279" s="3" t="n">
        <v>46039</v>
      </c>
      <c r="E2279" t="inlineStr">
        <is>
          <t>白峰化学(株)</t>
        </is>
      </c>
      <c r="F2279" t="inlineStr">
        <is>
          <t>京都府</t>
        </is>
      </c>
      <c r="G2279" t="inlineStr">
        <is>
          <t>ハードウェア</t>
        </is>
      </c>
      <c r="H2279" t="inlineStr">
        <is>
          <t>産業用タブレット</t>
        </is>
      </c>
      <c r="I2279" s="4" t="n">
        <v>4</v>
      </c>
      <c r="J2279" s="4" t="n">
        <v>73400</v>
      </c>
      <c r="K2279" s="4">
        <f>I2279*J2279</f>
        <v/>
      </c>
      <c r="L2279" t="inlineStr">
        <is>
          <t>値引き調整あり</t>
        </is>
      </c>
    </row>
    <row r="2280">
      <c r="A2280" t="inlineStr">
        <is>
          <t>SR095</t>
        </is>
      </c>
      <c r="B2280" t="inlineStr">
        <is>
          <t>営業担当095</t>
        </is>
      </c>
      <c r="C2280" t="inlineStr">
        <is>
          <t>インサイドセールス部</t>
        </is>
      </c>
      <c r="D2280" s="3" t="n">
        <v>46043</v>
      </c>
      <c r="E2280" t="inlineStr">
        <is>
          <t>中央設備(株)</t>
        </is>
      </c>
      <c r="F2280" t="inlineStr">
        <is>
          <t>北海道</t>
        </is>
      </c>
      <c r="G2280" t="inlineStr">
        <is>
          <t>ソフトウェア</t>
        </is>
      </c>
      <c r="H2280" t="inlineStr">
        <is>
          <t>営業支援SaaS</t>
        </is>
      </c>
      <c r="I2280" s="4" t="n">
        <v>1</v>
      </c>
      <c r="J2280" s="4" t="n">
        <v>252700</v>
      </c>
      <c r="K2280" s="4">
        <f>I2280*J2280</f>
        <v/>
      </c>
      <c r="L2280" t="inlineStr">
        <is>
          <t>新規開拓</t>
        </is>
      </c>
    </row>
    <row r="2281">
      <c r="A2281" t="inlineStr">
        <is>
          <t>SR095</t>
        </is>
      </c>
      <c r="B2281" t="inlineStr">
        <is>
          <t>営業担当095</t>
        </is>
      </c>
      <c r="C2281" t="inlineStr">
        <is>
          <t>インサイドセールス部</t>
        </is>
      </c>
      <c r="D2281" s="3" t="n">
        <v>46069</v>
      </c>
      <c r="E2281" t="inlineStr">
        <is>
          <t>北斗産業有限会社</t>
        </is>
      </c>
      <c r="F2281" t="inlineStr">
        <is>
          <t>愛知県</t>
        </is>
      </c>
      <c r="G2281" t="inlineStr">
        <is>
          <t>導入支援</t>
        </is>
      </c>
      <c r="H2281" t="inlineStr">
        <is>
          <t>操作研修パック</t>
        </is>
      </c>
      <c r="I2281" s="4" t="n">
        <v>2</v>
      </c>
      <c r="J2281" s="4" t="n">
        <v>50500</v>
      </c>
      <c r="K2281" s="4">
        <f>I2281*J2281</f>
        <v/>
      </c>
      <c r="L2281" t="inlineStr">
        <is>
          <t>リピート受注</t>
        </is>
      </c>
    </row>
    <row r="2282">
      <c r="A2282" t="inlineStr">
        <is>
          <t>SR095</t>
        </is>
      </c>
      <c r="B2282" t="inlineStr">
        <is>
          <t>営業担当095</t>
        </is>
      </c>
      <c r="C2282" t="inlineStr">
        <is>
          <t>インサイドセールス部</t>
        </is>
      </c>
      <c r="D2282" s="3" t="n">
        <v>46081</v>
      </c>
      <c r="E2282" t="inlineStr">
        <is>
          <t>西日本機工有限会社</t>
        </is>
      </c>
      <c r="F2282" t="inlineStr">
        <is>
          <t>広島県</t>
        </is>
      </c>
      <c r="G2282" t="inlineStr">
        <is>
          <t>ソフトウェア</t>
        </is>
      </c>
      <c r="H2282" t="inlineStr">
        <is>
          <t>AIチャットボット</t>
        </is>
      </c>
      <c r="I2282" s="4" t="n">
        <v>2</v>
      </c>
      <c r="J2282" s="4" t="n">
        <v>301800</v>
      </c>
      <c r="K2282" s="4">
        <f>I2282*J2282</f>
        <v/>
      </c>
      <c r="L2282" t="inlineStr">
        <is>
          <t>分納</t>
        </is>
      </c>
    </row>
    <row r="2283">
      <c r="A2283" t="inlineStr">
        <is>
          <t>SR095</t>
        </is>
      </c>
      <c r="B2283" t="inlineStr">
        <is>
          <t>営業担当095</t>
        </is>
      </c>
      <c r="C2283" t="inlineStr">
        <is>
          <t>インサイドセールス部</t>
        </is>
      </c>
      <c r="D2283" s="3" t="n">
        <v>46091</v>
      </c>
      <c r="E2283" t="inlineStr">
        <is>
          <t>サンライズ建設有限会社</t>
        </is>
      </c>
      <c r="F2283" t="inlineStr">
        <is>
          <t>京都府</t>
        </is>
      </c>
      <c r="G2283" t="inlineStr">
        <is>
          <t>消耗品</t>
        </is>
      </c>
      <c r="H2283" t="inlineStr">
        <is>
          <t>保守用バッテリー</t>
        </is>
      </c>
      <c r="I2283" s="4" t="n">
        <v>7</v>
      </c>
      <c r="J2283" s="4" t="n">
        <v>17810</v>
      </c>
      <c r="K2283" s="4">
        <f>I2283*J2283</f>
        <v/>
      </c>
      <c r="L2283" t="inlineStr">
        <is>
          <t>分納</t>
        </is>
      </c>
    </row>
    <row r="2284">
      <c r="A2284" t="inlineStr">
        <is>
          <t>SR095</t>
        </is>
      </c>
      <c r="B2284" t="inlineStr">
        <is>
          <t>営業担当095</t>
        </is>
      </c>
      <c r="C2284" t="inlineStr">
        <is>
          <t>インサイドセールス部</t>
        </is>
      </c>
      <c r="D2284" s="3" t="n">
        <v>46103</v>
      </c>
      <c r="E2284" t="inlineStr">
        <is>
          <t>東洋フーズ株式会社</t>
        </is>
      </c>
      <c r="F2284" t="inlineStr">
        <is>
          <t>広島県</t>
        </is>
      </c>
      <c r="G2284" t="inlineStr">
        <is>
          <t>ハードウェア</t>
        </is>
      </c>
      <c r="H2284" t="inlineStr">
        <is>
          <t>小型ハンディ端末</t>
        </is>
      </c>
      <c r="I2284" s="4" t="n">
        <v>1</v>
      </c>
      <c r="J2284" s="4" t="n">
        <v>78300</v>
      </c>
      <c r="K2284" s="4">
        <f>I2284*J2284</f>
        <v/>
      </c>
      <c r="L2284" t="inlineStr"/>
    </row>
    <row r="2285">
      <c r="A2285" t="inlineStr">
        <is>
          <t>SR096</t>
        </is>
      </c>
      <c r="B2285" t="inlineStr">
        <is>
          <t>営業担当096</t>
        </is>
      </c>
      <c r="C2285" t="inlineStr">
        <is>
          <t>第1営業部</t>
        </is>
      </c>
      <c r="D2285" s="3" t="n">
        <v>45753</v>
      </c>
      <c r="E2285" t="inlineStr">
        <is>
          <t>グリーンテック有限会社</t>
        </is>
      </c>
      <c r="F2285" t="inlineStr">
        <is>
          <t>兵庫県</t>
        </is>
      </c>
      <c r="G2285" t="inlineStr">
        <is>
          <t>消耗品</t>
        </is>
      </c>
      <c r="H2285" t="inlineStr">
        <is>
          <t>ラベルロール</t>
        </is>
      </c>
      <c r="I2285" s="4" t="n">
        <v>12</v>
      </c>
      <c r="J2285" s="4" t="n">
        <v>10630</v>
      </c>
      <c r="K2285" s="4">
        <f>I2285*J2285</f>
        <v/>
      </c>
      <c r="L2285" t="inlineStr"/>
    </row>
    <row r="2286">
      <c r="A2286" t="inlineStr">
        <is>
          <t>SR096</t>
        </is>
      </c>
      <c r="B2286" t="inlineStr">
        <is>
          <t>営業担当096</t>
        </is>
      </c>
      <c r="C2286" t="inlineStr">
        <is>
          <t>第1営業部</t>
        </is>
      </c>
      <c r="D2286" s="3" t="n">
        <v>45769</v>
      </c>
      <c r="E2286" t="inlineStr">
        <is>
          <t>大和精機(株)</t>
        </is>
      </c>
      <c r="F2286" t="inlineStr">
        <is>
          <t>福岡県</t>
        </is>
      </c>
      <c r="G2286" t="inlineStr">
        <is>
          <t>ハードウェア</t>
        </is>
      </c>
      <c r="H2286" t="inlineStr">
        <is>
          <t>ネットワークカメラ</t>
        </is>
      </c>
      <c r="I2286" s="4" t="n">
        <v>1</v>
      </c>
      <c r="J2286" s="4" t="n">
        <v>28100</v>
      </c>
      <c r="K2286" s="4">
        <f>I2286*J2286</f>
        <v/>
      </c>
      <c r="L2286" t="inlineStr">
        <is>
          <t>大型案件</t>
        </is>
      </c>
    </row>
    <row r="2287">
      <c r="A2287" t="inlineStr">
        <is>
          <t>SR096</t>
        </is>
      </c>
      <c r="B2287" t="inlineStr">
        <is>
          <t>営業担当096</t>
        </is>
      </c>
      <c r="C2287" t="inlineStr">
        <is>
          <t>第1営業部</t>
        </is>
      </c>
      <c r="D2287" s="3" t="n">
        <v>45778</v>
      </c>
      <c r="E2287" t="inlineStr">
        <is>
          <t>未来通信(株)</t>
        </is>
      </c>
      <c r="F2287" t="inlineStr">
        <is>
          <t>愛知県</t>
        </is>
      </c>
      <c r="G2287" t="inlineStr">
        <is>
          <t>導入支援</t>
        </is>
      </c>
      <c r="H2287" t="inlineStr">
        <is>
          <t>操作研修パック</t>
        </is>
      </c>
      <c r="I2287" s="4" t="n">
        <v>1</v>
      </c>
      <c r="J2287" s="4" t="n">
        <v>147200</v>
      </c>
      <c r="K2287" s="4">
        <f>I2287*J2287</f>
        <v/>
      </c>
      <c r="L2287" t="inlineStr">
        <is>
          <t>新規開拓</t>
        </is>
      </c>
    </row>
    <row r="2288">
      <c r="A2288" t="inlineStr">
        <is>
          <t>SR096</t>
        </is>
      </c>
      <c r="B2288" t="inlineStr">
        <is>
          <t>営業担当096</t>
        </is>
      </c>
      <c r="C2288" t="inlineStr">
        <is>
          <t>第1営業部</t>
        </is>
      </c>
      <c r="D2288" s="3" t="n">
        <v>45781</v>
      </c>
      <c r="E2288" t="inlineStr">
        <is>
          <t>アーク電機(株)</t>
        </is>
      </c>
      <c r="F2288" t="inlineStr">
        <is>
          <t>兵庫県</t>
        </is>
      </c>
      <c r="G2288" t="inlineStr">
        <is>
          <t>ソフトウェア</t>
        </is>
      </c>
      <c r="H2288" t="inlineStr">
        <is>
          <t>帳票自動化ツール</t>
        </is>
      </c>
      <c r="I2288" s="4" t="n">
        <v>2</v>
      </c>
      <c r="J2288" s="4" t="n">
        <v>376500</v>
      </c>
      <c r="K2288" s="4">
        <f>I2288*J2288</f>
        <v/>
      </c>
      <c r="L2288" t="inlineStr">
        <is>
          <t>値引き調整あり</t>
        </is>
      </c>
    </row>
    <row r="2289">
      <c r="A2289" t="inlineStr">
        <is>
          <t>SR096</t>
        </is>
      </c>
      <c r="B2289" t="inlineStr">
        <is>
          <t>営業担当096</t>
        </is>
      </c>
      <c r="C2289" t="inlineStr">
        <is>
          <t>第1営業部</t>
        </is>
      </c>
      <c r="D2289" s="3" t="n">
        <v>45812</v>
      </c>
      <c r="E2289" t="inlineStr">
        <is>
          <t>白峰化学株式会社</t>
        </is>
      </c>
      <c r="F2289" t="inlineStr">
        <is>
          <t>北海道</t>
        </is>
      </c>
      <c r="G2289" t="inlineStr">
        <is>
          <t>ハードウェア</t>
        </is>
      </c>
      <c r="H2289" t="inlineStr">
        <is>
          <t>小型ハンディ端末</t>
        </is>
      </c>
      <c r="I2289" s="4" t="n">
        <v>5</v>
      </c>
      <c r="J2289" s="4" t="n">
        <v>54500</v>
      </c>
      <c r="K2289" s="4">
        <f>I2289*J2289</f>
        <v/>
      </c>
      <c r="L2289" t="inlineStr"/>
    </row>
    <row r="2290">
      <c r="A2290" t="inlineStr">
        <is>
          <t>SR096</t>
        </is>
      </c>
      <c r="B2290" t="inlineStr">
        <is>
          <t>営業担当096</t>
        </is>
      </c>
      <c r="C2290" t="inlineStr">
        <is>
          <t>第1営業部</t>
        </is>
      </c>
      <c r="D2290" s="3" t="n">
        <v>45813</v>
      </c>
      <c r="E2290" t="inlineStr">
        <is>
          <t>桜井メディカル株式会社</t>
        </is>
      </c>
      <c r="F2290" t="inlineStr">
        <is>
          <t>北海道</t>
        </is>
      </c>
      <c r="G2290" t="inlineStr">
        <is>
          <t>保守サービス</t>
        </is>
      </c>
      <c r="H2290" t="inlineStr">
        <is>
          <t>ヘルプデスク契約</t>
        </is>
      </c>
      <c r="I2290" s="4" t="n">
        <v>2</v>
      </c>
      <c r="J2290" s="4" t="n">
        <v>116800</v>
      </c>
      <c r="K2290" s="4">
        <f>I2290*J2290</f>
        <v/>
      </c>
      <c r="L2290" t="inlineStr">
        <is>
          <t>値引き調整あり</t>
        </is>
      </c>
    </row>
    <row r="2291">
      <c r="A2291" t="inlineStr">
        <is>
          <t>SR096</t>
        </is>
      </c>
      <c r="B2291" t="inlineStr">
        <is>
          <t>営業担当096</t>
        </is>
      </c>
      <c r="C2291" t="inlineStr">
        <is>
          <t>第1営業部</t>
        </is>
      </c>
      <c r="D2291" s="3" t="n">
        <v>45845</v>
      </c>
      <c r="E2291" t="inlineStr">
        <is>
          <t>オーシャン製作所有限会社</t>
        </is>
      </c>
      <c r="F2291" t="inlineStr">
        <is>
          <t>神奈川県</t>
        </is>
      </c>
      <c r="G2291" t="inlineStr">
        <is>
          <t>保守サービス</t>
        </is>
      </c>
      <c r="H2291" t="inlineStr">
        <is>
          <t>オンサイト保守</t>
        </is>
      </c>
      <c r="I2291" s="4" t="n">
        <v>1</v>
      </c>
      <c r="J2291" s="4" t="n">
        <v>140100</v>
      </c>
      <c r="K2291" s="4">
        <f>I2291*J2291</f>
        <v/>
      </c>
      <c r="L2291" t="inlineStr">
        <is>
          <t>分納</t>
        </is>
      </c>
    </row>
    <row r="2292">
      <c r="A2292" t="inlineStr">
        <is>
          <t>SR096</t>
        </is>
      </c>
      <c r="B2292" t="inlineStr">
        <is>
          <t>営業担当096</t>
        </is>
      </c>
      <c r="C2292" t="inlineStr">
        <is>
          <t>第1営業部</t>
        </is>
      </c>
      <c r="D2292" s="3" t="n">
        <v>45863</v>
      </c>
      <c r="E2292" t="inlineStr">
        <is>
          <t>グリーンテック有限会社</t>
        </is>
      </c>
      <c r="F2292" t="inlineStr">
        <is>
          <t>兵庫県</t>
        </is>
      </c>
      <c r="G2292" t="inlineStr">
        <is>
          <t>ハードウェア</t>
        </is>
      </c>
      <c r="H2292" t="inlineStr">
        <is>
          <t>ラベルプリンター</t>
        </is>
      </c>
      <c r="I2292" s="4" t="n">
        <v>1</v>
      </c>
      <c r="J2292" s="4" t="n">
        <v>42700</v>
      </c>
      <c r="K2292" s="4">
        <f>I2292*J2292</f>
        <v/>
      </c>
      <c r="L2292" t="inlineStr">
        <is>
          <t>リピート受注</t>
        </is>
      </c>
    </row>
    <row r="2293">
      <c r="A2293" t="inlineStr">
        <is>
          <t>SR096</t>
        </is>
      </c>
      <c r="B2293" t="inlineStr">
        <is>
          <t>営業担当096</t>
        </is>
      </c>
      <c r="C2293" t="inlineStr">
        <is>
          <t>第1営業部</t>
        </is>
      </c>
      <c r="D2293" s="3" t="n">
        <v>45876</v>
      </c>
      <c r="E2293" t="inlineStr">
        <is>
          <t>ネクストソリューション(株)</t>
        </is>
      </c>
      <c r="F2293" t="inlineStr">
        <is>
          <t>京都府</t>
        </is>
      </c>
      <c r="G2293" t="inlineStr">
        <is>
          <t>ハードウェア</t>
        </is>
      </c>
      <c r="H2293" t="inlineStr">
        <is>
          <t>産業用タブレット</t>
        </is>
      </c>
      <c r="I2293" s="4" t="n">
        <v>5</v>
      </c>
      <c r="J2293" s="4" t="n">
        <v>88100</v>
      </c>
      <c r="K2293" s="4">
        <f>I2293*J2293</f>
        <v/>
      </c>
      <c r="L2293" t="inlineStr"/>
    </row>
    <row r="2294">
      <c r="A2294" t="inlineStr">
        <is>
          <t>SR096</t>
        </is>
      </c>
      <c r="B2294" t="inlineStr">
        <is>
          <t>営業担当096</t>
        </is>
      </c>
      <c r="C2294" t="inlineStr">
        <is>
          <t>第1営業部</t>
        </is>
      </c>
      <c r="D2294" s="3" t="n">
        <v>45893</v>
      </c>
      <c r="E2294" t="inlineStr">
        <is>
          <t>ネクストソリューション株式会社</t>
        </is>
      </c>
      <c r="F2294" t="inlineStr">
        <is>
          <t>福岡県</t>
        </is>
      </c>
      <c r="G2294" t="inlineStr">
        <is>
          <t>導入支援</t>
        </is>
      </c>
      <c r="H2294" t="inlineStr">
        <is>
          <t>データ移行支援</t>
        </is>
      </c>
      <c r="I2294" s="4" t="n">
        <v>2</v>
      </c>
      <c r="J2294" s="4" t="n">
        <v>88000</v>
      </c>
      <c r="K2294" s="4">
        <f>I2294*J2294</f>
        <v/>
      </c>
      <c r="L2294" t="inlineStr">
        <is>
          <t>新規開拓</t>
        </is>
      </c>
    </row>
    <row r="2295">
      <c r="A2295" t="inlineStr">
        <is>
          <t>SR096</t>
        </is>
      </c>
      <c r="B2295" t="inlineStr">
        <is>
          <t>営業担当096</t>
        </is>
      </c>
      <c r="C2295" t="inlineStr">
        <is>
          <t>第1営業部</t>
        </is>
      </c>
      <c r="D2295" s="3" t="n">
        <v>45909</v>
      </c>
      <c r="E2295" t="inlineStr">
        <is>
          <t>未来通信有限会社</t>
        </is>
      </c>
      <c r="F2295" t="inlineStr">
        <is>
          <t>広島県</t>
        </is>
      </c>
      <c r="G2295" t="inlineStr">
        <is>
          <t>消耗品</t>
        </is>
      </c>
      <c r="H2295" t="inlineStr">
        <is>
          <t>交換用ヘッド</t>
        </is>
      </c>
      <c r="I2295" s="4" t="n">
        <v>12</v>
      </c>
      <c r="J2295" s="4" t="n">
        <v>16770</v>
      </c>
      <c r="K2295" s="4">
        <f>I2295*J2295</f>
        <v/>
      </c>
      <c r="L2295" t="inlineStr"/>
    </row>
    <row r="2296">
      <c r="A2296" t="inlineStr">
        <is>
          <t>SR096</t>
        </is>
      </c>
      <c r="B2296" t="inlineStr">
        <is>
          <t>営業担当096</t>
        </is>
      </c>
      <c r="C2296" t="inlineStr">
        <is>
          <t>第1営業部</t>
        </is>
      </c>
      <c r="D2296" s="3" t="n">
        <v>45919</v>
      </c>
      <c r="E2296" t="inlineStr">
        <is>
          <t>アーク電機(株)</t>
        </is>
      </c>
      <c r="F2296" t="inlineStr">
        <is>
          <t>大阪府</t>
        </is>
      </c>
      <c r="G2296" t="inlineStr">
        <is>
          <t>ハードウェア</t>
        </is>
      </c>
      <c r="H2296" t="inlineStr">
        <is>
          <t>ネットワークカメラ</t>
        </is>
      </c>
      <c r="I2296" s="4" t="n">
        <v>1</v>
      </c>
      <c r="J2296" s="4" t="n">
        <v>35700</v>
      </c>
      <c r="K2296" s="4">
        <f>I2296*J2296</f>
        <v/>
      </c>
      <c r="L2296" t="inlineStr"/>
    </row>
    <row r="2297">
      <c r="A2297" t="inlineStr">
        <is>
          <t>SR096</t>
        </is>
      </c>
      <c r="B2297" t="inlineStr">
        <is>
          <t>営業担当096</t>
        </is>
      </c>
      <c r="C2297" t="inlineStr">
        <is>
          <t>第1営業部</t>
        </is>
      </c>
      <c r="D2297" s="3" t="n">
        <v>45943</v>
      </c>
      <c r="E2297" t="inlineStr">
        <is>
          <t>北斗産業有限会社</t>
        </is>
      </c>
      <c r="F2297" t="inlineStr">
        <is>
          <t>福岡県</t>
        </is>
      </c>
      <c r="G2297" t="inlineStr">
        <is>
          <t>ハードウェア</t>
        </is>
      </c>
      <c r="H2297" t="inlineStr">
        <is>
          <t>産業用タブレット</t>
        </is>
      </c>
      <c r="I2297" s="4" t="n">
        <v>2</v>
      </c>
      <c r="J2297" s="4" t="n">
        <v>84100</v>
      </c>
      <c r="K2297" s="4">
        <f>I2297*J2297</f>
        <v/>
      </c>
      <c r="L2297" t="inlineStr"/>
    </row>
    <row r="2298">
      <c r="A2298" t="inlineStr">
        <is>
          <t>SR096</t>
        </is>
      </c>
      <c r="B2298" t="inlineStr">
        <is>
          <t>営業担当096</t>
        </is>
      </c>
      <c r="C2298" t="inlineStr">
        <is>
          <t>第1営業部</t>
        </is>
      </c>
      <c r="D2298" s="3" t="n">
        <v>45945</v>
      </c>
      <c r="E2298" t="inlineStr">
        <is>
          <t>ライトホーム有限会社</t>
        </is>
      </c>
      <c r="F2298" t="inlineStr">
        <is>
          <t>広島県</t>
        </is>
      </c>
      <c r="G2298" t="inlineStr">
        <is>
          <t>ソフトウェア</t>
        </is>
      </c>
      <c r="H2298" t="inlineStr">
        <is>
          <t>営業支援SaaS</t>
        </is>
      </c>
      <c r="I2298" s="4" t="n">
        <v>5</v>
      </c>
      <c r="J2298" s="4" t="n">
        <v>191400</v>
      </c>
      <c r="K2298" s="4">
        <f>I2298*J2298</f>
        <v/>
      </c>
      <c r="L2298" t="inlineStr">
        <is>
          <t>分納</t>
        </is>
      </c>
    </row>
    <row r="2299">
      <c r="A2299" t="inlineStr">
        <is>
          <t>SR096</t>
        </is>
      </c>
      <c r="B2299" t="inlineStr">
        <is>
          <t>営業担当096</t>
        </is>
      </c>
      <c r="C2299" t="inlineStr">
        <is>
          <t>第1営業部</t>
        </is>
      </c>
      <c r="D2299" s="3" t="n">
        <v>45964</v>
      </c>
      <c r="E2299" t="inlineStr">
        <is>
          <t>西日本機工株式会社</t>
        </is>
      </c>
      <c r="F2299" t="inlineStr">
        <is>
          <t>北海道</t>
        </is>
      </c>
      <c r="G2299" t="inlineStr">
        <is>
          <t>ハードウェア</t>
        </is>
      </c>
      <c r="H2299" t="inlineStr">
        <is>
          <t>ネットワークカメラ</t>
        </is>
      </c>
      <c r="I2299" s="4" t="n">
        <v>5</v>
      </c>
      <c r="J2299" s="4" t="n">
        <v>74900</v>
      </c>
      <c r="K2299" s="4">
        <f>I2299*J2299</f>
        <v/>
      </c>
      <c r="L2299" t="inlineStr"/>
    </row>
    <row r="2300">
      <c r="A2300" t="inlineStr">
        <is>
          <t>SR096</t>
        </is>
      </c>
      <c r="B2300" t="inlineStr">
        <is>
          <t>営業担当096</t>
        </is>
      </c>
      <c r="C2300" t="inlineStr">
        <is>
          <t>第1営業部</t>
        </is>
      </c>
      <c r="D2300" s="3" t="n">
        <v>45989</v>
      </c>
      <c r="E2300" t="inlineStr">
        <is>
          <t>白峰化学(株)</t>
        </is>
      </c>
      <c r="F2300" t="inlineStr">
        <is>
          <t>広島県</t>
        </is>
      </c>
      <c r="G2300" t="inlineStr">
        <is>
          <t>ハードウェア</t>
        </is>
      </c>
      <c r="H2300" t="inlineStr">
        <is>
          <t>産業用タブレット</t>
        </is>
      </c>
      <c r="I2300" s="4" t="n">
        <v>1</v>
      </c>
      <c r="J2300" s="4" t="n">
        <v>77100</v>
      </c>
      <c r="K2300" s="4">
        <f>I2300*J2300</f>
        <v/>
      </c>
      <c r="L2300" t="inlineStr"/>
    </row>
    <row r="2301">
      <c r="A2301" t="inlineStr">
        <is>
          <t>SR096</t>
        </is>
      </c>
      <c r="B2301" t="inlineStr">
        <is>
          <t>営業担当096</t>
        </is>
      </c>
      <c r="C2301" t="inlineStr">
        <is>
          <t>第1営業部</t>
        </is>
      </c>
      <c r="D2301" s="3" t="n">
        <v>45995</v>
      </c>
      <c r="E2301" t="inlineStr">
        <is>
          <t>日新サービス(株)</t>
        </is>
      </c>
      <c r="F2301" t="inlineStr">
        <is>
          <t>大阪府</t>
        </is>
      </c>
      <c r="G2301" t="inlineStr">
        <is>
          <t>ハードウェア</t>
        </is>
      </c>
      <c r="H2301" t="inlineStr">
        <is>
          <t>小型ハンディ端末</t>
        </is>
      </c>
      <c r="I2301" s="4" t="n">
        <v>1</v>
      </c>
      <c r="J2301" s="4" t="n">
        <v>57300</v>
      </c>
      <c r="K2301" s="4">
        <f>I2301*J2301</f>
        <v/>
      </c>
      <c r="L2301" t="inlineStr"/>
    </row>
    <row r="2302">
      <c r="A2302" t="inlineStr">
        <is>
          <t>SR096</t>
        </is>
      </c>
      <c r="B2302" t="inlineStr">
        <is>
          <t>営業担当096</t>
        </is>
      </c>
      <c r="C2302" t="inlineStr">
        <is>
          <t>第1営業部</t>
        </is>
      </c>
      <c r="D2302" s="3" t="n">
        <v>45998</v>
      </c>
      <c r="E2302" t="inlineStr">
        <is>
          <t>ネクストソリューション有限会社</t>
        </is>
      </c>
      <c r="F2302" t="inlineStr">
        <is>
          <t>北海道</t>
        </is>
      </c>
      <c r="G2302" t="inlineStr">
        <is>
          <t>ハードウェア</t>
        </is>
      </c>
      <c r="H2302" t="inlineStr">
        <is>
          <t>小型ハンディ端末</t>
        </is>
      </c>
      <c r="I2302" s="4" t="n">
        <v>2</v>
      </c>
      <c r="J2302" s="4" t="n">
        <v>60200</v>
      </c>
      <c r="K2302" s="4">
        <f>I2302*J2302</f>
        <v/>
      </c>
      <c r="L2302" t="inlineStr"/>
    </row>
    <row r="2303">
      <c r="A2303" t="inlineStr">
        <is>
          <t>SR096</t>
        </is>
      </c>
      <c r="B2303" t="inlineStr">
        <is>
          <t>営業担当096</t>
        </is>
      </c>
      <c r="C2303" t="inlineStr">
        <is>
          <t>第1営業部</t>
        </is>
      </c>
      <c r="D2303" s="3" t="n">
        <v>46037</v>
      </c>
      <c r="E2303" t="inlineStr">
        <is>
          <t>グリーンテック有限会社</t>
        </is>
      </c>
      <c r="F2303" t="inlineStr">
        <is>
          <t>北海道</t>
        </is>
      </c>
      <c r="G2303" t="inlineStr">
        <is>
          <t>消耗品</t>
        </is>
      </c>
      <c r="H2303" t="inlineStr">
        <is>
          <t>保守用バッテリー</t>
        </is>
      </c>
      <c r="I2303" s="4" t="n">
        <v>15</v>
      </c>
      <c r="J2303" s="4" t="n">
        <v>10890</v>
      </c>
      <c r="K2303" s="4">
        <f>I2303*J2303</f>
        <v/>
      </c>
      <c r="L2303" t="inlineStr">
        <is>
          <t>大型案件</t>
        </is>
      </c>
    </row>
    <row r="2304">
      <c r="A2304" t="inlineStr">
        <is>
          <t>SR096</t>
        </is>
      </c>
      <c r="B2304" t="inlineStr">
        <is>
          <t>営業担当096</t>
        </is>
      </c>
      <c r="C2304" t="inlineStr">
        <is>
          <t>第1営業部</t>
        </is>
      </c>
      <c r="D2304" s="3" t="n">
        <v>46048</v>
      </c>
      <c r="E2304" t="inlineStr">
        <is>
          <t>中央設備株式会社</t>
        </is>
      </c>
      <c r="F2304" t="inlineStr">
        <is>
          <t>北海道</t>
        </is>
      </c>
      <c r="G2304" t="inlineStr">
        <is>
          <t>導入支援</t>
        </is>
      </c>
      <c r="H2304" t="inlineStr">
        <is>
          <t>操作研修パック</t>
        </is>
      </c>
      <c r="I2304" s="4" t="n">
        <v>1</v>
      </c>
      <c r="J2304" s="4" t="n">
        <v>142200</v>
      </c>
      <c r="K2304" s="4">
        <f>I2304*J2304</f>
        <v/>
      </c>
      <c r="L2304" t="inlineStr">
        <is>
          <t>大型案件</t>
        </is>
      </c>
    </row>
    <row r="2305">
      <c r="A2305" t="inlineStr">
        <is>
          <t>SR096</t>
        </is>
      </c>
      <c r="B2305" t="inlineStr">
        <is>
          <t>営業担当096</t>
        </is>
      </c>
      <c r="C2305" t="inlineStr">
        <is>
          <t>第1営業部</t>
        </is>
      </c>
      <c r="D2305" s="3" t="n">
        <v>46059</v>
      </c>
      <c r="E2305" t="inlineStr">
        <is>
          <t>北斗産業株式会社</t>
        </is>
      </c>
      <c r="F2305" t="inlineStr">
        <is>
          <t>神奈川県</t>
        </is>
      </c>
      <c r="G2305" t="inlineStr">
        <is>
          <t>消耗品</t>
        </is>
      </c>
      <c r="H2305" t="inlineStr">
        <is>
          <t>保守用バッテリー</t>
        </is>
      </c>
      <c r="I2305" s="4" t="n">
        <v>10</v>
      </c>
      <c r="J2305" s="4" t="n">
        <v>15330</v>
      </c>
      <c r="K2305" s="4">
        <f>I2305*J2305</f>
        <v/>
      </c>
      <c r="L2305" t="inlineStr">
        <is>
          <t>値引き調整あり</t>
        </is>
      </c>
    </row>
    <row r="2306">
      <c r="A2306" t="inlineStr">
        <is>
          <t>SR096</t>
        </is>
      </c>
      <c r="B2306" t="inlineStr">
        <is>
          <t>営業担当096</t>
        </is>
      </c>
      <c r="C2306" t="inlineStr">
        <is>
          <t>第1営業部</t>
        </is>
      </c>
      <c r="D2306" s="3" t="n">
        <v>46073</v>
      </c>
      <c r="E2306" t="inlineStr">
        <is>
          <t>東洋フーズ株式会社</t>
        </is>
      </c>
      <c r="F2306" t="inlineStr">
        <is>
          <t>神奈川県</t>
        </is>
      </c>
      <c r="G2306" t="inlineStr">
        <is>
          <t>消耗品</t>
        </is>
      </c>
      <c r="H2306" t="inlineStr">
        <is>
          <t>ラベルロール</t>
        </is>
      </c>
      <c r="I2306" s="4" t="n">
        <v>7</v>
      </c>
      <c r="J2306" s="4" t="n">
        <v>9980</v>
      </c>
      <c r="K2306" s="4">
        <f>I2306*J2306</f>
        <v/>
      </c>
      <c r="L2306" t="inlineStr">
        <is>
          <t>新規開拓</t>
        </is>
      </c>
    </row>
    <row r="2307">
      <c r="A2307" t="inlineStr">
        <is>
          <t>SR096</t>
        </is>
      </c>
      <c r="B2307" t="inlineStr">
        <is>
          <t>営業担当096</t>
        </is>
      </c>
      <c r="C2307" t="inlineStr">
        <is>
          <t>第1営業部</t>
        </is>
      </c>
      <c r="D2307" s="3" t="n">
        <v>46088</v>
      </c>
      <c r="E2307" t="inlineStr">
        <is>
          <t>九州エナジー株式会社</t>
        </is>
      </c>
      <c r="F2307" t="inlineStr">
        <is>
          <t>福岡県</t>
        </is>
      </c>
      <c r="G2307" t="inlineStr">
        <is>
          <t>導入支援</t>
        </is>
      </c>
      <c r="H2307" t="inlineStr">
        <is>
          <t>操作研修パック</t>
        </is>
      </c>
      <c r="I2307" s="4" t="n">
        <v>3</v>
      </c>
      <c r="J2307" s="4" t="n">
        <v>136600</v>
      </c>
      <c r="K2307" s="4">
        <f>I2307*J2307</f>
        <v/>
      </c>
      <c r="L2307" t="inlineStr"/>
    </row>
    <row r="2308">
      <c r="A2308" t="inlineStr">
        <is>
          <t>SR096</t>
        </is>
      </c>
      <c r="B2308" t="inlineStr">
        <is>
          <t>営業担当096</t>
        </is>
      </c>
      <c r="C2308" t="inlineStr">
        <is>
          <t>第1営業部</t>
        </is>
      </c>
      <c r="D2308" s="3" t="n">
        <v>46098</v>
      </c>
      <c r="E2308" t="inlineStr">
        <is>
          <t>大和精機有限会社</t>
        </is>
      </c>
      <c r="F2308" t="inlineStr">
        <is>
          <t>広島県</t>
        </is>
      </c>
      <c r="G2308" t="inlineStr">
        <is>
          <t>保守サービス</t>
        </is>
      </c>
      <c r="H2308" t="inlineStr">
        <is>
          <t>ヘルプデスク契約</t>
        </is>
      </c>
      <c r="I2308" s="4" t="n">
        <v>2</v>
      </c>
      <c r="J2308" s="4" t="n">
        <v>106900</v>
      </c>
      <c r="K2308" s="4">
        <f>I2308*J2308</f>
        <v/>
      </c>
      <c r="L2308" t="inlineStr">
        <is>
          <t>新規開拓</t>
        </is>
      </c>
    </row>
    <row r="2309">
      <c r="A2309" t="inlineStr">
        <is>
          <t>SR097</t>
        </is>
      </c>
      <c r="B2309" t="inlineStr">
        <is>
          <t>営業担当097</t>
        </is>
      </c>
      <c r="C2309" t="inlineStr">
        <is>
          <t>第2営業部</t>
        </is>
      </c>
      <c r="D2309" s="3" t="n">
        <v>45752</v>
      </c>
      <c r="E2309" t="inlineStr">
        <is>
          <t>サンライズ建設株式会社</t>
        </is>
      </c>
      <c r="F2309" t="inlineStr">
        <is>
          <t>大阪府</t>
        </is>
      </c>
      <c r="G2309" t="inlineStr">
        <is>
          <t>ソフトウェア</t>
        </is>
      </c>
      <c r="H2309" t="inlineStr">
        <is>
          <t>帳票自動化ツール</t>
        </is>
      </c>
      <c r="I2309" s="4" t="n">
        <v>1</v>
      </c>
      <c r="J2309" s="4" t="n">
        <v>378700</v>
      </c>
      <c r="K2309" s="4">
        <f>I2309*J2309</f>
        <v/>
      </c>
      <c r="L2309" t="inlineStr">
        <is>
          <t>キャンペーン適用</t>
        </is>
      </c>
    </row>
    <row r="2310">
      <c r="A2310" t="inlineStr">
        <is>
          <t>SR097</t>
        </is>
      </c>
      <c r="B2310" t="inlineStr">
        <is>
          <t>営業担当097</t>
        </is>
      </c>
      <c r="C2310" t="inlineStr">
        <is>
          <t>第2営業部</t>
        </is>
      </c>
      <c r="D2310" s="3" t="n">
        <v>45759</v>
      </c>
      <c r="E2310" t="inlineStr">
        <is>
          <t>アーク電機(株)</t>
        </is>
      </c>
      <c r="F2310" t="inlineStr">
        <is>
          <t>兵庫県</t>
        </is>
      </c>
      <c r="G2310" t="inlineStr">
        <is>
          <t>ソフトウェア</t>
        </is>
      </c>
      <c r="H2310" t="inlineStr">
        <is>
          <t>帳票自動化ツール</t>
        </is>
      </c>
      <c r="I2310" s="4" t="n">
        <v>4</v>
      </c>
      <c r="J2310" s="4" t="n">
        <v>391700</v>
      </c>
      <c r="K2310" s="4">
        <f>I2310*J2310</f>
        <v/>
      </c>
      <c r="L2310" t="inlineStr">
        <is>
          <t>新規開拓</t>
        </is>
      </c>
    </row>
    <row r="2311">
      <c r="A2311" t="inlineStr">
        <is>
          <t>SR097</t>
        </is>
      </c>
      <c r="B2311" t="inlineStr">
        <is>
          <t>営業担当097</t>
        </is>
      </c>
      <c r="C2311" t="inlineStr">
        <is>
          <t>第2営業部</t>
        </is>
      </c>
      <c r="D2311" s="3" t="n">
        <v>45789</v>
      </c>
      <c r="E2311" t="inlineStr">
        <is>
          <t>サンライズ建設(株)</t>
        </is>
      </c>
      <c r="F2311" t="inlineStr">
        <is>
          <t>福岡県</t>
        </is>
      </c>
      <c r="G2311" t="inlineStr">
        <is>
          <t>ハードウェア</t>
        </is>
      </c>
      <c r="H2311" t="inlineStr">
        <is>
          <t>ラベルプリンター</t>
        </is>
      </c>
      <c r="I2311" s="4" t="n">
        <v>4</v>
      </c>
      <c r="J2311" s="4" t="n">
        <v>81000</v>
      </c>
      <c r="K2311" s="4">
        <f>I2311*J2311</f>
        <v/>
      </c>
      <c r="L2311" t="inlineStr"/>
    </row>
    <row r="2312">
      <c r="A2312" t="inlineStr">
        <is>
          <t>SR097</t>
        </is>
      </c>
      <c r="B2312" t="inlineStr">
        <is>
          <t>営業担当097</t>
        </is>
      </c>
      <c r="C2312" t="inlineStr">
        <is>
          <t>第2営業部</t>
        </is>
      </c>
      <c r="D2312" s="3" t="n">
        <v>45798</v>
      </c>
      <c r="E2312" t="inlineStr">
        <is>
          <t>大和精機株式会社</t>
        </is>
      </c>
      <c r="F2312" t="inlineStr">
        <is>
          <t>北海道</t>
        </is>
      </c>
      <c r="G2312" t="inlineStr">
        <is>
          <t>ソフトウェア</t>
        </is>
      </c>
      <c r="H2312" t="inlineStr">
        <is>
          <t>帳票自動化ツール</t>
        </is>
      </c>
      <c r="I2312" s="4" t="n">
        <v>2</v>
      </c>
      <c r="J2312" s="4" t="n">
        <v>211400</v>
      </c>
      <c r="K2312" s="4">
        <f>I2312*J2312</f>
        <v/>
      </c>
      <c r="L2312" t="inlineStr">
        <is>
          <t>リピート受注</t>
        </is>
      </c>
    </row>
    <row r="2313">
      <c r="A2313" t="inlineStr">
        <is>
          <t>SR097</t>
        </is>
      </c>
      <c r="B2313" t="inlineStr">
        <is>
          <t>営業担当097</t>
        </is>
      </c>
      <c r="C2313" t="inlineStr">
        <is>
          <t>第2営業部</t>
        </is>
      </c>
      <c r="D2313" s="3" t="n">
        <v>45813</v>
      </c>
      <c r="E2313" t="inlineStr">
        <is>
          <t>未来通信(株)</t>
        </is>
      </c>
      <c r="F2313" t="inlineStr">
        <is>
          <t>宮城県</t>
        </is>
      </c>
      <c r="G2313" t="inlineStr">
        <is>
          <t>ソフトウェア</t>
        </is>
      </c>
      <c r="H2313" t="inlineStr">
        <is>
          <t>在庫管理クラウド</t>
        </is>
      </c>
      <c r="I2313" s="4" t="n">
        <v>1</v>
      </c>
      <c r="J2313" s="4" t="n">
        <v>407300</v>
      </c>
      <c r="K2313" s="4">
        <f>I2313*J2313</f>
        <v/>
      </c>
      <c r="L2313" t="inlineStr"/>
    </row>
    <row r="2314">
      <c r="A2314" t="inlineStr">
        <is>
          <t>SR097</t>
        </is>
      </c>
      <c r="B2314" t="inlineStr">
        <is>
          <t>営業担当097</t>
        </is>
      </c>
      <c r="C2314" t="inlineStr">
        <is>
          <t>第2営業部</t>
        </is>
      </c>
      <c r="D2314" s="3" t="n">
        <v>45821</v>
      </c>
      <c r="E2314" t="inlineStr">
        <is>
          <t>グリーンテック株式会社</t>
        </is>
      </c>
      <c r="F2314" t="inlineStr">
        <is>
          <t>兵庫県</t>
        </is>
      </c>
      <c r="G2314" t="inlineStr">
        <is>
          <t>ハードウェア</t>
        </is>
      </c>
      <c r="H2314" t="inlineStr">
        <is>
          <t>ラベルプリンター</t>
        </is>
      </c>
      <c r="I2314" s="4" t="n">
        <v>3</v>
      </c>
      <c r="J2314" s="4" t="n">
        <v>74900</v>
      </c>
      <c r="K2314" s="4">
        <f>I2314*J2314</f>
        <v/>
      </c>
      <c r="L2314" t="inlineStr">
        <is>
          <t>キャンペーン適用</t>
        </is>
      </c>
    </row>
    <row r="2315">
      <c r="A2315" t="inlineStr">
        <is>
          <t>SR097</t>
        </is>
      </c>
      <c r="B2315" t="inlineStr">
        <is>
          <t>営業担当097</t>
        </is>
      </c>
      <c r="C2315" t="inlineStr">
        <is>
          <t>第2営業部</t>
        </is>
      </c>
      <c r="D2315" s="3" t="n">
        <v>45863</v>
      </c>
      <c r="E2315" t="inlineStr">
        <is>
          <t>中央設備有限会社</t>
        </is>
      </c>
      <c r="F2315" t="inlineStr">
        <is>
          <t>大阪府</t>
        </is>
      </c>
      <c r="G2315" t="inlineStr">
        <is>
          <t>ソフトウェア</t>
        </is>
      </c>
      <c r="H2315" t="inlineStr">
        <is>
          <t>営業支援SaaS</t>
        </is>
      </c>
      <c r="I2315" s="4" t="n">
        <v>1</v>
      </c>
      <c r="J2315" s="4" t="n">
        <v>288900</v>
      </c>
      <c r="K2315" s="4">
        <f>I2315*J2315</f>
        <v/>
      </c>
      <c r="L2315" t="inlineStr">
        <is>
          <t>値引き調整あり</t>
        </is>
      </c>
    </row>
    <row r="2316">
      <c r="A2316" t="inlineStr">
        <is>
          <t>SR097</t>
        </is>
      </c>
      <c r="B2316" t="inlineStr">
        <is>
          <t>営業担当097</t>
        </is>
      </c>
      <c r="C2316" t="inlineStr">
        <is>
          <t>第2営業部</t>
        </is>
      </c>
      <c r="D2316" s="3" t="n">
        <v>45865</v>
      </c>
      <c r="E2316" t="inlineStr">
        <is>
          <t>みらい物流有限会社</t>
        </is>
      </c>
      <c r="F2316" t="inlineStr">
        <is>
          <t>東京都</t>
        </is>
      </c>
      <c r="G2316" t="inlineStr">
        <is>
          <t>ハードウェア</t>
        </is>
      </c>
      <c r="H2316" t="inlineStr">
        <is>
          <t>ラベルプリンター</t>
        </is>
      </c>
      <c r="I2316" s="4" t="n">
        <v>2</v>
      </c>
      <c r="J2316" s="4" t="n">
        <v>77800</v>
      </c>
      <c r="K2316" s="4">
        <f>I2316*J2316</f>
        <v/>
      </c>
      <c r="L2316" t="inlineStr">
        <is>
          <t>分納</t>
        </is>
      </c>
    </row>
    <row r="2317">
      <c r="A2317" t="inlineStr">
        <is>
          <t>SR097</t>
        </is>
      </c>
      <c r="B2317" t="inlineStr">
        <is>
          <t>営業担当097</t>
        </is>
      </c>
      <c r="C2317" t="inlineStr">
        <is>
          <t>第2営業部</t>
        </is>
      </c>
      <c r="D2317" s="3" t="n">
        <v>45877</v>
      </c>
      <c r="E2317" t="inlineStr">
        <is>
          <t>中央設備(株)</t>
        </is>
      </c>
      <c r="F2317" t="inlineStr">
        <is>
          <t>宮城県</t>
        </is>
      </c>
      <c r="G2317" t="inlineStr">
        <is>
          <t>保守サービス</t>
        </is>
      </c>
      <c r="H2317" t="inlineStr">
        <is>
          <t>年間保守契約</t>
        </is>
      </c>
      <c r="I2317" s="4" t="n">
        <v>4</v>
      </c>
      <c r="J2317" s="4" t="n">
        <v>126300</v>
      </c>
      <c r="K2317" s="4">
        <f>I2317*J2317</f>
        <v/>
      </c>
      <c r="L2317" t="inlineStr">
        <is>
          <t>キャンペーン適用</t>
        </is>
      </c>
    </row>
    <row r="2318">
      <c r="A2318" t="inlineStr">
        <is>
          <t>SR097</t>
        </is>
      </c>
      <c r="B2318" t="inlineStr">
        <is>
          <t>営業担当097</t>
        </is>
      </c>
      <c r="C2318" t="inlineStr">
        <is>
          <t>第2営業部</t>
        </is>
      </c>
      <c r="D2318" s="3" t="n">
        <v>45896</v>
      </c>
      <c r="E2318" t="inlineStr">
        <is>
          <t>青葉商事株式会社</t>
        </is>
      </c>
      <c r="F2318" t="inlineStr">
        <is>
          <t>愛知県</t>
        </is>
      </c>
      <c r="G2318" t="inlineStr">
        <is>
          <t>導入支援</t>
        </is>
      </c>
      <c r="H2318" t="inlineStr">
        <is>
          <t>初期設定支援</t>
        </is>
      </c>
      <c r="I2318" s="4" t="n">
        <v>2</v>
      </c>
      <c r="J2318" s="4" t="n">
        <v>106400</v>
      </c>
      <c r="K2318" s="4">
        <f>I2318*J2318</f>
        <v/>
      </c>
      <c r="L2318" t="inlineStr">
        <is>
          <t>大型案件</t>
        </is>
      </c>
    </row>
    <row r="2319">
      <c r="A2319" t="inlineStr">
        <is>
          <t>SR097</t>
        </is>
      </c>
      <c r="B2319" t="inlineStr">
        <is>
          <t>営業担当097</t>
        </is>
      </c>
      <c r="C2319" t="inlineStr">
        <is>
          <t>第2営業部</t>
        </is>
      </c>
      <c r="D2319" s="3" t="n">
        <v>45914</v>
      </c>
      <c r="E2319" t="inlineStr">
        <is>
          <t>福岡流通有限会社</t>
        </is>
      </c>
      <c r="F2319" t="inlineStr">
        <is>
          <t>北海道</t>
        </is>
      </c>
      <c r="G2319" t="inlineStr">
        <is>
          <t>消耗品</t>
        </is>
      </c>
      <c r="H2319" t="inlineStr">
        <is>
          <t>保守用バッテリー</t>
        </is>
      </c>
      <c r="I2319" s="4" t="n">
        <v>7</v>
      </c>
      <c r="J2319" s="4" t="n">
        <v>12080</v>
      </c>
      <c r="K2319" s="4">
        <f>I2319*J2319</f>
        <v/>
      </c>
      <c r="L2319" t="inlineStr"/>
    </row>
    <row r="2320">
      <c r="A2320" t="inlineStr">
        <is>
          <t>SR097</t>
        </is>
      </c>
      <c r="B2320" t="inlineStr">
        <is>
          <t>営業担当097</t>
        </is>
      </c>
      <c r="C2320" t="inlineStr">
        <is>
          <t>第2営業部</t>
        </is>
      </c>
      <c r="D2320" s="3" t="n">
        <v>45917</v>
      </c>
      <c r="E2320" t="inlineStr">
        <is>
          <t>北斗産業有限会社</t>
        </is>
      </c>
      <c r="F2320" t="inlineStr">
        <is>
          <t>東京都</t>
        </is>
      </c>
      <c r="G2320" t="inlineStr">
        <is>
          <t>消耗品</t>
        </is>
      </c>
      <c r="H2320" t="inlineStr">
        <is>
          <t>ラベルロール</t>
        </is>
      </c>
      <c r="I2320" s="4" t="n">
        <v>13</v>
      </c>
      <c r="J2320" s="4" t="n">
        <v>9700</v>
      </c>
      <c r="K2320" s="4">
        <f>I2320*J2320</f>
        <v/>
      </c>
      <c r="L2320" t="inlineStr">
        <is>
          <t>分納</t>
        </is>
      </c>
    </row>
    <row r="2321">
      <c r="A2321" t="inlineStr">
        <is>
          <t>SR097</t>
        </is>
      </c>
      <c r="B2321" t="inlineStr">
        <is>
          <t>営業担当097</t>
        </is>
      </c>
      <c r="C2321" t="inlineStr">
        <is>
          <t>第2営業部</t>
        </is>
      </c>
      <c r="D2321" s="3" t="n">
        <v>45934</v>
      </c>
      <c r="E2321" t="inlineStr">
        <is>
          <t>グリーンテック有限会社</t>
        </is>
      </c>
      <c r="F2321" t="inlineStr">
        <is>
          <t>東京都</t>
        </is>
      </c>
      <c r="G2321" t="inlineStr">
        <is>
          <t>ソフトウェア</t>
        </is>
      </c>
      <c r="H2321" t="inlineStr">
        <is>
          <t>帳票自動化ツール</t>
        </is>
      </c>
      <c r="I2321" s="4" t="n">
        <v>1</v>
      </c>
      <c r="J2321" s="4" t="n">
        <v>339800</v>
      </c>
      <c r="K2321" s="4">
        <f>I2321*J2321</f>
        <v/>
      </c>
      <c r="L2321" t="inlineStr"/>
    </row>
    <row r="2322">
      <c r="A2322" t="inlineStr">
        <is>
          <t>SR097</t>
        </is>
      </c>
      <c r="B2322" t="inlineStr">
        <is>
          <t>営業担当097</t>
        </is>
      </c>
      <c r="C2322" t="inlineStr">
        <is>
          <t>第2営業部</t>
        </is>
      </c>
      <c r="D2322" s="3" t="n">
        <v>45937</v>
      </c>
      <c r="E2322" t="inlineStr">
        <is>
          <t>青葉商事(株)</t>
        </is>
      </c>
      <c r="F2322" t="inlineStr">
        <is>
          <t>大阪府</t>
        </is>
      </c>
      <c r="G2322" t="inlineStr">
        <is>
          <t>ハードウェア</t>
        </is>
      </c>
      <c r="H2322" t="inlineStr">
        <is>
          <t>産業用タブレット</t>
        </is>
      </c>
      <c r="I2322" s="4" t="n">
        <v>2</v>
      </c>
      <c r="J2322" s="4" t="n">
        <v>117300</v>
      </c>
      <c r="K2322" s="4">
        <f>I2322*J2322</f>
        <v/>
      </c>
      <c r="L2322" t="inlineStr"/>
    </row>
    <row r="2323">
      <c r="A2323" t="inlineStr">
        <is>
          <t>SR097</t>
        </is>
      </c>
      <c r="B2323" t="inlineStr">
        <is>
          <t>営業担当097</t>
        </is>
      </c>
      <c r="C2323" t="inlineStr">
        <is>
          <t>第2営業部</t>
        </is>
      </c>
      <c r="D2323" s="3" t="n">
        <v>45968</v>
      </c>
      <c r="E2323" t="inlineStr">
        <is>
          <t>大和精機株式会社</t>
        </is>
      </c>
      <c r="F2323" t="inlineStr">
        <is>
          <t>宮城県</t>
        </is>
      </c>
      <c r="G2323" t="inlineStr">
        <is>
          <t>導入支援</t>
        </is>
      </c>
      <c r="H2323" t="inlineStr">
        <is>
          <t>初期設定支援</t>
        </is>
      </c>
      <c r="I2323" s="4" t="n">
        <v>2</v>
      </c>
      <c r="J2323" s="4" t="n">
        <v>61000</v>
      </c>
      <c r="K2323" s="4">
        <f>I2323*J2323</f>
        <v/>
      </c>
      <c r="L2323" t="inlineStr">
        <is>
          <t>分納</t>
        </is>
      </c>
    </row>
    <row r="2324">
      <c r="A2324" t="inlineStr">
        <is>
          <t>SR097</t>
        </is>
      </c>
      <c r="B2324" t="inlineStr">
        <is>
          <t>営業担当097</t>
        </is>
      </c>
      <c r="C2324" t="inlineStr">
        <is>
          <t>第2営業部</t>
        </is>
      </c>
      <c r="D2324" s="3" t="n">
        <v>45975</v>
      </c>
      <c r="E2324" t="inlineStr">
        <is>
          <t>中央設備(株)</t>
        </is>
      </c>
      <c r="F2324" t="inlineStr">
        <is>
          <t>兵庫県</t>
        </is>
      </c>
      <c r="G2324" t="inlineStr">
        <is>
          <t>ハードウェア</t>
        </is>
      </c>
      <c r="H2324" t="inlineStr">
        <is>
          <t>ネットワークカメラ</t>
        </is>
      </c>
      <c r="I2324" s="4" t="n">
        <v>2</v>
      </c>
      <c r="J2324" s="4" t="n">
        <v>74600</v>
      </c>
      <c r="K2324" s="4">
        <f>I2324*J2324</f>
        <v/>
      </c>
      <c r="L2324" t="inlineStr">
        <is>
          <t>リピート受注</t>
        </is>
      </c>
    </row>
    <row r="2325">
      <c r="A2325" t="inlineStr">
        <is>
          <t>SR097</t>
        </is>
      </c>
      <c r="B2325" t="inlineStr">
        <is>
          <t>営業担当097</t>
        </is>
      </c>
      <c r="C2325" t="inlineStr">
        <is>
          <t>第2営業部</t>
        </is>
      </c>
      <c r="D2325" s="3" t="n">
        <v>45993</v>
      </c>
      <c r="E2325" t="inlineStr">
        <is>
          <t>西日本機工有限会社</t>
        </is>
      </c>
      <c r="F2325" t="inlineStr">
        <is>
          <t>兵庫県</t>
        </is>
      </c>
      <c r="G2325" t="inlineStr">
        <is>
          <t>ソフトウェア</t>
        </is>
      </c>
      <c r="H2325" t="inlineStr">
        <is>
          <t>AIチャットボット</t>
        </is>
      </c>
      <c r="I2325" s="4" t="n">
        <v>1</v>
      </c>
      <c r="J2325" s="4" t="n">
        <v>603200</v>
      </c>
      <c r="K2325" s="4">
        <f>I2325*J2325</f>
        <v/>
      </c>
      <c r="L2325" t="inlineStr">
        <is>
          <t>キャンペーン適用</t>
        </is>
      </c>
    </row>
    <row r="2326">
      <c r="A2326" t="inlineStr">
        <is>
          <t>SR097</t>
        </is>
      </c>
      <c r="B2326" t="inlineStr">
        <is>
          <t>営業担当097</t>
        </is>
      </c>
      <c r="C2326" t="inlineStr">
        <is>
          <t>第2営業部</t>
        </is>
      </c>
      <c r="D2326" s="3" t="n">
        <v>46014</v>
      </c>
      <c r="E2326" t="inlineStr">
        <is>
          <t>桜井メディカル(株)</t>
        </is>
      </c>
      <c r="F2326" t="inlineStr">
        <is>
          <t>大阪府</t>
        </is>
      </c>
      <c r="G2326" t="inlineStr">
        <is>
          <t>ソフトウェア</t>
        </is>
      </c>
      <c r="H2326" t="inlineStr">
        <is>
          <t>帳票自動化ツール</t>
        </is>
      </c>
      <c r="I2326" s="4" t="n">
        <v>3</v>
      </c>
      <c r="J2326" s="4" t="n">
        <v>367300</v>
      </c>
      <c r="K2326" s="4">
        <f>I2326*J2326</f>
        <v/>
      </c>
      <c r="L2326" t="inlineStr">
        <is>
          <t>リピート受注</t>
        </is>
      </c>
    </row>
    <row r="2327">
      <c r="A2327" t="inlineStr">
        <is>
          <t>SR097</t>
        </is>
      </c>
      <c r="B2327" t="inlineStr">
        <is>
          <t>営業担当097</t>
        </is>
      </c>
      <c r="C2327" t="inlineStr">
        <is>
          <t>第2営業部</t>
        </is>
      </c>
      <c r="D2327" s="3" t="n">
        <v>46038</v>
      </c>
      <c r="E2327" t="inlineStr">
        <is>
          <t>サンライズ建設株式会社</t>
        </is>
      </c>
      <c r="F2327" t="inlineStr">
        <is>
          <t>宮城県</t>
        </is>
      </c>
      <c r="G2327" t="inlineStr">
        <is>
          <t>ハードウェア</t>
        </is>
      </c>
      <c r="H2327" t="inlineStr">
        <is>
          <t>産業用タブレット</t>
        </is>
      </c>
      <c r="I2327" s="4" t="n">
        <v>2</v>
      </c>
      <c r="J2327" s="4" t="n">
        <v>70500</v>
      </c>
      <c r="K2327" s="4">
        <f>I2327*J2327</f>
        <v/>
      </c>
      <c r="L2327" t="inlineStr"/>
    </row>
    <row r="2328">
      <c r="A2328" t="inlineStr">
        <is>
          <t>SR097</t>
        </is>
      </c>
      <c r="B2328" t="inlineStr">
        <is>
          <t>営業担当097</t>
        </is>
      </c>
      <c r="C2328" t="inlineStr">
        <is>
          <t>第2営業部</t>
        </is>
      </c>
      <c r="D2328" s="3" t="n">
        <v>46050</v>
      </c>
      <c r="E2328" t="inlineStr">
        <is>
          <t>星和商会株式会社</t>
        </is>
      </c>
      <c r="F2328" t="inlineStr">
        <is>
          <t>宮城県</t>
        </is>
      </c>
      <c r="G2328" t="inlineStr">
        <is>
          <t>ハードウェア</t>
        </is>
      </c>
      <c r="H2328" t="inlineStr">
        <is>
          <t>小型ハンディ端末</t>
        </is>
      </c>
      <c r="I2328" s="4" t="n">
        <v>2</v>
      </c>
      <c r="J2328" s="4" t="n">
        <v>73800</v>
      </c>
      <c r="K2328" s="4">
        <f>I2328*J2328</f>
        <v/>
      </c>
      <c r="L2328" t="inlineStr">
        <is>
          <t>値引き調整あり</t>
        </is>
      </c>
    </row>
    <row r="2329">
      <c r="A2329" t="inlineStr">
        <is>
          <t>SR097</t>
        </is>
      </c>
      <c r="B2329" t="inlineStr">
        <is>
          <t>営業担当097</t>
        </is>
      </c>
      <c r="C2329" t="inlineStr">
        <is>
          <t>第2営業部</t>
        </is>
      </c>
      <c r="D2329" s="3" t="n">
        <v>46072</v>
      </c>
      <c r="E2329" t="inlineStr">
        <is>
          <t>アーク電機株式会社</t>
        </is>
      </c>
      <c r="F2329" t="inlineStr">
        <is>
          <t>北海道</t>
        </is>
      </c>
      <c r="G2329" t="inlineStr">
        <is>
          <t>消耗品</t>
        </is>
      </c>
      <c r="H2329" t="inlineStr">
        <is>
          <t>交換用ヘッド</t>
        </is>
      </c>
      <c r="I2329" s="4" t="n">
        <v>11</v>
      </c>
      <c r="J2329" s="4" t="n">
        <v>26550</v>
      </c>
      <c r="K2329" s="4">
        <f>I2329*J2329</f>
        <v/>
      </c>
      <c r="L2329" t="inlineStr">
        <is>
          <t>分納</t>
        </is>
      </c>
    </row>
    <row r="2330">
      <c r="A2330" t="inlineStr">
        <is>
          <t>SR097</t>
        </is>
      </c>
      <c r="B2330" t="inlineStr">
        <is>
          <t>営業担当097</t>
        </is>
      </c>
      <c r="C2330" t="inlineStr">
        <is>
          <t>第2営業部</t>
        </is>
      </c>
      <c r="D2330" s="3" t="n">
        <v>46074</v>
      </c>
      <c r="E2330" t="inlineStr">
        <is>
          <t>中央設備(株)</t>
        </is>
      </c>
      <c r="F2330" t="inlineStr">
        <is>
          <t>北海道</t>
        </is>
      </c>
      <c r="G2330" t="inlineStr">
        <is>
          <t>保守サービス</t>
        </is>
      </c>
      <c r="H2330" t="inlineStr">
        <is>
          <t>年間保守契約</t>
        </is>
      </c>
      <c r="I2330" s="4" t="n">
        <v>1</v>
      </c>
      <c r="J2330" s="4" t="n">
        <v>150800</v>
      </c>
      <c r="K2330" s="4">
        <f>I2330*J2330</f>
        <v/>
      </c>
      <c r="L2330" t="inlineStr">
        <is>
          <t>リピート受注</t>
        </is>
      </c>
    </row>
    <row r="2331">
      <c r="A2331" t="inlineStr">
        <is>
          <t>SR097</t>
        </is>
      </c>
      <c r="B2331" t="inlineStr">
        <is>
          <t>営業担当097</t>
        </is>
      </c>
      <c r="C2331" t="inlineStr">
        <is>
          <t>第2営業部</t>
        </is>
      </c>
      <c r="D2331" s="3" t="n">
        <v>46083</v>
      </c>
      <c r="E2331" t="inlineStr">
        <is>
          <t>桜井メディカル株式会社</t>
        </is>
      </c>
      <c r="F2331" t="inlineStr">
        <is>
          <t>大阪府</t>
        </is>
      </c>
      <c r="G2331" t="inlineStr">
        <is>
          <t>ソフトウェア</t>
        </is>
      </c>
      <c r="H2331" t="inlineStr">
        <is>
          <t>帳票自動化ツール</t>
        </is>
      </c>
      <c r="I2331" s="4" t="n">
        <v>4</v>
      </c>
      <c r="J2331" s="4" t="n">
        <v>353300</v>
      </c>
      <c r="K2331" s="4">
        <f>I2331*J2331</f>
        <v/>
      </c>
      <c r="L2331" t="inlineStr">
        <is>
          <t>分納</t>
        </is>
      </c>
    </row>
    <row r="2332">
      <c r="A2332" t="inlineStr">
        <is>
          <t>SR097</t>
        </is>
      </c>
      <c r="B2332" t="inlineStr">
        <is>
          <t>営業担当097</t>
        </is>
      </c>
      <c r="C2332" t="inlineStr">
        <is>
          <t>第2営業部</t>
        </is>
      </c>
      <c r="D2332" s="3" t="n">
        <v>46095</v>
      </c>
      <c r="E2332" t="inlineStr">
        <is>
          <t>アーク電機有限会社</t>
        </is>
      </c>
      <c r="F2332" t="inlineStr">
        <is>
          <t>神奈川県</t>
        </is>
      </c>
      <c r="G2332" t="inlineStr">
        <is>
          <t>導入支援</t>
        </is>
      </c>
      <c r="H2332" t="inlineStr">
        <is>
          <t>初期設定支援</t>
        </is>
      </c>
      <c r="I2332" s="4" t="n">
        <v>2</v>
      </c>
      <c r="J2332" s="4" t="n">
        <v>74600</v>
      </c>
      <c r="K2332" s="4">
        <f>I2332*J2332</f>
        <v/>
      </c>
      <c r="L2332" t="inlineStr">
        <is>
          <t>値引き調整あり</t>
        </is>
      </c>
    </row>
    <row r="2333">
      <c r="A2333" t="inlineStr">
        <is>
          <t>SR098</t>
        </is>
      </c>
      <c r="B2333" t="inlineStr">
        <is>
          <t>営業担当098</t>
        </is>
      </c>
      <c r="C2333" t="inlineStr">
        <is>
          <t>第3営業部</t>
        </is>
      </c>
      <c r="D2333" s="3" t="n">
        <v>45748</v>
      </c>
      <c r="E2333" t="inlineStr">
        <is>
          <t>オーシャン製作所株式会社</t>
        </is>
      </c>
      <c r="F2333" t="inlineStr">
        <is>
          <t>愛知県</t>
        </is>
      </c>
      <c r="G2333" t="inlineStr">
        <is>
          <t>消耗品</t>
        </is>
      </c>
      <c r="H2333" t="inlineStr">
        <is>
          <t>保守用バッテリー</t>
        </is>
      </c>
      <c r="I2333" s="4" t="n">
        <v>3</v>
      </c>
      <c r="J2333" s="4" t="n">
        <v>14800</v>
      </c>
      <c r="K2333" s="4">
        <f>I2333*J2333</f>
        <v/>
      </c>
      <c r="L2333" t="inlineStr">
        <is>
          <t>リピート受注</t>
        </is>
      </c>
    </row>
    <row r="2334">
      <c r="A2334" t="inlineStr">
        <is>
          <t>SR098</t>
        </is>
      </c>
      <c r="B2334" t="inlineStr">
        <is>
          <t>営業担当098</t>
        </is>
      </c>
      <c r="C2334" t="inlineStr">
        <is>
          <t>第3営業部</t>
        </is>
      </c>
      <c r="D2334" s="3" t="n">
        <v>45754</v>
      </c>
      <c r="E2334" t="inlineStr">
        <is>
          <t>大和精機有限会社</t>
        </is>
      </c>
      <c r="F2334" t="inlineStr">
        <is>
          <t>兵庫県</t>
        </is>
      </c>
      <c r="G2334" t="inlineStr">
        <is>
          <t>消耗品</t>
        </is>
      </c>
      <c r="H2334" t="inlineStr">
        <is>
          <t>保守用バッテリー</t>
        </is>
      </c>
      <c r="I2334" s="4" t="n">
        <v>10</v>
      </c>
      <c r="J2334" s="4" t="n">
        <v>17440</v>
      </c>
      <c r="K2334" s="4">
        <f>I2334*J2334</f>
        <v/>
      </c>
      <c r="L2334" t="inlineStr"/>
    </row>
    <row r="2335">
      <c r="A2335" t="inlineStr">
        <is>
          <t>SR098</t>
        </is>
      </c>
      <c r="B2335" t="inlineStr">
        <is>
          <t>営業担当098</t>
        </is>
      </c>
      <c r="C2335" t="inlineStr">
        <is>
          <t>第3営業部</t>
        </is>
      </c>
      <c r="D2335" s="3" t="n">
        <v>45797</v>
      </c>
      <c r="E2335" t="inlineStr">
        <is>
          <t>白峰化学株式会社</t>
        </is>
      </c>
      <c r="F2335" t="inlineStr">
        <is>
          <t>大阪府</t>
        </is>
      </c>
      <c r="G2335" t="inlineStr">
        <is>
          <t>保守サービス</t>
        </is>
      </c>
      <c r="H2335" t="inlineStr">
        <is>
          <t>年間保守契約</t>
        </is>
      </c>
      <c r="I2335" s="4" t="n">
        <v>4</v>
      </c>
      <c r="J2335" s="4" t="n">
        <v>117100</v>
      </c>
      <c r="K2335" s="4">
        <f>I2335*J2335</f>
        <v/>
      </c>
      <c r="L2335" t="inlineStr"/>
    </row>
    <row r="2336">
      <c r="A2336" t="inlineStr">
        <is>
          <t>SR098</t>
        </is>
      </c>
      <c r="B2336" t="inlineStr">
        <is>
          <t>営業担当098</t>
        </is>
      </c>
      <c r="C2336" t="inlineStr">
        <is>
          <t>第3営業部</t>
        </is>
      </c>
      <c r="D2336" s="3" t="n">
        <v>45804</v>
      </c>
      <c r="E2336" t="inlineStr">
        <is>
          <t>アーク電機(株)</t>
        </is>
      </c>
      <c r="F2336" t="inlineStr">
        <is>
          <t>宮城県</t>
        </is>
      </c>
      <c r="G2336" t="inlineStr">
        <is>
          <t>ハードウェア</t>
        </is>
      </c>
      <c r="H2336" t="inlineStr">
        <is>
          <t>産業用タブレット</t>
        </is>
      </c>
      <c r="I2336" s="4" t="n">
        <v>3</v>
      </c>
      <c r="J2336" s="4" t="n">
        <v>127900</v>
      </c>
      <c r="K2336" s="4">
        <f>I2336*J2336</f>
        <v/>
      </c>
      <c r="L2336" t="inlineStr"/>
    </row>
    <row r="2337">
      <c r="A2337" t="inlineStr">
        <is>
          <t>SR098</t>
        </is>
      </c>
      <c r="B2337" t="inlineStr">
        <is>
          <t>営業担当098</t>
        </is>
      </c>
      <c r="C2337" t="inlineStr">
        <is>
          <t>第3営業部</t>
        </is>
      </c>
      <c r="D2337" s="3" t="n">
        <v>45815</v>
      </c>
      <c r="E2337" t="inlineStr">
        <is>
          <t>白峰化学株式会社</t>
        </is>
      </c>
      <c r="F2337" t="inlineStr">
        <is>
          <t>京都府</t>
        </is>
      </c>
      <c r="G2337" t="inlineStr">
        <is>
          <t>導入支援</t>
        </is>
      </c>
      <c r="H2337" t="inlineStr">
        <is>
          <t>操作研修パック</t>
        </is>
      </c>
      <c r="I2337" s="4" t="n">
        <v>2</v>
      </c>
      <c r="J2337" s="4" t="n">
        <v>51600</v>
      </c>
      <c r="K2337" s="4">
        <f>I2337*J2337</f>
        <v/>
      </c>
      <c r="L2337" t="inlineStr"/>
    </row>
    <row r="2338">
      <c r="A2338" t="inlineStr">
        <is>
          <t>SR098</t>
        </is>
      </c>
      <c r="B2338" t="inlineStr">
        <is>
          <t>営業担当098</t>
        </is>
      </c>
      <c r="C2338" t="inlineStr">
        <is>
          <t>第3営業部</t>
        </is>
      </c>
      <c r="D2338" s="3" t="n">
        <v>45825</v>
      </c>
      <c r="E2338" t="inlineStr">
        <is>
          <t>桜井メディカル株式会社</t>
        </is>
      </c>
      <c r="F2338" t="inlineStr">
        <is>
          <t>広島県</t>
        </is>
      </c>
      <c r="G2338" t="inlineStr">
        <is>
          <t>ソフトウェア</t>
        </is>
      </c>
      <c r="H2338" t="inlineStr">
        <is>
          <t>在庫管理クラウド</t>
        </is>
      </c>
      <c r="I2338" s="4" t="n">
        <v>1</v>
      </c>
      <c r="J2338" s="4" t="n">
        <v>288900</v>
      </c>
      <c r="K2338" s="4">
        <f>I2338*J2338</f>
        <v/>
      </c>
      <c r="L2338" t="inlineStr">
        <is>
          <t>キャンペーン適用</t>
        </is>
      </c>
    </row>
    <row r="2339">
      <c r="A2339" t="inlineStr">
        <is>
          <t>SR098</t>
        </is>
      </c>
      <c r="B2339" t="inlineStr">
        <is>
          <t>営業担当098</t>
        </is>
      </c>
      <c r="C2339" t="inlineStr">
        <is>
          <t>第3営業部</t>
        </is>
      </c>
      <c r="D2339" s="3" t="n">
        <v>45852</v>
      </c>
      <c r="E2339" t="inlineStr">
        <is>
          <t>アーク電機株式会社</t>
        </is>
      </c>
      <c r="F2339" t="inlineStr">
        <is>
          <t>神奈川県</t>
        </is>
      </c>
      <c r="G2339" t="inlineStr">
        <is>
          <t>保守サービス</t>
        </is>
      </c>
      <c r="H2339" t="inlineStr">
        <is>
          <t>ヘルプデスク契約</t>
        </is>
      </c>
      <c r="I2339" s="4" t="n">
        <v>5</v>
      </c>
      <c r="J2339" s="4" t="n">
        <v>38500</v>
      </c>
      <c r="K2339" s="4">
        <f>I2339*J2339</f>
        <v/>
      </c>
      <c r="L2339" t="inlineStr"/>
    </row>
    <row r="2340">
      <c r="A2340" t="inlineStr">
        <is>
          <t>SR098</t>
        </is>
      </c>
      <c r="B2340" t="inlineStr">
        <is>
          <t>営業担当098</t>
        </is>
      </c>
      <c r="C2340" t="inlineStr">
        <is>
          <t>第3営業部</t>
        </is>
      </c>
      <c r="D2340" s="3" t="n">
        <v>45852</v>
      </c>
      <c r="E2340" t="inlineStr">
        <is>
          <t>北斗産業株式会社</t>
        </is>
      </c>
      <c r="F2340" t="inlineStr">
        <is>
          <t>東京都</t>
        </is>
      </c>
      <c r="G2340" t="inlineStr">
        <is>
          <t>保守サービス</t>
        </is>
      </c>
      <c r="H2340" t="inlineStr">
        <is>
          <t>年間保守契約</t>
        </is>
      </c>
      <c r="I2340" s="4" t="n">
        <v>5</v>
      </c>
      <c r="J2340" s="4" t="n">
        <v>94200</v>
      </c>
      <c r="K2340" s="4">
        <f>I2340*J2340</f>
        <v/>
      </c>
      <c r="L2340" t="inlineStr">
        <is>
          <t>大型案件</t>
        </is>
      </c>
    </row>
    <row r="2341">
      <c r="A2341" t="inlineStr">
        <is>
          <t>SR098</t>
        </is>
      </c>
      <c r="B2341" t="inlineStr">
        <is>
          <t>営業担当098</t>
        </is>
      </c>
      <c r="C2341" t="inlineStr">
        <is>
          <t>第3営業部</t>
        </is>
      </c>
      <c r="D2341" s="3" t="n">
        <v>45881</v>
      </c>
      <c r="E2341" t="inlineStr">
        <is>
          <t>ライトホーム有限会社</t>
        </is>
      </c>
      <c r="F2341" t="inlineStr">
        <is>
          <t>京都府</t>
        </is>
      </c>
      <c r="G2341" t="inlineStr">
        <is>
          <t>消耗品</t>
        </is>
      </c>
      <c r="H2341" t="inlineStr">
        <is>
          <t>交換用ヘッド</t>
        </is>
      </c>
      <c r="I2341" s="4" t="n">
        <v>15</v>
      </c>
      <c r="J2341" s="4" t="n">
        <v>35940</v>
      </c>
      <c r="K2341" s="4">
        <f>I2341*J2341</f>
        <v/>
      </c>
      <c r="L2341" t="inlineStr">
        <is>
          <t>分納</t>
        </is>
      </c>
    </row>
    <row r="2342">
      <c r="A2342" t="inlineStr">
        <is>
          <t>SR098</t>
        </is>
      </c>
      <c r="B2342" t="inlineStr">
        <is>
          <t>営業担当098</t>
        </is>
      </c>
      <c r="C2342" t="inlineStr">
        <is>
          <t>第3営業部</t>
        </is>
      </c>
      <c r="D2342" s="3" t="n">
        <v>45895</v>
      </c>
      <c r="E2342" t="inlineStr">
        <is>
          <t>中央設備株式会社</t>
        </is>
      </c>
      <c r="F2342" t="inlineStr">
        <is>
          <t>広島県</t>
        </is>
      </c>
      <c r="G2342" t="inlineStr">
        <is>
          <t>消耗品</t>
        </is>
      </c>
      <c r="H2342" t="inlineStr">
        <is>
          <t>保守用バッテリー</t>
        </is>
      </c>
      <c r="I2342" s="4" t="n">
        <v>11</v>
      </c>
      <c r="J2342" s="4" t="n">
        <v>15370</v>
      </c>
      <c r="K2342" s="4">
        <f>I2342*J2342</f>
        <v/>
      </c>
      <c r="L2342" t="inlineStr"/>
    </row>
    <row r="2343">
      <c r="A2343" t="inlineStr">
        <is>
          <t>SR098</t>
        </is>
      </c>
      <c r="B2343" t="inlineStr">
        <is>
          <t>営業担当098</t>
        </is>
      </c>
      <c r="C2343" t="inlineStr">
        <is>
          <t>第3営業部</t>
        </is>
      </c>
      <c r="D2343" s="3" t="n">
        <v>45905</v>
      </c>
      <c r="E2343" t="inlineStr">
        <is>
          <t>中央設備株式会社</t>
        </is>
      </c>
      <c r="F2343" t="inlineStr">
        <is>
          <t>広島県</t>
        </is>
      </c>
      <c r="G2343" t="inlineStr">
        <is>
          <t>ソフトウェア</t>
        </is>
      </c>
      <c r="H2343" t="inlineStr">
        <is>
          <t>帳票自動化ツール</t>
        </is>
      </c>
      <c r="I2343" s="4" t="n">
        <v>5</v>
      </c>
      <c r="J2343" s="4" t="n">
        <v>162500</v>
      </c>
      <c r="K2343" s="4">
        <f>I2343*J2343</f>
        <v/>
      </c>
      <c r="L2343" t="inlineStr"/>
    </row>
    <row r="2344">
      <c r="A2344" t="inlineStr">
        <is>
          <t>SR098</t>
        </is>
      </c>
      <c r="B2344" t="inlineStr">
        <is>
          <t>営業担当098</t>
        </is>
      </c>
      <c r="C2344" t="inlineStr">
        <is>
          <t>第3営業部</t>
        </is>
      </c>
      <c r="D2344" s="3" t="n">
        <v>45909</v>
      </c>
      <c r="E2344" t="inlineStr">
        <is>
          <t>北斗産業株式会社</t>
        </is>
      </c>
      <c r="F2344" t="inlineStr">
        <is>
          <t>神奈川県</t>
        </is>
      </c>
      <c r="G2344" t="inlineStr">
        <is>
          <t>消耗品</t>
        </is>
      </c>
      <c r="H2344" t="inlineStr">
        <is>
          <t>ラベルロール</t>
        </is>
      </c>
      <c r="I2344" s="4" t="n">
        <v>9</v>
      </c>
      <c r="J2344" s="4" t="n">
        <v>3590</v>
      </c>
      <c r="K2344" s="4">
        <f>I2344*J2344</f>
        <v/>
      </c>
      <c r="L2344" t="inlineStr">
        <is>
          <t>リピート受注</t>
        </is>
      </c>
    </row>
    <row r="2345">
      <c r="A2345" t="inlineStr">
        <is>
          <t>SR098</t>
        </is>
      </c>
      <c r="B2345" t="inlineStr">
        <is>
          <t>営業担当098</t>
        </is>
      </c>
      <c r="C2345" t="inlineStr">
        <is>
          <t>第3営業部</t>
        </is>
      </c>
      <c r="D2345" s="3" t="n">
        <v>45948</v>
      </c>
      <c r="E2345" t="inlineStr">
        <is>
          <t>日新サービス(株)</t>
        </is>
      </c>
      <c r="F2345" t="inlineStr">
        <is>
          <t>神奈川県</t>
        </is>
      </c>
      <c r="G2345" t="inlineStr">
        <is>
          <t>消耗品</t>
        </is>
      </c>
      <c r="H2345" t="inlineStr">
        <is>
          <t>ラベルロール</t>
        </is>
      </c>
      <c r="I2345" s="4" t="n">
        <v>3</v>
      </c>
      <c r="J2345" s="4" t="n">
        <v>4660</v>
      </c>
      <c r="K2345" s="4">
        <f>I2345*J2345</f>
        <v/>
      </c>
      <c r="L2345" t="inlineStr">
        <is>
          <t>分納</t>
        </is>
      </c>
    </row>
    <row r="2346">
      <c r="A2346" t="inlineStr">
        <is>
          <t>SR098</t>
        </is>
      </c>
      <c r="B2346" t="inlineStr">
        <is>
          <t>営業担当098</t>
        </is>
      </c>
      <c r="C2346" t="inlineStr">
        <is>
          <t>第3営業部</t>
        </is>
      </c>
      <c r="D2346" s="3" t="n">
        <v>45949</v>
      </c>
      <c r="E2346" t="inlineStr">
        <is>
          <t>青葉商事(株)</t>
        </is>
      </c>
      <c r="F2346" t="inlineStr">
        <is>
          <t>愛知県</t>
        </is>
      </c>
      <c r="G2346" t="inlineStr">
        <is>
          <t>ソフトウェア</t>
        </is>
      </c>
      <c r="H2346" t="inlineStr">
        <is>
          <t>帳票自動化ツール</t>
        </is>
      </c>
      <c r="I2346" s="4" t="n">
        <v>2</v>
      </c>
      <c r="J2346" s="4" t="n">
        <v>167300</v>
      </c>
      <c r="K2346" s="4">
        <f>I2346*J2346</f>
        <v/>
      </c>
      <c r="L2346" t="inlineStr">
        <is>
          <t>リピート受注</t>
        </is>
      </c>
    </row>
    <row r="2347">
      <c r="A2347" t="inlineStr">
        <is>
          <t>SR098</t>
        </is>
      </c>
      <c r="B2347" t="inlineStr">
        <is>
          <t>営業担当098</t>
        </is>
      </c>
      <c r="C2347" t="inlineStr">
        <is>
          <t>第3営業部</t>
        </is>
      </c>
      <c r="D2347" s="3" t="n">
        <v>45973</v>
      </c>
      <c r="E2347" t="inlineStr">
        <is>
          <t>大和精機有限会社</t>
        </is>
      </c>
      <c r="F2347" t="inlineStr">
        <is>
          <t>愛知県</t>
        </is>
      </c>
      <c r="G2347" t="inlineStr">
        <is>
          <t>消耗品</t>
        </is>
      </c>
      <c r="H2347" t="inlineStr">
        <is>
          <t>保守用バッテリー</t>
        </is>
      </c>
      <c r="I2347" s="4" t="n">
        <v>9</v>
      </c>
      <c r="J2347" s="4" t="n">
        <v>13450</v>
      </c>
      <c r="K2347" s="4">
        <f>I2347*J2347</f>
        <v/>
      </c>
      <c r="L2347" t="inlineStr">
        <is>
          <t>分納</t>
        </is>
      </c>
    </row>
    <row r="2348">
      <c r="A2348" t="inlineStr">
        <is>
          <t>SR098</t>
        </is>
      </c>
      <c r="B2348" t="inlineStr">
        <is>
          <t>営業担当098</t>
        </is>
      </c>
      <c r="C2348" t="inlineStr">
        <is>
          <t>第3営業部</t>
        </is>
      </c>
      <c r="D2348" s="3" t="n">
        <v>45981</v>
      </c>
      <c r="E2348" t="inlineStr">
        <is>
          <t>ライトホーム有限会社</t>
        </is>
      </c>
      <c r="F2348" t="inlineStr">
        <is>
          <t>東京都</t>
        </is>
      </c>
      <c r="G2348" t="inlineStr">
        <is>
          <t>消耗品</t>
        </is>
      </c>
      <c r="H2348" t="inlineStr">
        <is>
          <t>保守用バッテリー</t>
        </is>
      </c>
      <c r="I2348" s="4" t="n">
        <v>11</v>
      </c>
      <c r="J2348" s="4" t="n">
        <v>18040</v>
      </c>
      <c r="K2348" s="4">
        <f>I2348*J2348</f>
        <v/>
      </c>
      <c r="L2348" t="inlineStr">
        <is>
          <t>分納</t>
        </is>
      </c>
    </row>
    <row r="2349">
      <c r="A2349" t="inlineStr">
        <is>
          <t>SR098</t>
        </is>
      </c>
      <c r="B2349" t="inlineStr">
        <is>
          <t>営業担当098</t>
        </is>
      </c>
      <c r="C2349" t="inlineStr">
        <is>
          <t>第3営業部</t>
        </is>
      </c>
      <c r="D2349" s="3" t="n">
        <v>45992</v>
      </c>
      <c r="E2349" t="inlineStr">
        <is>
          <t>九州エナジー株式会社</t>
        </is>
      </c>
      <c r="F2349" t="inlineStr">
        <is>
          <t>東京都</t>
        </is>
      </c>
      <c r="G2349" t="inlineStr">
        <is>
          <t>ソフトウェア</t>
        </is>
      </c>
      <c r="H2349" t="inlineStr">
        <is>
          <t>帳票自動化ツール</t>
        </is>
      </c>
      <c r="I2349" s="4" t="n">
        <v>5</v>
      </c>
      <c r="J2349" s="4" t="n">
        <v>169100</v>
      </c>
      <c r="K2349" s="4">
        <f>I2349*J2349</f>
        <v/>
      </c>
      <c r="L2349" t="inlineStr">
        <is>
          <t>キャンペーン適用</t>
        </is>
      </c>
    </row>
    <row r="2350">
      <c r="A2350" t="inlineStr">
        <is>
          <t>SR098</t>
        </is>
      </c>
      <c r="B2350" t="inlineStr">
        <is>
          <t>営業担当098</t>
        </is>
      </c>
      <c r="C2350" t="inlineStr">
        <is>
          <t>第3営業部</t>
        </is>
      </c>
      <c r="D2350" s="3" t="n">
        <v>46004</v>
      </c>
      <c r="E2350" t="inlineStr">
        <is>
          <t>ライトホーム有限会社</t>
        </is>
      </c>
      <c r="F2350" t="inlineStr">
        <is>
          <t>広島県</t>
        </is>
      </c>
      <c r="G2350" t="inlineStr">
        <is>
          <t>ハードウェア</t>
        </is>
      </c>
      <c r="H2350" t="inlineStr">
        <is>
          <t>産業用タブレット</t>
        </is>
      </c>
      <c r="I2350" s="4" t="n">
        <v>2</v>
      </c>
      <c r="J2350" s="4" t="n">
        <v>115400</v>
      </c>
      <c r="K2350" s="4">
        <f>I2350*J2350</f>
        <v/>
      </c>
      <c r="L2350" t="inlineStr">
        <is>
          <t>分納</t>
        </is>
      </c>
    </row>
    <row r="2351">
      <c r="A2351" t="inlineStr">
        <is>
          <t>SR098</t>
        </is>
      </c>
      <c r="B2351" t="inlineStr">
        <is>
          <t>営業担当098</t>
        </is>
      </c>
      <c r="C2351" t="inlineStr">
        <is>
          <t>第3営業部</t>
        </is>
      </c>
      <c r="D2351" s="3" t="n">
        <v>46038</v>
      </c>
      <c r="E2351" t="inlineStr">
        <is>
          <t>オーシャン製作所(株)</t>
        </is>
      </c>
      <c r="F2351" t="inlineStr">
        <is>
          <t>大阪府</t>
        </is>
      </c>
      <c r="G2351" t="inlineStr">
        <is>
          <t>ハードウェア</t>
        </is>
      </c>
      <c r="H2351" t="inlineStr">
        <is>
          <t>小型ハンディ端末</t>
        </is>
      </c>
      <c r="I2351" s="4" t="n">
        <v>4</v>
      </c>
      <c r="J2351" s="4" t="n">
        <v>53700</v>
      </c>
      <c r="K2351" s="4">
        <f>I2351*J2351</f>
        <v/>
      </c>
      <c r="L2351" t="inlineStr">
        <is>
          <t>リピート受注</t>
        </is>
      </c>
    </row>
    <row r="2352">
      <c r="A2352" t="inlineStr">
        <is>
          <t>SR098</t>
        </is>
      </c>
      <c r="B2352" t="inlineStr">
        <is>
          <t>営業担当098</t>
        </is>
      </c>
      <c r="C2352" t="inlineStr">
        <is>
          <t>第3営業部</t>
        </is>
      </c>
      <c r="D2352" s="3" t="n">
        <v>46044</v>
      </c>
      <c r="E2352" t="inlineStr">
        <is>
          <t>中央設備(株)</t>
        </is>
      </c>
      <c r="F2352" t="inlineStr">
        <is>
          <t>宮城県</t>
        </is>
      </c>
      <c r="G2352" t="inlineStr">
        <is>
          <t>消耗品</t>
        </is>
      </c>
      <c r="H2352" t="inlineStr">
        <is>
          <t>交換用ヘッド</t>
        </is>
      </c>
      <c r="I2352" s="4" t="n">
        <v>12</v>
      </c>
      <c r="J2352" s="4" t="n">
        <v>23980</v>
      </c>
      <c r="K2352" s="4">
        <f>I2352*J2352</f>
        <v/>
      </c>
      <c r="L2352" t="inlineStr"/>
    </row>
    <row r="2353">
      <c r="A2353" t="inlineStr">
        <is>
          <t>SR098</t>
        </is>
      </c>
      <c r="B2353" t="inlineStr">
        <is>
          <t>営業担当098</t>
        </is>
      </c>
      <c r="C2353" t="inlineStr">
        <is>
          <t>第3営業部</t>
        </is>
      </c>
      <c r="D2353" s="3" t="n">
        <v>46067</v>
      </c>
      <c r="E2353" t="inlineStr">
        <is>
          <t>日新サービス株式会社</t>
        </is>
      </c>
      <c r="F2353" t="inlineStr">
        <is>
          <t>福岡県</t>
        </is>
      </c>
      <c r="G2353" t="inlineStr">
        <is>
          <t>ハードウェア</t>
        </is>
      </c>
      <c r="H2353" t="inlineStr">
        <is>
          <t>ネットワークカメラ</t>
        </is>
      </c>
      <c r="I2353" s="4" t="n">
        <v>3</v>
      </c>
      <c r="J2353" s="4" t="n">
        <v>29000</v>
      </c>
      <c r="K2353" s="4">
        <f>I2353*J2353</f>
        <v/>
      </c>
      <c r="L2353" t="inlineStr">
        <is>
          <t>分納</t>
        </is>
      </c>
    </row>
    <row r="2354">
      <c r="A2354" t="inlineStr">
        <is>
          <t>SR098</t>
        </is>
      </c>
      <c r="B2354" t="inlineStr">
        <is>
          <t>営業担当098</t>
        </is>
      </c>
      <c r="C2354" t="inlineStr">
        <is>
          <t>第3営業部</t>
        </is>
      </c>
      <c r="D2354" s="3" t="n">
        <v>46073</v>
      </c>
      <c r="E2354" t="inlineStr">
        <is>
          <t>日新サービス株式会社</t>
        </is>
      </c>
      <c r="F2354" t="inlineStr">
        <is>
          <t>大阪府</t>
        </is>
      </c>
      <c r="G2354" t="inlineStr">
        <is>
          <t>ハードウェア</t>
        </is>
      </c>
      <c r="H2354" t="inlineStr">
        <is>
          <t>ネットワークカメラ</t>
        </is>
      </c>
      <c r="I2354" s="4" t="n">
        <v>5</v>
      </c>
      <c r="J2354" s="4" t="n">
        <v>51600</v>
      </c>
      <c r="K2354" s="4">
        <f>I2354*J2354</f>
        <v/>
      </c>
      <c r="L2354" t="inlineStr"/>
    </row>
    <row r="2355">
      <c r="A2355" t="inlineStr">
        <is>
          <t>SR098</t>
        </is>
      </c>
      <c r="B2355" t="inlineStr">
        <is>
          <t>営業担当098</t>
        </is>
      </c>
      <c r="C2355" t="inlineStr">
        <is>
          <t>第3営業部</t>
        </is>
      </c>
      <c r="D2355" s="3" t="n">
        <v>46097</v>
      </c>
      <c r="E2355" t="inlineStr">
        <is>
          <t>星和商会(株)</t>
        </is>
      </c>
      <c r="F2355" t="inlineStr">
        <is>
          <t>愛知県</t>
        </is>
      </c>
      <c r="G2355" t="inlineStr">
        <is>
          <t>ハードウェア</t>
        </is>
      </c>
      <c r="H2355" t="inlineStr">
        <is>
          <t>小型ハンディ端末</t>
        </is>
      </c>
      <c r="I2355" s="4" t="n">
        <v>3</v>
      </c>
      <c r="J2355" s="4" t="n">
        <v>89700</v>
      </c>
      <c r="K2355" s="4">
        <f>I2355*J2355</f>
        <v/>
      </c>
      <c r="L2355" t="inlineStr"/>
    </row>
    <row r="2356">
      <c r="A2356" t="inlineStr">
        <is>
          <t>SR098</t>
        </is>
      </c>
      <c r="B2356" t="inlineStr">
        <is>
          <t>営業担当098</t>
        </is>
      </c>
      <c r="C2356" t="inlineStr">
        <is>
          <t>第3営業部</t>
        </is>
      </c>
      <c r="D2356" s="3" t="n">
        <v>46101</v>
      </c>
      <c r="E2356" t="inlineStr">
        <is>
          <t>アーク電機有限会社</t>
        </is>
      </c>
      <c r="F2356" t="inlineStr">
        <is>
          <t>京都府</t>
        </is>
      </c>
      <c r="G2356" t="inlineStr">
        <is>
          <t>ハードウェア</t>
        </is>
      </c>
      <c r="H2356" t="inlineStr">
        <is>
          <t>ネットワークカメラ</t>
        </is>
      </c>
      <c r="I2356" s="4" t="n">
        <v>4</v>
      </c>
      <c r="J2356" s="4" t="n">
        <v>72800</v>
      </c>
      <c r="K2356" s="4">
        <f>I2356*J2356</f>
        <v/>
      </c>
      <c r="L2356" t="inlineStr"/>
    </row>
    <row r="2357">
      <c r="A2357" t="inlineStr">
        <is>
          <t>SR099</t>
        </is>
      </c>
      <c r="B2357" t="inlineStr">
        <is>
          <t>営業担当099</t>
        </is>
      </c>
      <c r="C2357" t="inlineStr">
        <is>
          <t>パートナー営業部</t>
        </is>
      </c>
      <c r="D2357" s="3" t="n">
        <v>45756</v>
      </c>
      <c r="E2357" t="inlineStr">
        <is>
          <t>北斗産業有限会社</t>
        </is>
      </c>
      <c r="F2357" t="inlineStr">
        <is>
          <t>北海道</t>
        </is>
      </c>
      <c r="G2357" t="inlineStr">
        <is>
          <t>ハードウェア</t>
        </is>
      </c>
      <c r="H2357" t="inlineStr">
        <is>
          <t>産業用タブレット</t>
        </is>
      </c>
      <c r="I2357" s="4" t="n">
        <v>3</v>
      </c>
      <c r="J2357" s="4" t="n">
        <v>77000</v>
      </c>
      <c r="K2357" s="4">
        <f>I2357*J2357</f>
        <v/>
      </c>
      <c r="L2357" t="inlineStr">
        <is>
          <t>キャンペーン適用</t>
        </is>
      </c>
    </row>
    <row r="2358">
      <c r="A2358" t="inlineStr">
        <is>
          <t>SR099</t>
        </is>
      </c>
      <c r="B2358" t="inlineStr">
        <is>
          <t>営業担当099</t>
        </is>
      </c>
      <c r="C2358" t="inlineStr">
        <is>
          <t>パートナー営業部</t>
        </is>
      </c>
      <c r="D2358" s="3" t="n">
        <v>45763</v>
      </c>
      <c r="E2358" t="inlineStr">
        <is>
          <t>アーク電機株式会社</t>
        </is>
      </c>
      <c r="F2358" t="inlineStr">
        <is>
          <t>北海道</t>
        </is>
      </c>
      <c r="G2358" t="inlineStr">
        <is>
          <t>ハードウェア</t>
        </is>
      </c>
      <c r="H2358" t="inlineStr">
        <is>
          <t>小型ハンディ端末</t>
        </is>
      </c>
      <c r="I2358" s="4" t="n">
        <v>1</v>
      </c>
      <c r="J2358" s="4" t="n">
        <v>71000</v>
      </c>
      <c r="K2358" s="4">
        <f>I2358*J2358</f>
        <v/>
      </c>
      <c r="L2358" t="inlineStr">
        <is>
          <t>新規開拓</t>
        </is>
      </c>
    </row>
    <row r="2359">
      <c r="A2359" t="inlineStr">
        <is>
          <t>SR099</t>
        </is>
      </c>
      <c r="B2359" t="inlineStr">
        <is>
          <t>営業担当099</t>
        </is>
      </c>
      <c r="C2359" t="inlineStr">
        <is>
          <t>パートナー営業部</t>
        </is>
      </c>
      <c r="D2359" s="3" t="n">
        <v>45781</v>
      </c>
      <c r="E2359" t="inlineStr">
        <is>
          <t>福岡流通(株)</t>
        </is>
      </c>
      <c r="F2359" t="inlineStr">
        <is>
          <t>東京都</t>
        </is>
      </c>
      <c r="G2359" t="inlineStr">
        <is>
          <t>導入支援</t>
        </is>
      </c>
      <c r="H2359" t="inlineStr">
        <is>
          <t>操作研修パック</t>
        </is>
      </c>
      <c r="I2359" s="4" t="n">
        <v>2</v>
      </c>
      <c r="J2359" s="4" t="n">
        <v>66200</v>
      </c>
      <c r="K2359" s="4">
        <f>I2359*J2359</f>
        <v/>
      </c>
      <c r="L2359" t="inlineStr">
        <is>
          <t>分納</t>
        </is>
      </c>
    </row>
    <row r="2360">
      <c r="A2360" t="inlineStr">
        <is>
          <t>SR099</t>
        </is>
      </c>
      <c r="B2360" t="inlineStr">
        <is>
          <t>営業担当099</t>
        </is>
      </c>
      <c r="C2360" t="inlineStr">
        <is>
          <t>パートナー営業部</t>
        </is>
      </c>
      <c r="D2360" s="3" t="n">
        <v>45795</v>
      </c>
      <c r="E2360" t="inlineStr">
        <is>
          <t>大和精機株式会社</t>
        </is>
      </c>
      <c r="F2360" t="inlineStr">
        <is>
          <t>宮城県</t>
        </is>
      </c>
      <c r="G2360" t="inlineStr">
        <is>
          <t>保守サービス</t>
        </is>
      </c>
      <c r="H2360" t="inlineStr">
        <is>
          <t>ヘルプデスク契約</t>
        </is>
      </c>
      <c r="I2360" s="4" t="n">
        <v>1</v>
      </c>
      <c r="J2360" s="4" t="n">
        <v>52900</v>
      </c>
      <c r="K2360" s="4">
        <f>I2360*J2360</f>
        <v/>
      </c>
      <c r="L2360" t="inlineStr">
        <is>
          <t>新規開拓</t>
        </is>
      </c>
    </row>
    <row r="2361">
      <c r="A2361" t="inlineStr">
        <is>
          <t>SR099</t>
        </is>
      </c>
      <c r="B2361" t="inlineStr">
        <is>
          <t>営業担当099</t>
        </is>
      </c>
      <c r="C2361" t="inlineStr">
        <is>
          <t>パートナー営業部</t>
        </is>
      </c>
      <c r="D2361" s="3" t="n">
        <v>45817</v>
      </c>
      <c r="E2361" t="inlineStr">
        <is>
          <t>サンライズ建設(株)</t>
        </is>
      </c>
      <c r="F2361" t="inlineStr">
        <is>
          <t>福岡県</t>
        </is>
      </c>
      <c r="G2361" t="inlineStr">
        <is>
          <t>保守サービス</t>
        </is>
      </c>
      <c r="H2361" t="inlineStr">
        <is>
          <t>年間保守契約</t>
        </is>
      </c>
      <c r="I2361" s="4" t="n">
        <v>5</v>
      </c>
      <c r="J2361" s="4" t="n">
        <v>99800</v>
      </c>
      <c r="K2361" s="4">
        <f>I2361*J2361</f>
        <v/>
      </c>
      <c r="L2361" t="inlineStr">
        <is>
          <t>キャンペーン適用</t>
        </is>
      </c>
    </row>
    <row r="2362">
      <c r="A2362" t="inlineStr">
        <is>
          <t>SR099</t>
        </is>
      </c>
      <c r="B2362" t="inlineStr">
        <is>
          <t>営業担当099</t>
        </is>
      </c>
      <c r="C2362" t="inlineStr">
        <is>
          <t>パートナー営業部</t>
        </is>
      </c>
      <c r="D2362" s="3" t="n">
        <v>45818</v>
      </c>
      <c r="E2362" t="inlineStr">
        <is>
          <t>九州エナジー有限会社</t>
        </is>
      </c>
      <c r="F2362" t="inlineStr">
        <is>
          <t>愛知県</t>
        </is>
      </c>
      <c r="G2362" t="inlineStr">
        <is>
          <t>保守サービス</t>
        </is>
      </c>
      <c r="H2362" t="inlineStr">
        <is>
          <t>ヘルプデスク契約</t>
        </is>
      </c>
      <c r="I2362" s="4" t="n">
        <v>4</v>
      </c>
      <c r="J2362" s="4" t="n">
        <v>72200</v>
      </c>
      <c r="K2362" s="4">
        <f>I2362*J2362</f>
        <v/>
      </c>
      <c r="L2362" t="inlineStr"/>
    </row>
    <row r="2363">
      <c r="A2363" t="inlineStr">
        <is>
          <t>SR099</t>
        </is>
      </c>
      <c r="B2363" t="inlineStr">
        <is>
          <t>営業担当099</t>
        </is>
      </c>
      <c r="C2363" t="inlineStr">
        <is>
          <t>パートナー営業部</t>
        </is>
      </c>
      <c r="D2363" s="3" t="n">
        <v>45849</v>
      </c>
      <c r="E2363" t="inlineStr">
        <is>
          <t>北斗産業株式会社</t>
        </is>
      </c>
      <c r="F2363" t="inlineStr">
        <is>
          <t>神奈川県</t>
        </is>
      </c>
      <c r="G2363" t="inlineStr">
        <is>
          <t>保守サービス</t>
        </is>
      </c>
      <c r="H2363" t="inlineStr">
        <is>
          <t>年間保守契約</t>
        </is>
      </c>
      <c r="I2363" s="4" t="n">
        <v>5</v>
      </c>
      <c r="J2363" s="4" t="n">
        <v>230500</v>
      </c>
      <c r="K2363" s="4">
        <f>I2363*J2363</f>
        <v/>
      </c>
      <c r="L2363" t="inlineStr">
        <is>
          <t>キャンペーン適用</t>
        </is>
      </c>
    </row>
    <row r="2364">
      <c r="A2364" t="inlineStr">
        <is>
          <t>SR099</t>
        </is>
      </c>
      <c r="B2364" t="inlineStr">
        <is>
          <t>営業担当099</t>
        </is>
      </c>
      <c r="C2364" t="inlineStr">
        <is>
          <t>パートナー営業部</t>
        </is>
      </c>
      <c r="D2364" s="3" t="n">
        <v>45863</v>
      </c>
      <c r="E2364" t="inlineStr">
        <is>
          <t>白峰化学有限会社</t>
        </is>
      </c>
      <c r="F2364" t="inlineStr">
        <is>
          <t>宮城県</t>
        </is>
      </c>
      <c r="G2364" t="inlineStr">
        <is>
          <t>ハードウェア</t>
        </is>
      </c>
      <c r="H2364" t="inlineStr">
        <is>
          <t>ラベルプリンター</t>
        </is>
      </c>
      <c r="I2364" s="4" t="n">
        <v>1</v>
      </c>
      <c r="J2364" s="4" t="n">
        <v>83300</v>
      </c>
      <c r="K2364" s="4">
        <f>I2364*J2364</f>
        <v/>
      </c>
      <c r="L2364" t="inlineStr">
        <is>
          <t>キャンペーン適用</t>
        </is>
      </c>
    </row>
    <row r="2365">
      <c r="A2365" t="inlineStr">
        <is>
          <t>SR099</t>
        </is>
      </c>
      <c r="B2365" t="inlineStr">
        <is>
          <t>営業担当099</t>
        </is>
      </c>
      <c r="C2365" t="inlineStr">
        <is>
          <t>パートナー営業部</t>
        </is>
      </c>
      <c r="D2365" s="3" t="n">
        <v>45892</v>
      </c>
      <c r="E2365" t="inlineStr">
        <is>
          <t>サンライズ建設有限会社</t>
        </is>
      </c>
      <c r="F2365" t="inlineStr">
        <is>
          <t>宮城県</t>
        </is>
      </c>
      <c r="G2365" t="inlineStr">
        <is>
          <t>導入支援</t>
        </is>
      </c>
      <c r="H2365" t="inlineStr">
        <is>
          <t>操作研修パック</t>
        </is>
      </c>
      <c r="I2365" s="4" t="n">
        <v>2</v>
      </c>
      <c r="J2365" s="4" t="n">
        <v>84200</v>
      </c>
      <c r="K2365" s="4">
        <f>I2365*J2365</f>
        <v/>
      </c>
      <c r="L2365" t="inlineStr">
        <is>
          <t>キャンペーン適用</t>
        </is>
      </c>
    </row>
    <row r="2366">
      <c r="A2366" t="inlineStr">
        <is>
          <t>SR099</t>
        </is>
      </c>
      <c r="B2366" t="inlineStr">
        <is>
          <t>営業担当099</t>
        </is>
      </c>
      <c r="C2366" t="inlineStr">
        <is>
          <t>パートナー営業部</t>
        </is>
      </c>
      <c r="D2366" s="3" t="n">
        <v>45897</v>
      </c>
      <c r="E2366" t="inlineStr">
        <is>
          <t>みらい物流(株)</t>
        </is>
      </c>
      <c r="F2366" t="inlineStr">
        <is>
          <t>広島県</t>
        </is>
      </c>
      <c r="G2366" t="inlineStr">
        <is>
          <t>ソフトウェア</t>
        </is>
      </c>
      <c r="H2366" t="inlineStr">
        <is>
          <t>営業支援SaaS</t>
        </is>
      </c>
      <c r="I2366" s="4" t="n">
        <v>3</v>
      </c>
      <c r="J2366" s="4" t="n">
        <v>340400</v>
      </c>
      <c r="K2366" s="4">
        <f>I2366*J2366</f>
        <v/>
      </c>
      <c r="L2366" t="inlineStr">
        <is>
          <t>値引き調整あり</t>
        </is>
      </c>
    </row>
    <row r="2367">
      <c r="A2367" t="inlineStr">
        <is>
          <t>SR099</t>
        </is>
      </c>
      <c r="B2367" t="inlineStr">
        <is>
          <t>営業担当099</t>
        </is>
      </c>
      <c r="C2367" t="inlineStr">
        <is>
          <t>パートナー営業部</t>
        </is>
      </c>
      <c r="D2367" s="3" t="n">
        <v>45901</v>
      </c>
      <c r="E2367" t="inlineStr">
        <is>
          <t>未来通信(株)</t>
        </is>
      </c>
      <c r="F2367" t="inlineStr">
        <is>
          <t>京都府</t>
        </is>
      </c>
      <c r="G2367" t="inlineStr">
        <is>
          <t>保守サービス</t>
        </is>
      </c>
      <c r="H2367" t="inlineStr">
        <is>
          <t>年間保守契約</t>
        </is>
      </c>
      <c r="I2367" s="4" t="n">
        <v>1</v>
      </c>
      <c r="J2367" s="4" t="n">
        <v>241800</v>
      </c>
      <c r="K2367" s="4">
        <f>I2367*J2367</f>
        <v/>
      </c>
      <c r="L2367" t="inlineStr"/>
    </row>
    <row r="2368">
      <c r="A2368" t="inlineStr">
        <is>
          <t>SR099</t>
        </is>
      </c>
      <c r="B2368" t="inlineStr">
        <is>
          <t>営業担当099</t>
        </is>
      </c>
      <c r="C2368" t="inlineStr">
        <is>
          <t>パートナー営業部</t>
        </is>
      </c>
      <c r="D2368" s="3" t="n">
        <v>45921</v>
      </c>
      <c r="E2368" t="inlineStr">
        <is>
          <t>北斗産業有限会社</t>
        </is>
      </c>
      <c r="F2368" t="inlineStr">
        <is>
          <t>京都府</t>
        </is>
      </c>
      <c r="G2368" t="inlineStr">
        <is>
          <t>ソフトウェア</t>
        </is>
      </c>
      <c r="H2368" t="inlineStr">
        <is>
          <t>AIチャットボット</t>
        </is>
      </c>
      <c r="I2368" s="4" t="n">
        <v>4</v>
      </c>
      <c r="J2368" s="4" t="n">
        <v>701500</v>
      </c>
      <c r="K2368" s="4">
        <f>I2368*J2368</f>
        <v/>
      </c>
      <c r="L2368" t="inlineStr"/>
    </row>
    <row r="2369">
      <c r="A2369" t="inlineStr">
        <is>
          <t>SR099</t>
        </is>
      </c>
      <c r="B2369" t="inlineStr">
        <is>
          <t>営業担当099</t>
        </is>
      </c>
      <c r="C2369" t="inlineStr">
        <is>
          <t>パートナー営業部</t>
        </is>
      </c>
      <c r="D2369" s="3" t="n">
        <v>45934</v>
      </c>
      <c r="E2369" t="inlineStr">
        <is>
          <t>未来通信株式会社</t>
        </is>
      </c>
      <c r="F2369" t="inlineStr">
        <is>
          <t>広島県</t>
        </is>
      </c>
      <c r="G2369" t="inlineStr">
        <is>
          <t>保守サービス</t>
        </is>
      </c>
      <c r="H2369" t="inlineStr">
        <is>
          <t>オンサイト保守</t>
        </is>
      </c>
      <c r="I2369" s="4" t="n">
        <v>5</v>
      </c>
      <c r="J2369" s="4" t="n">
        <v>61400</v>
      </c>
      <c r="K2369" s="4">
        <f>I2369*J2369</f>
        <v/>
      </c>
      <c r="L2369" t="inlineStr">
        <is>
          <t>大型案件</t>
        </is>
      </c>
    </row>
    <row r="2370">
      <c r="A2370" t="inlineStr">
        <is>
          <t>SR099</t>
        </is>
      </c>
      <c r="B2370" t="inlineStr">
        <is>
          <t>営業担当099</t>
        </is>
      </c>
      <c r="C2370" t="inlineStr">
        <is>
          <t>パートナー営業部</t>
        </is>
      </c>
      <c r="D2370" s="3" t="n">
        <v>45935</v>
      </c>
      <c r="E2370" t="inlineStr">
        <is>
          <t>九州エナジー(株)</t>
        </is>
      </c>
      <c r="F2370" t="inlineStr">
        <is>
          <t>大阪府</t>
        </is>
      </c>
      <c r="G2370" t="inlineStr">
        <is>
          <t>導入支援</t>
        </is>
      </c>
      <c r="H2370" t="inlineStr">
        <is>
          <t>初期設定支援</t>
        </is>
      </c>
      <c r="I2370" s="4" t="n">
        <v>2</v>
      </c>
      <c r="J2370" s="4" t="n">
        <v>122800</v>
      </c>
      <c r="K2370" s="4">
        <f>I2370*J2370</f>
        <v/>
      </c>
      <c r="L2370" t="inlineStr">
        <is>
          <t>大型案件</t>
        </is>
      </c>
    </row>
    <row r="2371">
      <c r="A2371" t="inlineStr">
        <is>
          <t>SR099</t>
        </is>
      </c>
      <c r="B2371" t="inlineStr">
        <is>
          <t>営業担当099</t>
        </is>
      </c>
      <c r="C2371" t="inlineStr">
        <is>
          <t>パートナー営業部</t>
        </is>
      </c>
      <c r="D2371" s="3" t="n">
        <v>45988</v>
      </c>
      <c r="E2371" t="inlineStr">
        <is>
          <t>アーク電機(株)</t>
        </is>
      </c>
      <c r="F2371" t="inlineStr">
        <is>
          <t>京都府</t>
        </is>
      </c>
      <c r="G2371" t="inlineStr">
        <is>
          <t>消耗品</t>
        </is>
      </c>
      <c r="H2371" t="inlineStr">
        <is>
          <t>ラベルロール</t>
        </is>
      </c>
      <c r="I2371" s="4" t="n">
        <v>1</v>
      </c>
      <c r="J2371" s="4" t="n">
        <v>12490</v>
      </c>
      <c r="K2371" s="4">
        <f>I2371*J2371</f>
        <v/>
      </c>
      <c r="L2371" t="inlineStr">
        <is>
          <t>大型案件</t>
        </is>
      </c>
    </row>
    <row r="2372">
      <c r="A2372" t="inlineStr">
        <is>
          <t>SR099</t>
        </is>
      </c>
      <c r="B2372" t="inlineStr">
        <is>
          <t>営業担当099</t>
        </is>
      </c>
      <c r="C2372" t="inlineStr">
        <is>
          <t>パートナー営業部</t>
        </is>
      </c>
      <c r="D2372" s="3" t="n">
        <v>45988</v>
      </c>
      <c r="E2372" t="inlineStr">
        <is>
          <t>オーシャン製作所有限会社</t>
        </is>
      </c>
      <c r="F2372" t="inlineStr">
        <is>
          <t>福岡県</t>
        </is>
      </c>
      <c r="G2372" t="inlineStr">
        <is>
          <t>導入支援</t>
        </is>
      </c>
      <c r="H2372" t="inlineStr">
        <is>
          <t>操作研修パック</t>
        </is>
      </c>
      <c r="I2372" s="4" t="n">
        <v>4</v>
      </c>
      <c r="J2372" s="4" t="n">
        <v>84200</v>
      </c>
      <c r="K2372" s="4">
        <f>I2372*J2372</f>
        <v/>
      </c>
      <c r="L2372" t="inlineStr">
        <is>
          <t>値引き調整あり</t>
        </is>
      </c>
    </row>
    <row r="2373">
      <c r="A2373" t="inlineStr">
        <is>
          <t>SR099</t>
        </is>
      </c>
      <c r="B2373" t="inlineStr">
        <is>
          <t>営業担当099</t>
        </is>
      </c>
      <c r="C2373" t="inlineStr">
        <is>
          <t>パートナー営業部</t>
        </is>
      </c>
      <c r="D2373" s="3" t="n">
        <v>46000</v>
      </c>
      <c r="E2373" t="inlineStr">
        <is>
          <t>九州エナジー(株)</t>
        </is>
      </c>
      <c r="F2373" t="inlineStr">
        <is>
          <t>京都府</t>
        </is>
      </c>
      <c r="G2373" t="inlineStr">
        <is>
          <t>消耗品</t>
        </is>
      </c>
      <c r="H2373" t="inlineStr">
        <is>
          <t>ラベルロール</t>
        </is>
      </c>
      <c r="I2373" s="4" t="n">
        <v>10</v>
      </c>
      <c r="J2373" s="4" t="n">
        <v>3040</v>
      </c>
      <c r="K2373" s="4">
        <f>I2373*J2373</f>
        <v/>
      </c>
      <c r="L2373" t="inlineStr">
        <is>
          <t>キャンペーン適用</t>
        </is>
      </c>
    </row>
    <row r="2374">
      <c r="A2374" t="inlineStr">
        <is>
          <t>SR099</t>
        </is>
      </c>
      <c r="B2374" t="inlineStr">
        <is>
          <t>営業担当099</t>
        </is>
      </c>
      <c r="C2374" t="inlineStr">
        <is>
          <t>パートナー営業部</t>
        </is>
      </c>
      <c r="D2374" s="3" t="n">
        <v>46005</v>
      </c>
      <c r="E2374" t="inlineStr">
        <is>
          <t>ライトホーム有限会社</t>
        </is>
      </c>
      <c r="F2374" t="inlineStr">
        <is>
          <t>京都府</t>
        </is>
      </c>
      <c r="G2374" t="inlineStr">
        <is>
          <t>消耗品</t>
        </is>
      </c>
      <c r="H2374" t="inlineStr">
        <is>
          <t>ラベルロール</t>
        </is>
      </c>
      <c r="I2374" s="4" t="n">
        <v>12</v>
      </c>
      <c r="J2374" s="4" t="n">
        <v>10300</v>
      </c>
      <c r="K2374" s="4">
        <f>I2374*J2374</f>
        <v/>
      </c>
      <c r="L2374" t="inlineStr">
        <is>
          <t>値引き調整あり</t>
        </is>
      </c>
    </row>
    <row r="2375">
      <c r="A2375" t="inlineStr">
        <is>
          <t>SR099</t>
        </is>
      </c>
      <c r="B2375" t="inlineStr">
        <is>
          <t>営業担当099</t>
        </is>
      </c>
      <c r="C2375" t="inlineStr">
        <is>
          <t>パートナー営業部</t>
        </is>
      </c>
      <c r="D2375" s="3" t="n">
        <v>46027</v>
      </c>
      <c r="E2375" t="inlineStr">
        <is>
          <t>未来通信(株)</t>
        </is>
      </c>
      <c r="F2375" t="inlineStr">
        <is>
          <t>広島県</t>
        </is>
      </c>
      <c r="G2375" t="inlineStr">
        <is>
          <t>ハードウェア</t>
        </is>
      </c>
      <c r="H2375" t="inlineStr">
        <is>
          <t>ネットワークカメラ</t>
        </is>
      </c>
      <c r="I2375" s="4" t="n">
        <v>5</v>
      </c>
      <c r="J2375" s="4" t="n">
        <v>30900</v>
      </c>
      <c r="K2375" s="4">
        <f>I2375*J2375</f>
        <v/>
      </c>
      <c r="L2375" t="inlineStr">
        <is>
          <t>キャンペーン適用</t>
        </is>
      </c>
    </row>
    <row r="2376">
      <c r="A2376" t="inlineStr">
        <is>
          <t>SR099</t>
        </is>
      </c>
      <c r="B2376" t="inlineStr">
        <is>
          <t>営業担当099</t>
        </is>
      </c>
      <c r="C2376" t="inlineStr">
        <is>
          <t>パートナー営業部</t>
        </is>
      </c>
      <c r="D2376" s="3" t="n">
        <v>46037</v>
      </c>
      <c r="E2376" t="inlineStr">
        <is>
          <t>サンライズ建設有限会社</t>
        </is>
      </c>
      <c r="F2376" t="inlineStr">
        <is>
          <t>宮城県</t>
        </is>
      </c>
      <c r="G2376" t="inlineStr">
        <is>
          <t>消耗品</t>
        </is>
      </c>
      <c r="H2376" t="inlineStr">
        <is>
          <t>保守用バッテリー</t>
        </is>
      </c>
      <c r="I2376" s="4" t="n">
        <v>12</v>
      </c>
      <c r="J2376" s="4" t="n">
        <v>7640</v>
      </c>
      <c r="K2376" s="4">
        <f>I2376*J2376</f>
        <v/>
      </c>
      <c r="L2376" t="inlineStr">
        <is>
          <t>新規開拓</t>
        </is>
      </c>
    </row>
    <row r="2377">
      <c r="A2377" t="inlineStr">
        <is>
          <t>SR099</t>
        </is>
      </c>
      <c r="B2377" t="inlineStr">
        <is>
          <t>営業担当099</t>
        </is>
      </c>
      <c r="C2377" t="inlineStr">
        <is>
          <t>パートナー営業部</t>
        </is>
      </c>
      <c r="D2377" s="3" t="n">
        <v>46054</v>
      </c>
      <c r="E2377" t="inlineStr">
        <is>
          <t>ライトホーム株式会社</t>
        </is>
      </c>
      <c r="F2377" t="inlineStr">
        <is>
          <t>大阪府</t>
        </is>
      </c>
      <c r="G2377" t="inlineStr">
        <is>
          <t>保守サービス</t>
        </is>
      </c>
      <c r="H2377" t="inlineStr">
        <is>
          <t>年間保守契約</t>
        </is>
      </c>
      <c r="I2377" s="4" t="n">
        <v>2</v>
      </c>
      <c r="J2377" s="4" t="n">
        <v>106200</v>
      </c>
      <c r="K2377" s="4">
        <f>I2377*J2377</f>
        <v/>
      </c>
      <c r="L2377" t="inlineStr">
        <is>
          <t>大型案件</t>
        </is>
      </c>
    </row>
    <row r="2378">
      <c r="A2378" t="inlineStr">
        <is>
          <t>SR099</t>
        </is>
      </c>
      <c r="B2378" t="inlineStr">
        <is>
          <t>営業担当099</t>
        </is>
      </c>
      <c r="C2378" t="inlineStr">
        <is>
          <t>パートナー営業部</t>
        </is>
      </c>
      <c r="D2378" s="3" t="n">
        <v>46064</v>
      </c>
      <c r="E2378" t="inlineStr">
        <is>
          <t>星和商会(株)</t>
        </is>
      </c>
      <c r="F2378" t="inlineStr">
        <is>
          <t>北海道</t>
        </is>
      </c>
      <c r="G2378" t="inlineStr">
        <is>
          <t>ソフトウェア</t>
        </is>
      </c>
      <c r="H2378" t="inlineStr">
        <is>
          <t>在庫管理クラウド</t>
        </is>
      </c>
      <c r="I2378" s="4" t="n">
        <v>1</v>
      </c>
      <c r="J2378" s="4" t="n">
        <v>431300</v>
      </c>
      <c r="K2378" s="4">
        <f>I2378*J2378</f>
        <v/>
      </c>
      <c r="L2378" t="inlineStr"/>
    </row>
    <row r="2379">
      <c r="A2379" t="inlineStr">
        <is>
          <t>SR099</t>
        </is>
      </c>
      <c r="B2379" t="inlineStr">
        <is>
          <t>営業担当099</t>
        </is>
      </c>
      <c r="C2379" t="inlineStr">
        <is>
          <t>パートナー営業部</t>
        </is>
      </c>
      <c r="D2379" s="3" t="n">
        <v>46093</v>
      </c>
      <c r="E2379" t="inlineStr">
        <is>
          <t>ライトホーム有限会社</t>
        </is>
      </c>
      <c r="F2379" t="inlineStr">
        <is>
          <t>福岡県</t>
        </is>
      </c>
      <c r="G2379" t="inlineStr">
        <is>
          <t>ハードウェア</t>
        </is>
      </c>
      <c r="H2379" t="inlineStr">
        <is>
          <t>ネットワークカメラ</t>
        </is>
      </c>
      <c r="I2379" s="4" t="n">
        <v>1</v>
      </c>
      <c r="J2379" s="4" t="n">
        <v>47800</v>
      </c>
      <c r="K2379" s="4">
        <f>I2379*J2379</f>
        <v/>
      </c>
      <c r="L2379" t="inlineStr">
        <is>
          <t>大型案件</t>
        </is>
      </c>
    </row>
    <row r="2380">
      <c r="A2380" t="inlineStr">
        <is>
          <t>SR099</t>
        </is>
      </c>
      <c r="B2380" t="inlineStr">
        <is>
          <t>営業担当099</t>
        </is>
      </c>
      <c r="C2380" t="inlineStr">
        <is>
          <t>パートナー営業部</t>
        </is>
      </c>
      <c r="D2380" s="3" t="n">
        <v>46105</v>
      </c>
      <c r="E2380" t="inlineStr">
        <is>
          <t>ライトホーム有限会社</t>
        </is>
      </c>
      <c r="F2380" t="inlineStr">
        <is>
          <t>福岡県</t>
        </is>
      </c>
      <c r="G2380" t="inlineStr">
        <is>
          <t>ソフトウェア</t>
        </is>
      </c>
      <c r="H2380" t="inlineStr">
        <is>
          <t>AIチャットボット</t>
        </is>
      </c>
      <c r="I2380" s="4" t="n">
        <v>3</v>
      </c>
      <c r="J2380" s="4" t="n">
        <v>451800</v>
      </c>
      <c r="K2380" s="4">
        <f>I2380*J2380</f>
        <v/>
      </c>
      <c r="L2380" t="inlineStr">
        <is>
          <t>キャンペーン適用</t>
        </is>
      </c>
    </row>
    <row r="2381">
      <c r="A2381" t="inlineStr">
        <is>
          <t>SR100</t>
        </is>
      </c>
      <c r="B2381" t="inlineStr">
        <is>
          <t>営業担当100</t>
        </is>
      </c>
      <c r="C2381" t="inlineStr">
        <is>
          <t>インサイドセールス部</t>
        </is>
      </c>
      <c r="D2381" s="3" t="n">
        <v>45770</v>
      </c>
      <c r="E2381" t="inlineStr">
        <is>
          <t>北斗産業(株)</t>
        </is>
      </c>
      <c r="F2381" t="inlineStr">
        <is>
          <t>大阪府</t>
        </is>
      </c>
      <c r="G2381" t="inlineStr">
        <is>
          <t>ソフトウェア</t>
        </is>
      </c>
      <c r="H2381" t="inlineStr">
        <is>
          <t>AIチャットボット</t>
        </is>
      </c>
      <c r="I2381" s="4" t="n">
        <v>1</v>
      </c>
      <c r="J2381" s="4" t="n">
        <v>596000</v>
      </c>
      <c r="K2381" s="4">
        <f>I2381*J2381</f>
        <v/>
      </c>
      <c r="L2381" t="inlineStr"/>
    </row>
    <row r="2382">
      <c r="A2382" t="inlineStr">
        <is>
          <t>SR100</t>
        </is>
      </c>
      <c r="B2382" t="inlineStr">
        <is>
          <t>営業担当100</t>
        </is>
      </c>
      <c r="C2382" t="inlineStr">
        <is>
          <t>インサイドセールス部</t>
        </is>
      </c>
      <c r="D2382" s="3" t="n">
        <v>45772</v>
      </c>
      <c r="E2382" t="inlineStr">
        <is>
          <t>白峰化学(株)</t>
        </is>
      </c>
      <c r="F2382" t="inlineStr">
        <is>
          <t>広島県</t>
        </is>
      </c>
      <c r="G2382" t="inlineStr">
        <is>
          <t>導入支援</t>
        </is>
      </c>
      <c r="H2382" t="inlineStr">
        <is>
          <t>データ移行支援</t>
        </is>
      </c>
      <c r="I2382" s="4" t="n">
        <v>4</v>
      </c>
      <c r="J2382" s="4" t="n">
        <v>135000</v>
      </c>
      <c r="K2382" s="4">
        <f>I2382*J2382</f>
        <v/>
      </c>
      <c r="L2382" t="inlineStr">
        <is>
          <t>新規開拓</t>
        </is>
      </c>
    </row>
    <row r="2383">
      <c r="A2383" t="inlineStr">
        <is>
          <t>SR100</t>
        </is>
      </c>
      <c r="B2383" t="inlineStr">
        <is>
          <t>営業担当100</t>
        </is>
      </c>
      <c r="C2383" t="inlineStr">
        <is>
          <t>インサイドセールス部</t>
        </is>
      </c>
      <c r="D2383" s="3" t="n">
        <v>45785</v>
      </c>
      <c r="E2383" t="inlineStr">
        <is>
          <t>ライトホーム有限会社</t>
        </is>
      </c>
      <c r="F2383" t="inlineStr">
        <is>
          <t>京都府</t>
        </is>
      </c>
      <c r="G2383" t="inlineStr">
        <is>
          <t>導入支援</t>
        </is>
      </c>
      <c r="H2383" t="inlineStr">
        <is>
          <t>初期設定支援</t>
        </is>
      </c>
      <c r="I2383" s="4" t="n">
        <v>4</v>
      </c>
      <c r="J2383" s="4" t="n">
        <v>114300</v>
      </c>
      <c r="K2383" s="4">
        <f>I2383*J2383</f>
        <v/>
      </c>
      <c r="L2383" t="inlineStr">
        <is>
          <t>大型案件</t>
        </is>
      </c>
    </row>
    <row r="2384">
      <c r="A2384" t="inlineStr">
        <is>
          <t>SR100</t>
        </is>
      </c>
      <c r="B2384" t="inlineStr">
        <is>
          <t>営業担当100</t>
        </is>
      </c>
      <c r="C2384" t="inlineStr">
        <is>
          <t>インサイドセールス部</t>
        </is>
      </c>
      <c r="D2384" s="3" t="n">
        <v>45797</v>
      </c>
      <c r="E2384" t="inlineStr">
        <is>
          <t>みらい物流(株)</t>
        </is>
      </c>
      <c r="F2384" t="inlineStr">
        <is>
          <t>東京都</t>
        </is>
      </c>
      <c r="G2384" t="inlineStr">
        <is>
          <t>ソフトウェア</t>
        </is>
      </c>
      <c r="H2384" t="inlineStr">
        <is>
          <t>在庫管理クラウド</t>
        </is>
      </c>
      <c r="I2384" s="4" t="n">
        <v>2</v>
      </c>
      <c r="J2384" s="4" t="n">
        <v>295000</v>
      </c>
      <c r="K2384" s="4">
        <f>I2384*J2384</f>
        <v/>
      </c>
      <c r="L2384" t="inlineStr"/>
    </row>
    <row r="2385">
      <c r="A2385" t="inlineStr">
        <is>
          <t>SR100</t>
        </is>
      </c>
      <c r="B2385" t="inlineStr">
        <is>
          <t>営業担当100</t>
        </is>
      </c>
      <c r="C2385" t="inlineStr">
        <is>
          <t>インサイドセールス部</t>
        </is>
      </c>
      <c r="D2385" s="3" t="n">
        <v>45811</v>
      </c>
      <c r="E2385" t="inlineStr">
        <is>
          <t>福岡流通有限会社</t>
        </is>
      </c>
      <c r="F2385" t="inlineStr">
        <is>
          <t>神奈川県</t>
        </is>
      </c>
      <c r="G2385" t="inlineStr">
        <is>
          <t>消耗品</t>
        </is>
      </c>
      <c r="H2385" t="inlineStr">
        <is>
          <t>交換用ヘッド</t>
        </is>
      </c>
      <c r="I2385" s="4" t="n">
        <v>11</v>
      </c>
      <c r="J2385" s="4" t="n">
        <v>27900</v>
      </c>
      <c r="K2385" s="4">
        <f>I2385*J2385</f>
        <v/>
      </c>
      <c r="L2385" t="inlineStr"/>
    </row>
    <row r="2386">
      <c r="A2386" t="inlineStr">
        <is>
          <t>SR100</t>
        </is>
      </c>
      <c r="B2386" t="inlineStr">
        <is>
          <t>営業担当100</t>
        </is>
      </c>
      <c r="C2386" t="inlineStr">
        <is>
          <t>インサイドセールス部</t>
        </is>
      </c>
      <c r="D2386" s="3" t="n">
        <v>45822</v>
      </c>
      <c r="E2386" t="inlineStr">
        <is>
          <t>グリーンテック株式会社</t>
        </is>
      </c>
      <c r="F2386" t="inlineStr">
        <is>
          <t>京都府</t>
        </is>
      </c>
      <c r="G2386" t="inlineStr">
        <is>
          <t>消耗品</t>
        </is>
      </c>
      <c r="H2386" t="inlineStr">
        <is>
          <t>保守用バッテリー</t>
        </is>
      </c>
      <c r="I2386" s="4" t="n">
        <v>6</v>
      </c>
      <c r="J2386" s="4" t="n">
        <v>13420</v>
      </c>
      <c r="K2386" s="4">
        <f>I2386*J2386</f>
        <v/>
      </c>
      <c r="L2386" t="inlineStr"/>
    </row>
    <row r="2387">
      <c r="A2387" t="inlineStr">
        <is>
          <t>SR100</t>
        </is>
      </c>
      <c r="B2387" t="inlineStr">
        <is>
          <t>営業担当100</t>
        </is>
      </c>
      <c r="C2387" t="inlineStr">
        <is>
          <t>インサイドセールス部</t>
        </is>
      </c>
      <c r="D2387" s="3" t="n">
        <v>45839</v>
      </c>
      <c r="E2387" t="inlineStr">
        <is>
          <t>九州エナジー株式会社</t>
        </is>
      </c>
      <c r="F2387" t="inlineStr">
        <is>
          <t>大阪府</t>
        </is>
      </c>
      <c r="G2387" t="inlineStr">
        <is>
          <t>導入支援</t>
        </is>
      </c>
      <c r="H2387" t="inlineStr">
        <is>
          <t>操作研修パック</t>
        </is>
      </c>
      <c r="I2387" s="4" t="n">
        <v>5</v>
      </c>
      <c r="J2387" s="4" t="n">
        <v>111100</v>
      </c>
      <c r="K2387" s="4">
        <f>I2387*J2387</f>
        <v/>
      </c>
      <c r="L2387" t="inlineStr">
        <is>
          <t>分納</t>
        </is>
      </c>
    </row>
    <row r="2388">
      <c r="A2388" t="inlineStr">
        <is>
          <t>SR100</t>
        </is>
      </c>
      <c r="B2388" t="inlineStr">
        <is>
          <t>営業担当100</t>
        </is>
      </c>
      <c r="C2388" t="inlineStr">
        <is>
          <t>インサイドセールス部</t>
        </is>
      </c>
      <c r="D2388" s="3" t="n">
        <v>45851</v>
      </c>
      <c r="E2388" t="inlineStr">
        <is>
          <t>ネクストソリューション株式会社</t>
        </is>
      </c>
      <c r="F2388" t="inlineStr">
        <is>
          <t>東京都</t>
        </is>
      </c>
      <c r="G2388" t="inlineStr">
        <is>
          <t>ソフトウェア</t>
        </is>
      </c>
      <c r="H2388" t="inlineStr">
        <is>
          <t>帳票自動化ツール</t>
        </is>
      </c>
      <c r="I2388" s="4" t="n">
        <v>2</v>
      </c>
      <c r="J2388" s="4" t="n">
        <v>272300</v>
      </c>
      <c r="K2388" s="4">
        <f>I2388*J2388</f>
        <v/>
      </c>
      <c r="L2388" t="inlineStr">
        <is>
          <t>値引き調整あり</t>
        </is>
      </c>
    </row>
    <row r="2389">
      <c r="A2389" t="inlineStr">
        <is>
          <t>SR100</t>
        </is>
      </c>
      <c r="B2389" t="inlineStr">
        <is>
          <t>営業担当100</t>
        </is>
      </c>
      <c r="C2389" t="inlineStr">
        <is>
          <t>インサイドセールス部</t>
        </is>
      </c>
      <c r="D2389" s="3" t="n">
        <v>45888</v>
      </c>
      <c r="E2389" t="inlineStr">
        <is>
          <t>未来通信株式会社</t>
        </is>
      </c>
      <c r="F2389" t="inlineStr">
        <is>
          <t>東京都</t>
        </is>
      </c>
      <c r="G2389" t="inlineStr">
        <is>
          <t>保守サービス</t>
        </is>
      </c>
      <c r="H2389" t="inlineStr">
        <is>
          <t>オンサイト保守</t>
        </is>
      </c>
      <c r="I2389" s="4" t="n">
        <v>4</v>
      </c>
      <c r="J2389" s="4" t="n">
        <v>179700</v>
      </c>
      <c r="K2389" s="4">
        <f>I2389*J2389</f>
        <v/>
      </c>
      <c r="L2389" t="inlineStr">
        <is>
          <t>リピート受注</t>
        </is>
      </c>
    </row>
    <row r="2390">
      <c r="A2390" t="inlineStr">
        <is>
          <t>SR100</t>
        </is>
      </c>
      <c r="B2390" t="inlineStr">
        <is>
          <t>営業担当100</t>
        </is>
      </c>
      <c r="C2390" t="inlineStr">
        <is>
          <t>インサイドセールス部</t>
        </is>
      </c>
      <c r="D2390" s="3" t="n">
        <v>45892</v>
      </c>
      <c r="E2390" t="inlineStr">
        <is>
          <t>ネクストソリューション有限会社</t>
        </is>
      </c>
      <c r="F2390" t="inlineStr">
        <is>
          <t>福岡県</t>
        </is>
      </c>
      <c r="G2390" t="inlineStr">
        <is>
          <t>ハードウェア</t>
        </is>
      </c>
      <c r="H2390" t="inlineStr">
        <is>
          <t>産業用タブレット</t>
        </is>
      </c>
      <c r="I2390" s="4" t="n">
        <v>2</v>
      </c>
      <c r="J2390" s="4" t="n">
        <v>127100</v>
      </c>
      <c r="K2390" s="4">
        <f>I2390*J2390</f>
        <v/>
      </c>
      <c r="L2390" t="inlineStr">
        <is>
          <t>新規開拓</t>
        </is>
      </c>
    </row>
    <row r="2391">
      <c r="A2391" t="inlineStr">
        <is>
          <t>SR100</t>
        </is>
      </c>
      <c r="B2391" t="inlineStr">
        <is>
          <t>営業担当100</t>
        </is>
      </c>
      <c r="C2391" t="inlineStr">
        <is>
          <t>インサイドセールス部</t>
        </is>
      </c>
      <c r="D2391" s="3" t="n">
        <v>45915</v>
      </c>
      <c r="E2391" t="inlineStr">
        <is>
          <t>青葉商事(株)</t>
        </is>
      </c>
      <c r="F2391" t="inlineStr">
        <is>
          <t>広島県</t>
        </is>
      </c>
      <c r="G2391" t="inlineStr">
        <is>
          <t>ハードウェア</t>
        </is>
      </c>
      <c r="H2391" t="inlineStr">
        <is>
          <t>ネットワークカメラ</t>
        </is>
      </c>
      <c r="I2391" s="4" t="n">
        <v>3</v>
      </c>
      <c r="J2391" s="4" t="n">
        <v>40800</v>
      </c>
      <c r="K2391" s="4">
        <f>I2391*J2391</f>
        <v/>
      </c>
      <c r="L2391" t="inlineStr">
        <is>
          <t>キャンペーン適用</t>
        </is>
      </c>
    </row>
    <row r="2392">
      <c r="A2392" t="inlineStr">
        <is>
          <t>SR100</t>
        </is>
      </c>
      <c r="B2392" t="inlineStr">
        <is>
          <t>営業担当100</t>
        </is>
      </c>
      <c r="C2392" t="inlineStr">
        <is>
          <t>インサイドセールス部</t>
        </is>
      </c>
      <c r="D2392" s="3" t="n">
        <v>45926</v>
      </c>
      <c r="E2392" t="inlineStr">
        <is>
          <t>九州エナジー有限会社</t>
        </is>
      </c>
      <c r="F2392" t="inlineStr">
        <is>
          <t>宮城県</t>
        </is>
      </c>
      <c r="G2392" t="inlineStr">
        <is>
          <t>導入支援</t>
        </is>
      </c>
      <c r="H2392" t="inlineStr">
        <is>
          <t>データ移行支援</t>
        </is>
      </c>
      <c r="I2392" s="4" t="n">
        <v>4</v>
      </c>
      <c r="J2392" s="4" t="n">
        <v>100400</v>
      </c>
      <c r="K2392" s="4">
        <f>I2392*J2392</f>
        <v/>
      </c>
      <c r="L2392" t="inlineStr">
        <is>
          <t>新規開拓</t>
        </is>
      </c>
    </row>
    <row r="2393">
      <c r="A2393" t="inlineStr">
        <is>
          <t>SR100</t>
        </is>
      </c>
      <c r="B2393" t="inlineStr">
        <is>
          <t>営業担当100</t>
        </is>
      </c>
      <c r="C2393" t="inlineStr">
        <is>
          <t>インサイドセールス部</t>
        </is>
      </c>
      <c r="D2393" s="3" t="n">
        <v>45933</v>
      </c>
      <c r="E2393" t="inlineStr">
        <is>
          <t>グリーンテック有限会社</t>
        </is>
      </c>
      <c r="F2393" t="inlineStr">
        <is>
          <t>大阪府</t>
        </is>
      </c>
      <c r="G2393" t="inlineStr">
        <is>
          <t>ハードウェア</t>
        </is>
      </c>
      <c r="H2393" t="inlineStr">
        <is>
          <t>産業用タブレット</t>
        </is>
      </c>
      <c r="I2393" s="4" t="n">
        <v>2</v>
      </c>
      <c r="J2393" s="4" t="n">
        <v>122100</v>
      </c>
      <c r="K2393" s="4">
        <f>I2393*J2393</f>
        <v/>
      </c>
      <c r="L2393" t="inlineStr">
        <is>
          <t>リピート受注</t>
        </is>
      </c>
    </row>
    <row r="2394">
      <c r="A2394" t="inlineStr">
        <is>
          <t>SR100</t>
        </is>
      </c>
      <c r="B2394" t="inlineStr">
        <is>
          <t>営業担当100</t>
        </is>
      </c>
      <c r="C2394" t="inlineStr">
        <is>
          <t>インサイドセールス部</t>
        </is>
      </c>
      <c r="D2394" s="3" t="n">
        <v>45956</v>
      </c>
      <c r="E2394" t="inlineStr">
        <is>
          <t>アーク電機(株)</t>
        </is>
      </c>
      <c r="F2394" t="inlineStr">
        <is>
          <t>福岡県</t>
        </is>
      </c>
      <c r="G2394" t="inlineStr">
        <is>
          <t>ソフトウェア</t>
        </is>
      </c>
      <c r="H2394" t="inlineStr">
        <is>
          <t>帳票自動化ツール</t>
        </is>
      </c>
      <c r="I2394" s="4" t="n">
        <v>3</v>
      </c>
      <c r="J2394" s="4" t="n">
        <v>323500</v>
      </c>
      <c r="K2394" s="4">
        <f>I2394*J2394</f>
        <v/>
      </c>
      <c r="L2394" t="inlineStr">
        <is>
          <t>新規開拓</t>
        </is>
      </c>
    </row>
    <row r="2395">
      <c r="A2395" t="inlineStr">
        <is>
          <t>SR100</t>
        </is>
      </c>
      <c r="B2395" t="inlineStr">
        <is>
          <t>営業担当100</t>
        </is>
      </c>
      <c r="C2395" t="inlineStr">
        <is>
          <t>インサイドセールス部</t>
        </is>
      </c>
      <c r="D2395" s="3" t="n">
        <v>45969</v>
      </c>
      <c r="E2395" t="inlineStr">
        <is>
          <t>ネクストソリューション(株)</t>
        </is>
      </c>
      <c r="F2395" t="inlineStr">
        <is>
          <t>愛知県</t>
        </is>
      </c>
      <c r="G2395" t="inlineStr">
        <is>
          <t>導入支援</t>
        </is>
      </c>
      <c r="H2395" t="inlineStr">
        <is>
          <t>データ移行支援</t>
        </is>
      </c>
      <c r="I2395" s="4" t="n">
        <v>5</v>
      </c>
      <c r="J2395" s="4" t="n">
        <v>238000</v>
      </c>
      <c r="K2395" s="4">
        <f>I2395*J2395</f>
        <v/>
      </c>
      <c r="L2395" t="inlineStr">
        <is>
          <t>値引き調整あり</t>
        </is>
      </c>
    </row>
    <row r="2396">
      <c r="A2396" t="inlineStr">
        <is>
          <t>SR100</t>
        </is>
      </c>
      <c r="B2396" t="inlineStr">
        <is>
          <t>営業担当100</t>
        </is>
      </c>
      <c r="C2396" t="inlineStr">
        <is>
          <t>インサイドセールス部</t>
        </is>
      </c>
      <c r="D2396" s="3" t="n">
        <v>45977</v>
      </c>
      <c r="E2396" t="inlineStr">
        <is>
          <t>白峰化学(株)</t>
        </is>
      </c>
      <c r="F2396" t="inlineStr">
        <is>
          <t>京都府</t>
        </is>
      </c>
      <c r="G2396" t="inlineStr">
        <is>
          <t>ソフトウェア</t>
        </is>
      </c>
      <c r="H2396" t="inlineStr">
        <is>
          <t>AIチャットボット</t>
        </is>
      </c>
      <c r="I2396" s="4" t="n">
        <v>3</v>
      </c>
      <c r="J2396" s="4" t="n">
        <v>879100</v>
      </c>
      <c r="K2396" s="4">
        <f>I2396*J2396</f>
        <v/>
      </c>
      <c r="L2396" t="inlineStr">
        <is>
          <t>新規開拓</t>
        </is>
      </c>
    </row>
    <row r="2397">
      <c r="A2397" t="inlineStr">
        <is>
          <t>SR100</t>
        </is>
      </c>
      <c r="B2397" t="inlineStr">
        <is>
          <t>営業担当100</t>
        </is>
      </c>
      <c r="C2397" t="inlineStr">
        <is>
          <t>インサイドセールス部</t>
        </is>
      </c>
      <c r="D2397" s="3" t="n">
        <v>45993</v>
      </c>
      <c r="E2397" t="inlineStr">
        <is>
          <t>白峰化学有限会社</t>
        </is>
      </c>
      <c r="F2397" t="inlineStr">
        <is>
          <t>北海道</t>
        </is>
      </c>
      <c r="G2397" t="inlineStr">
        <is>
          <t>ハードウェア</t>
        </is>
      </c>
      <c r="H2397" t="inlineStr">
        <is>
          <t>ラベルプリンター</t>
        </is>
      </c>
      <c r="I2397" s="4" t="n">
        <v>3</v>
      </c>
      <c r="J2397" s="4" t="n">
        <v>86500</v>
      </c>
      <c r="K2397" s="4">
        <f>I2397*J2397</f>
        <v/>
      </c>
      <c r="L2397" t="inlineStr">
        <is>
          <t>値引き調整あり</t>
        </is>
      </c>
    </row>
    <row r="2398">
      <c r="A2398" t="inlineStr">
        <is>
          <t>SR100</t>
        </is>
      </c>
      <c r="B2398" t="inlineStr">
        <is>
          <t>営業担当100</t>
        </is>
      </c>
      <c r="C2398" t="inlineStr">
        <is>
          <t>インサイドセールス部</t>
        </is>
      </c>
      <c r="D2398" s="3" t="n">
        <v>45999</v>
      </c>
      <c r="E2398" t="inlineStr">
        <is>
          <t>東洋フーズ有限会社</t>
        </is>
      </c>
      <c r="F2398" t="inlineStr">
        <is>
          <t>兵庫県</t>
        </is>
      </c>
      <c r="G2398" t="inlineStr">
        <is>
          <t>ソフトウェア</t>
        </is>
      </c>
      <c r="H2398" t="inlineStr">
        <is>
          <t>AIチャットボット</t>
        </is>
      </c>
      <c r="I2398" s="4" t="n">
        <v>2</v>
      </c>
      <c r="J2398" s="4" t="n">
        <v>448600</v>
      </c>
      <c r="K2398" s="4">
        <f>I2398*J2398</f>
        <v/>
      </c>
      <c r="L2398" t="inlineStr">
        <is>
          <t>新規開拓</t>
        </is>
      </c>
    </row>
    <row r="2399">
      <c r="A2399" t="inlineStr">
        <is>
          <t>SR100</t>
        </is>
      </c>
      <c r="B2399" t="inlineStr">
        <is>
          <t>営業担当100</t>
        </is>
      </c>
      <c r="C2399" t="inlineStr">
        <is>
          <t>インサイドセールス部</t>
        </is>
      </c>
      <c r="D2399" s="3" t="n">
        <v>46028</v>
      </c>
      <c r="E2399" t="inlineStr">
        <is>
          <t>サンライズ建設株式会社</t>
        </is>
      </c>
      <c r="F2399" t="inlineStr">
        <is>
          <t>大阪府</t>
        </is>
      </c>
      <c r="G2399" t="inlineStr">
        <is>
          <t>消耗品</t>
        </is>
      </c>
      <c r="H2399" t="inlineStr">
        <is>
          <t>交換用ヘッド</t>
        </is>
      </c>
      <c r="I2399" s="4" t="n">
        <v>13</v>
      </c>
      <c r="J2399" s="4" t="n">
        <v>21520</v>
      </c>
      <c r="K2399" s="4">
        <f>I2399*J2399</f>
        <v/>
      </c>
      <c r="L2399" t="inlineStr">
        <is>
          <t>値引き調整あり</t>
        </is>
      </c>
    </row>
    <row r="2400">
      <c r="A2400" t="inlineStr">
        <is>
          <t>SR100</t>
        </is>
      </c>
      <c r="B2400" t="inlineStr">
        <is>
          <t>営業担当100</t>
        </is>
      </c>
      <c r="C2400" t="inlineStr">
        <is>
          <t>インサイドセールス部</t>
        </is>
      </c>
      <c r="D2400" s="3" t="n">
        <v>46031</v>
      </c>
      <c r="E2400" t="inlineStr">
        <is>
          <t>日新サービス(株)</t>
        </is>
      </c>
      <c r="F2400" t="inlineStr">
        <is>
          <t>福岡県</t>
        </is>
      </c>
      <c r="G2400" t="inlineStr">
        <is>
          <t>ハードウェア</t>
        </is>
      </c>
      <c r="H2400" t="inlineStr">
        <is>
          <t>ネットワークカメラ</t>
        </is>
      </c>
      <c r="I2400" s="4" t="n">
        <v>3</v>
      </c>
      <c r="J2400" s="4" t="n">
        <v>53600</v>
      </c>
      <c r="K2400" s="4">
        <f>I2400*J2400</f>
        <v/>
      </c>
      <c r="L2400" t="inlineStr"/>
    </row>
    <row r="2401">
      <c r="A2401" t="inlineStr">
        <is>
          <t>SR100</t>
        </is>
      </c>
      <c r="B2401" t="inlineStr">
        <is>
          <t>営業担当100</t>
        </is>
      </c>
      <c r="C2401" t="inlineStr">
        <is>
          <t>インサイドセールス部</t>
        </is>
      </c>
      <c r="D2401" s="3" t="n">
        <v>46057</v>
      </c>
      <c r="E2401" t="inlineStr">
        <is>
          <t>日新サービス有限会社</t>
        </is>
      </c>
      <c r="F2401" t="inlineStr">
        <is>
          <t>北海道</t>
        </is>
      </c>
      <c r="G2401" t="inlineStr">
        <is>
          <t>消耗品</t>
        </is>
      </c>
      <c r="H2401" t="inlineStr">
        <is>
          <t>交換用ヘッド</t>
        </is>
      </c>
      <c r="I2401" s="4" t="n">
        <v>6</v>
      </c>
      <c r="J2401" s="4" t="n">
        <v>21370</v>
      </c>
      <c r="K2401" s="4">
        <f>I2401*J2401</f>
        <v/>
      </c>
      <c r="L2401" t="inlineStr"/>
    </row>
    <row r="2402">
      <c r="A2402" t="inlineStr">
        <is>
          <t>SR100</t>
        </is>
      </c>
      <c r="B2402" t="inlineStr">
        <is>
          <t>営業担当100</t>
        </is>
      </c>
      <c r="C2402" t="inlineStr">
        <is>
          <t>インサイドセールス部</t>
        </is>
      </c>
      <c r="D2402" s="3" t="n">
        <v>46064</v>
      </c>
      <c r="E2402" t="inlineStr">
        <is>
          <t>未来通信(株)</t>
        </is>
      </c>
      <c r="F2402" t="inlineStr">
        <is>
          <t>神奈川県</t>
        </is>
      </c>
      <c r="G2402" t="inlineStr">
        <is>
          <t>ソフトウェア</t>
        </is>
      </c>
      <c r="H2402" t="inlineStr">
        <is>
          <t>在庫管理クラウド</t>
        </is>
      </c>
      <c r="I2402" s="4" t="n">
        <v>4</v>
      </c>
      <c r="J2402" s="4" t="n">
        <v>284200</v>
      </c>
      <c r="K2402" s="4">
        <f>I2402*J2402</f>
        <v/>
      </c>
      <c r="L2402" t="inlineStr">
        <is>
          <t>リピート受注</t>
        </is>
      </c>
    </row>
    <row r="2403">
      <c r="A2403" t="inlineStr">
        <is>
          <t>SR100</t>
        </is>
      </c>
      <c r="B2403" t="inlineStr">
        <is>
          <t>営業担当100</t>
        </is>
      </c>
      <c r="C2403" t="inlineStr">
        <is>
          <t>インサイドセールス部</t>
        </is>
      </c>
      <c r="D2403" s="3" t="n">
        <v>46082</v>
      </c>
      <c r="E2403" t="inlineStr">
        <is>
          <t>アーク電機株式会社</t>
        </is>
      </c>
      <c r="F2403" t="inlineStr">
        <is>
          <t>福岡県</t>
        </is>
      </c>
      <c r="G2403" t="inlineStr">
        <is>
          <t>ソフトウェア</t>
        </is>
      </c>
      <c r="H2403" t="inlineStr">
        <is>
          <t>営業支援SaaS</t>
        </is>
      </c>
      <c r="I2403" s="4" t="n">
        <v>2</v>
      </c>
      <c r="J2403" s="4" t="n">
        <v>240400</v>
      </c>
      <c r="K2403" s="4">
        <f>I2403*J2403</f>
        <v/>
      </c>
      <c r="L2403" t="inlineStr"/>
    </row>
    <row r="2404">
      <c r="A2404" t="inlineStr">
        <is>
          <t>SR100</t>
        </is>
      </c>
      <c r="B2404" t="inlineStr">
        <is>
          <t>営業担当100</t>
        </is>
      </c>
      <c r="C2404" t="inlineStr">
        <is>
          <t>インサイドセールス部</t>
        </is>
      </c>
      <c r="D2404" s="3" t="n">
        <v>46102</v>
      </c>
      <c r="E2404" t="inlineStr">
        <is>
          <t>福岡流通(株)</t>
        </is>
      </c>
      <c r="F2404" t="inlineStr">
        <is>
          <t>広島県</t>
        </is>
      </c>
      <c r="G2404" t="inlineStr">
        <is>
          <t>保守サービス</t>
        </is>
      </c>
      <c r="H2404" t="inlineStr">
        <is>
          <t>ヘルプデスク契約</t>
        </is>
      </c>
      <c r="I2404" s="4" t="n">
        <v>2</v>
      </c>
      <c r="J2404" s="4" t="n">
        <v>56100</v>
      </c>
      <c r="K2404" s="4">
        <f>I2404*J2404</f>
        <v/>
      </c>
      <c r="L2404" t="inlineStr"/>
    </row>
    <row r="2407">
      <c r="A2407" s="6" t="inlineStr">
        <is>
          <t>集計</t>
        </is>
      </c>
    </row>
    <row r="2408">
      <c r="A2408" s="7" t="inlineStr">
        <is>
          <t>総売上金額(円)</t>
        </is>
      </c>
      <c r="B2408" s="4">
        <f>SUM(K5:K2404)</f>
        <v/>
      </c>
      <c r="D2408" s="7" t="inlineStr">
        <is>
          <t>営業担当者数</t>
        </is>
      </c>
      <c r="E2408" t="n">
        <v>100</v>
      </c>
    </row>
    <row r="2409">
      <c r="A2409" s="7" t="inlineStr">
        <is>
          <t>総販売数量</t>
        </is>
      </c>
      <c r="B2409" s="4">
        <f>SUM(I5:I2404)</f>
        <v/>
      </c>
      <c r="D2409" s="7" t="inlineStr">
        <is>
          <t>販売明細件数</t>
        </is>
      </c>
      <c r="E2409" s="4">
        <f>ROWS(A5:A2404)</f>
        <v/>
      </c>
    </row>
    <row r="2412">
      <c r="A2412" s="8" t="inlineStr">
        <is>
          <t>注: 本ファイルは動作確認用の仮想データです。営業担当者100名・各24件、合計2,400件の販売明細を収録しています。</t>
        </is>
      </c>
    </row>
  </sheetData>
  <mergeCells count="3">
    <mergeCell ref="A2407:D2407"/>
    <mergeCell ref="A1:L1"/>
    <mergeCell ref="A2412:L24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2026-03-27T07:31:27Z</dcterms:created>
  <dcterms:modified xmlns:dcterms="http://purl.org/dc/terms/" xmlns:xsi="http://www.w3.org/2001/XMLSchema-instance" xsi:type="dcterms:W3CDTF">2026-03-27T07:31:27Z</dcterms:modified>
</cp:coreProperties>
</file>